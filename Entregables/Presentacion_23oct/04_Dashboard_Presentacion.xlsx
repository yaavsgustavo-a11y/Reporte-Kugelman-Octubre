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1 Resumen" sheetId="1" r:id="rId1"/>
    <sheet name="2 Embudo y canales" sheetId="2" r:id="rId2"/>
    <sheet name="3 Pauta y presupuesto" sheetId="3" r:id="rId3"/>
    <sheet name="4 Seguimiento y agenda" sheetId="4" r:id="rId4"/>
    <sheet name="5 Retencion y capacidad" sheetId="5" r:id="rId5"/>
    <sheet name="6 Acciones y decisiones" sheetId="6" r:id="rId6"/>
    <sheet name="Datos" sheetId="7" r:id="rId7"/>
  </sheets>
  <calcPr calcId="19102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&quot;$&quot;#,##0.00"/>
    <numFmt numFmtId="167" formatCode="&quot;$&quot;#,##0"/>
    <numFmt numFmtId="168" formatCode="dd/mm/yyyy"/>
    <numFmt numFmtId="169" formatCode="dd/mm"/>
  </numFmts>
  <fonts count="22">
    <font>
      <sz val="10"/>
      <color rgb="FF262626"/>
      <name val="Calibri"/>
      <family val="2"/>
    </font>
    <font>
      <b/>
      <sz val="10"/>
      <color rgb="FFFFFFFF"/>
      <name val="Calibri"/>
      <family val="2"/>
    </font>
    <font>
      <b/>
      <sz val="12"/>
      <color rgb="FF2E75B6"/>
      <name val="Calibri"/>
      <family val="2"/>
    </font>
    <font>
      <b/>
      <sz val="12"/>
      <color rgb="FF1F3864"/>
      <name val="Calibri"/>
      <family val="2"/>
    </font>
    <font>
      <sz val="9"/>
      <color rgb="FF7F7F7F"/>
      <name val="Calibri"/>
      <family val="2"/>
    </font>
    <font>
      <b/>
      <sz val="10"/>
      <color rgb="FF262626"/>
      <name val="Calibri"/>
      <family val="2"/>
    </font>
    <font>
      <b/>
      <sz val="20"/>
      <color rgb="FFFFFFFF"/>
      <name val="Calibri"/>
      <family val="2"/>
    </font>
    <font>
      <sz val="10"/>
      <color rgb="FFDDEBF7"/>
      <name val="Calibri"/>
      <family val="2"/>
    </font>
    <font>
      <i/>
      <sz val="9"/>
      <color rgb="FF7F7F7F"/>
      <name val="Calibri"/>
      <family val="2"/>
    </font>
    <font>
      <b/>
      <sz val="9"/>
      <color rgb="FF595959"/>
      <name val="Calibri"/>
      <family val="2"/>
    </font>
    <font>
      <b/>
      <sz val="24"/>
      <color rgb="FF70AD47"/>
      <name val="Calibri"/>
      <family val="2"/>
    </font>
    <font>
      <sz val="8.5"/>
      <color rgb="FF595959"/>
      <name val="Calibri"/>
      <family val="2"/>
    </font>
    <font>
      <b/>
      <sz val="24"/>
      <color rgb="FFC55A11"/>
      <name val="Calibri"/>
      <family val="2"/>
    </font>
    <font>
      <b/>
      <sz val="24"/>
      <color rgb="FF2E75B6"/>
      <name val="Calibri"/>
      <family val="2"/>
    </font>
    <font>
      <b/>
      <sz val="24"/>
      <color rgb="FF1F3864"/>
      <name val="Calibri"/>
      <family val="2"/>
    </font>
    <font>
      <b/>
      <sz val="24"/>
      <color rgb="FFC00000"/>
      <name val="Calibri"/>
      <family val="2"/>
    </font>
    <font>
      <b/>
      <sz val="10.5"/>
      <color rgb="FFFFFFFF"/>
      <name val="Calibri"/>
      <family val="2"/>
    </font>
    <font>
      <sz val="9"/>
      <color rgb="FF262626"/>
      <name val="Calibri"/>
      <family val="2"/>
    </font>
    <font>
      <b/>
      <sz val="9"/>
      <color rgb="FFFFFFFF"/>
      <name val="Calibri"/>
      <family val="2"/>
    </font>
    <font>
      <b/>
      <sz val="9"/>
      <color rgb="FF262626"/>
      <name val="Calibri"/>
      <family val="2"/>
    </font>
    <font>
      <b/>
      <sz val="9.5"/>
      <color rgb="FF1F3864"/>
      <name val="Calibri"/>
      <family val="2"/>
    </font>
    <font>
      <sz val="9.5"/>
      <color rgb="FF26262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3F6F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9FC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vertical="center" indent="1"/>
    </xf>
    <xf numFmtId="0" fontId="7" fillId="2" borderId="0" xfId="0" applyFont="1" applyFill="1" applyAlignment="1">
      <alignment vertical="center" indent="1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top" wrapText="1"/>
    </xf>
    <xf numFmtId="0" fontId="9" fillId="3" borderId="2" xfId="0" applyFont="1" applyFill="1" applyBorder="1" applyAlignment="1">
      <alignment horizontal="left" vertical="center" indent="1"/>
    </xf>
    <xf numFmtId="1" fontId="10" fillId="3" borderId="2" xfId="0" applyNumberFormat="1" applyFont="1" applyFill="1" applyBorder="1" applyAlignment="1">
      <alignment horizontal="left" vertical="center" indent="1"/>
    </xf>
    <xf numFmtId="0" fontId="11" fillId="3" borderId="2" xfId="0" applyFont="1" applyFill="1" applyBorder="1" applyAlignment="1">
      <alignment horizontal="left" vertical="top" wrapText="1" indent="1"/>
    </xf>
    <xf numFmtId="9" fontId="10" fillId="3" borderId="2" xfId="0" applyNumberFormat="1" applyFont="1" applyFill="1" applyBorder="1" applyAlignment="1">
      <alignment horizontal="left" vertical="center" indent="1"/>
    </xf>
    <xf numFmtId="9" fontId="12" fillId="3" borderId="2" xfId="0" applyNumberFormat="1" applyFont="1" applyFill="1" applyBorder="1" applyAlignment="1">
      <alignment horizontal="left" vertical="center" indent="1"/>
    </xf>
    <xf numFmtId="1" fontId="13" fillId="3" borderId="2" xfId="0" applyNumberFormat="1" applyFont="1" applyFill="1" applyBorder="1" applyAlignment="1">
      <alignment horizontal="left" vertical="center" indent="1"/>
    </xf>
    <xf numFmtId="167" fontId="14" fillId="3" borderId="2" xfId="0" applyNumberFormat="1" applyFont="1" applyFill="1" applyBorder="1" applyAlignment="1">
      <alignment horizontal="left" vertical="center" indent="1"/>
    </xf>
    <xf numFmtId="166" fontId="14" fillId="3" borderId="2" xfId="0" applyNumberFormat="1" applyFont="1" applyFill="1" applyBorder="1" applyAlignment="1">
      <alignment horizontal="left" vertical="center" indent="1"/>
    </xf>
    <xf numFmtId="1" fontId="15" fillId="3" borderId="2" xfId="0" applyNumberFormat="1" applyFont="1" applyFill="1" applyBorder="1" applyAlignment="1">
      <alignment horizontal="left" vertical="center" indent="1"/>
    </xf>
    <xf numFmtId="0" fontId="16" fillId="4" borderId="0" xfId="0" applyFont="1" applyFill="1" applyAlignment="1">
      <alignment vertical="center" indent="1"/>
    </xf>
    <xf numFmtId="0" fontId="0" fillId="3" borderId="0" xfId="0" applyFill="1" applyAlignment="1">
      <alignment vertical="top" wrapText="1" indent="1"/>
    </xf>
    <xf numFmtId="0" fontId="16" fillId="5" borderId="0" xfId="0" applyFont="1" applyFill="1" applyAlignment="1">
      <alignment vertical="center" indent="1"/>
    </xf>
    <xf numFmtId="0" fontId="16" fillId="6" borderId="0" xfId="0" applyFont="1" applyFill="1" applyAlignment="1">
      <alignment vertical="center" indent="1"/>
    </xf>
    <xf numFmtId="0" fontId="16" fillId="7" borderId="0" xfId="0" applyFont="1" applyFill="1" applyAlignment="1">
      <alignment vertical="center" indent="1"/>
    </xf>
    <xf numFmtId="9" fontId="13" fillId="3" borderId="2" xfId="0" applyNumberFormat="1" applyFont="1" applyFill="1" applyBorder="1" applyAlignment="1">
      <alignment horizontal="left" vertical="center" indent="1"/>
    </xf>
    <xf numFmtId="167" fontId="12" fillId="3" borderId="2" xfId="0" applyNumberFormat="1" applyFont="1" applyFill="1" applyBorder="1" applyAlignment="1">
      <alignment horizontal="left" vertical="center" indent="1"/>
    </xf>
    <xf numFmtId="0" fontId="16" fillId="2" borderId="0" xfId="0" applyFont="1" applyFill="1" applyAlignment="1">
      <alignment vertical="center" indent="1"/>
    </xf>
    <xf numFmtId="0" fontId="16" fillId="8" borderId="0" xfId="0" applyFont="1" applyFill="1" applyAlignment="1">
      <alignment vertical="center" indent="1"/>
    </xf>
    <xf numFmtId="1" fontId="12" fillId="3" borderId="2" xfId="0" applyNumberFormat="1" applyFont="1" applyFill="1" applyBorder="1" applyAlignment="1">
      <alignment horizontal="left" vertical="center" indent="1"/>
    </xf>
    <xf numFmtId="1" fontId="14" fillId="3" borderId="2" xfId="0" applyNumberFormat="1" applyFont="1" applyFill="1" applyBorder="1" applyAlignment="1">
      <alignment horizontal="left" vertical="center" indent="1"/>
    </xf>
    <xf numFmtId="169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9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10" borderId="1" xfId="0" applyFont="1" applyFill="1" applyBorder="1" applyAlignment="1">
      <alignment vertical="center" wrapText="1"/>
    </xf>
    <xf numFmtId="167" fontId="10" fillId="3" borderId="2" xfId="0" applyNumberFormat="1" applyFont="1" applyFill="1" applyBorder="1" applyAlignment="1">
      <alignment horizontal="left" vertical="center" indent="1"/>
    </xf>
    <xf numFmtId="167" fontId="15" fillId="3" borderId="2" xfId="0" applyNumberFormat="1" applyFont="1" applyFill="1" applyBorder="1" applyAlignment="1">
      <alignment horizontal="left" vertical="center" inden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1F3864"/>
      </font>
      <fill>
        <patternFill patternType="solid">
          <fgColor rgb="FFDDEBF7"/>
          <bgColor rgb="FFDDEBF7"/>
        </patternFill>
      </fill>
    </dxf>
    <dxf>
      <font>
        <b/>
        <color rgb="FF7F6000"/>
      </font>
      <fill>
        <patternFill patternType="solid">
          <fgColor rgb="FFFFE699"/>
          <bgColor rgb="FFFFE699"/>
        </patternFill>
      </fill>
    </dxf>
    <dxf>
      <font>
        <b/>
        <color rgb="FF595959"/>
      </font>
      <fill>
        <patternFill patternType="solid">
          <fgColor rgb="FFEDEDED"/>
          <bgColor rgb="FFEDEDED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Prospectos</c:v>
          </c:tx>
          <c:spPr>
            <a:solidFill>
              <a:srgbClr val="1F3864"/>
            </a:solidFill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invertIfNegative val="0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Datos!$A$49:$A$51</c:f>
              <c:strCache>
                <c:ptCount val="3"/>
                <c:pt idx="0">
                  <c:v>CM vencidas</c:v>
                </c:pt>
                <c:pt idx="1">
                  <c:v>Realizadas</c:v>
                </c:pt>
                <c:pt idx="2">
                  <c:v>Inscritos</c:v>
                </c:pt>
              </c:strCache>
            </c:strRef>
          </c:cat>
          <c:val>
            <c:numRef>
              <c:f>Datos!$B$49:$B$51</c:f>
              <c:numCache>
                <c:formatCode>#,##0</c:formatCode>
                <c:ptCount val="3"/>
                <c:pt idx="0">
                  <c:v>39</c:v>
                </c:pt>
                <c:pt idx="1">
                  <c:v>26</c:v>
                </c:pt>
                <c:pt idx="2">
                  <c:v>15</c:v>
                </c:pt>
              </c:numCache>
            </c:numRef>
          </c:val>
        </c:ser>
        <c:gapWidth val="5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Datos!$B$32</c:f>
              <c:strCache>
                <c:ptCount val="1"/>
                <c:pt idx="0">
                  <c:v>Campaña sept.</c:v>
                </c:pt>
              </c:strCache>
            </c:strRef>
          </c:tx>
          <c:spPr>
            <a:solidFill>
              <a:srgbClr val="A5A5A5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Datos!$A$33:$A$35</c:f>
              <c:strCache>
                <c:ptCount val="3"/>
                <c:pt idx="0">
                  <c:v>Asistencia</c:v>
                </c:pt>
                <c:pt idx="1">
                  <c:v>Cierre tras CM</c:v>
                </c:pt>
                <c:pt idx="2">
                  <c:v>CM vencida → inscripción</c:v>
                </c:pt>
              </c:strCache>
            </c:strRef>
          </c:cat>
          <c:val>
            <c:numRef>
              <c:f>Datos!$B$33:$B$35</c:f>
              <c:numCache>
                <c:formatCode>0%</c:formatCode>
                <c:ptCount val="3"/>
                <c:pt idx="0">
                  <c:v>0.7613636363636364</c:v>
                </c:pt>
                <c:pt idx="1">
                  <c:v>0.462</c:v>
                </c:pt>
                <c:pt idx="2">
                  <c:v>0.3409090909090909</c:v>
                </c:pt>
              </c:numCache>
            </c:numRef>
          </c:val>
        </c:ser>
        <c:ser>
          <c:idx val="1"/>
          <c:order val="1"/>
          <c:tx>
            <c:strRef>
              <c:f>Datos!$C$32</c:f>
              <c:strCache>
                <c:ptCount val="1"/>
                <c:pt idx="0">
                  <c:v>Sept. 1 al 23</c:v>
                </c:pt>
              </c:strCache>
            </c:strRef>
          </c:tx>
          <c:spPr>
            <a:solidFill>
              <a:srgbClr val="9DC3E6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Datos!$A$33:$A$35</c:f>
              <c:strCache>
                <c:ptCount val="3"/>
                <c:pt idx="0">
                  <c:v>Asistencia</c:v>
                </c:pt>
                <c:pt idx="1">
                  <c:v>Cierre tras CM</c:v>
                </c:pt>
                <c:pt idx="2">
                  <c:v>CM vencida → inscripción</c:v>
                </c:pt>
              </c:strCache>
            </c:strRef>
          </c:cat>
          <c:val>
            <c:numRef>
              <c:f>Datos!$C$33:$C$35</c:f>
              <c:numCache>
                <c:formatCode>0%</c:formatCode>
                <c:ptCount val="3"/>
                <c:pt idx="0">
                  <c:v>0.78125</c:v>
                </c:pt>
                <c:pt idx="1">
                  <c:v>0.52</c:v>
                </c:pt>
                <c:pt idx="2">
                  <c:v>0.40625</c:v>
                </c:pt>
              </c:numCache>
            </c:numRef>
          </c:val>
        </c:ser>
        <c:ser>
          <c:idx val="2"/>
          <c:order val="2"/>
          <c:tx>
            <c:strRef>
              <c:f>Datos!$D$32</c:f>
              <c:strCache>
                <c:ptCount val="1"/>
                <c:pt idx="0">
                  <c:v>Oct. 1 al 23</c:v>
                </c:pt>
              </c:strCache>
            </c:strRef>
          </c:tx>
          <c:spPr>
            <a:solidFill>
              <a:srgbClr val="2E75B6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Datos!$A$33:$A$35</c:f>
              <c:strCache>
                <c:ptCount val="3"/>
                <c:pt idx="0">
                  <c:v>Asistencia</c:v>
                </c:pt>
                <c:pt idx="1">
                  <c:v>Cierre tras CM</c:v>
                </c:pt>
                <c:pt idx="2">
                  <c:v>CM vencida → inscripción</c:v>
                </c:pt>
              </c:strCache>
            </c:strRef>
          </c:cat>
          <c:val>
            <c:numRef>
              <c:f>Datos!$D$33:$D$35</c:f>
              <c:numCache>
                <c:formatCode>0%</c:formatCode>
                <c:ptCount val="3"/>
                <c:pt idx="0">
                  <c:v>0.6666666666666666</c:v>
                </c:pt>
                <c:pt idx="1">
                  <c:v>0.5769230769230769</c:v>
                </c:pt>
                <c:pt idx="2">
                  <c:v>0.38461538461538464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Datos!$B$54</c:f>
              <c:strCache>
                <c:ptCount val="1"/>
                <c:pt idx="0">
                  <c:v>Inscritos</c:v>
                </c:pt>
              </c:strCache>
            </c:strRef>
          </c:tx>
          <c:spPr>
            <a:solidFill>
              <a:srgbClr val="70AD47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Datos!$A$55:$A$60</c:f>
              <c:strCache>
                <c:ptCount val="6"/>
                <c:pt idx="0">
                  <c:v>28/09</c:v>
                </c:pt>
                <c:pt idx="1">
                  <c:v>05/10</c:v>
                </c:pt>
                <c:pt idx="2">
                  <c:v>12/10</c:v>
                </c:pt>
                <c:pt idx="3">
                  <c:v>19/10</c:v>
                </c:pt>
                <c:pt idx="4">
                  <c:v>26/10</c:v>
                </c:pt>
                <c:pt idx="5">
                  <c:v>02/11</c:v>
                </c:pt>
              </c:strCache>
            </c:strRef>
          </c:cat>
          <c:val>
            <c:numRef>
              <c:f>Datos!$B$55:$B$60</c:f>
              <c:numCache>
                <c:formatCode>#,##0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Datos!$C$54</c:f>
              <c:strCache>
                <c:ptCount val="1"/>
                <c:pt idx="0">
                  <c:v>Asistió sin inscribirse</c:v>
                </c:pt>
              </c:strCache>
            </c:strRef>
          </c:tx>
          <c:spPr>
            <a:solidFill>
              <a:srgbClr val="9DC3E6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Datos!$A$55:$A$60</c:f>
              <c:strCache>
                <c:ptCount val="6"/>
                <c:pt idx="0">
                  <c:v>28/09</c:v>
                </c:pt>
                <c:pt idx="1">
                  <c:v>05/10</c:v>
                </c:pt>
                <c:pt idx="2">
                  <c:v>12/10</c:v>
                </c:pt>
                <c:pt idx="3">
                  <c:v>19/10</c:v>
                </c:pt>
                <c:pt idx="4">
                  <c:v>26/10</c:v>
                </c:pt>
                <c:pt idx="5">
                  <c:v>02/11</c:v>
                </c:pt>
              </c:strCache>
            </c:strRef>
          </c:cat>
          <c:val>
            <c:numRef>
              <c:f>Datos!$C$55:$C$60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Datos!$D$54</c:f>
              <c:strCache>
                <c:ptCount val="1"/>
                <c:pt idx="0">
                  <c:v>No asistió</c:v>
                </c:pt>
              </c:strCache>
            </c:strRef>
          </c:tx>
          <c:spPr>
            <a:solidFill>
              <a:srgbClr val="F4B183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Datos!$A$55:$A$60</c:f>
              <c:strCache>
                <c:ptCount val="6"/>
                <c:pt idx="0">
                  <c:v>28/09</c:v>
                </c:pt>
                <c:pt idx="1">
                  <c:v>05/10</c:v>
                </c:pt>
                <c:pt idx="2">
                  <c:v>12/10</c:v>
                </c:pt>
                <c:pt idx="3">
                  <c:v>19/10</c:v>
                </c:pt>
                <c:pt idx="4">
                  <c:v>26/10</c:v>
                </c:pt>
                <c:pt idx="5">
                  <c:v>02/11</c:v>
                </c:pt>
              </c:strCache>
            </c:strRef>
          </c:cat>
          <c:val>
            <c:numRef>
              <c:f>Datos!$D$55:$D$60</c:f>
              <c:numCache>
                <c:formatCode>#,##0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Datos!$E$54</c:f>
              <c:strCache>
                <c:ptCount val="1"/>
                <c:pt idx="0">
                  <c:v>Cita agendada</c:v>
                </c:pt>
              </c:strCache>
            </c:strRef>
          </c:tx>
          <c:spPr>
            <a:solidFill>
              <a:srgbClr val="1F3864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Datos!$A$55:$A$60</c:f>
              <c:strCache>
                <c:ptCount val="6"/>
                <c:pt idx="0">
                  <c:v>28/09</c:v>
                </c:pt>
                <c:pt idx="1">
                  <c:v>05/10</c:v>
                </c:pt>
                <c:pt idx="2">
                  <c:v>12/10</c:v>
                </c:pt>
                <c:pt idx="3">
                  <c:v>19/10</c:v>
                </c:pt>
                <c:pt idx="4">
                  <c:v>26/10</c:v>
                </c:pt>
                <c:pt idx="5">
                  <c:v>02/11</c:v>
                </c:pt>
              </c:strCache>
            </c:strRef>
          </c:cat>
          <c:val>
            <c:numRef>
              <c:f>Datos!$E$55:$E$60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11</c:v>
                </c:pt>
                <c:pt idx="5">
                  <c:v>2</c:v>
                </c:pt>
              </c:numCache>
            </c:numRef>
          </c:val>
        </c:ser>
        <c:gapWidth val="40"/>
        <c:overlap val="10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Datos!$B$63</c:f>
              <c:strCache>
                <c:ptCount val="1"/>
                <c:pt idx="0">
                  <c:v>CM vencidas</c:v>
                </c:pt>
              </c:strCache>
            </c:strRef>
          </c:tx>
          <c:spPr>
            <a:solidFill>
              <a:srgbClr val="9DC3E6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Datos!$A$64:$A$66</c:f>
              <c:strCache>
                <c:ptCount val="3"/>
                <c:pt idx="0">
                  <c:v>Facebook</c:v>
                </c:pt>
                <c:pt idx="1">
                  <c:v>WhatsApp</c:v>
                </c:pt>
                <c:pt idx="2">
                  <c:v>Instagram</c:v>
                </c:pt>
              </c:strCache>
            </c:strRef>
          </c:cat>
          <c:val>
            <c:numRef>
              <c:f>Datos!$B$64:$B$66</c:f>
              <c:numCache>
                <c:formatCode>#,##0</c:formatCode>
                <c:ptCount val="3"/>
                <c:pt idx="0">
                  <c:v>20</c:v>
                </c:pt>
                <c:pt idx="1">
                  <c:v>14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Datos!$D$63</c:f>
              <c:strCache>
                <c:ptCount val="1"/>
                <c:pt idx="0">
                  <c:v>Inscritos</c:v>
                </c:pt>
              </c:strCache>
            </c:strRef>
          </c:tx>
          <c:spPr>
            <a:solidFill>
              <a:srgbClr val="70AD47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Datos!$A$64:$A$66</c:f>
              <c:strCache>
                <c:ptCount val="3"/>
                <c:pt idx="0">
                  <c:v>Facebook</c:v>
                </c:pt>
                <c:pt idx="1">
                  <c:v>WhatsApp</c:v>
                </c:pt>
                <c:pt idx="2">
                  <c:v>Instagram</c:v>
                </c:pt>
              </c:strCache>
            </c:strRef>
          </c:cat>
          <c:val>
            <c:numRef>
              <c:f>Datos!$D$64:$D$66</c:f>
              <c:numCache>
                <c:formatCode>#,##0</c:formatCode>
                <c:ptCount val="3"/>
                <c:pt idx="0">
                  <c:v>13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Datos!$E$69</c:f>
              <c:strCache>
                <c:ptCount val="1"/>
                <c:pt idx="0">
                  <c:v>Asistencia</c:v>
                </c:pt>
              </c:strCache>
            </c:strRef>
          </c:tx>
          <c:spPr>
            <a:solidFill>
              <a:srgbClr val="2E75B6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Datos!$A$70:$A$71</c:f>
              <c:strCache>
                <c:ptCount val="2"/>
                <c:pt idx="0">
                  <c:v>Kids, Junior y Parenthood</c:v>
                </c:pt>
                <c:pt idx="1">
                  <c:v>College (adultos)</c:v>
                </c:pt>
              </c:strCache>
            </c:strRef>
          </c:cat>
          <c:val>
            <c:numRef>
              <c:f>Datos!$E$70:$E$71</c:f>
              <c:numCache>
                <c:formatCode>0%</c:formatCode>
                <c:ptCount val="2"/>
                <c:pt idx="0">
                  <c:v>0.7894736842105263</c:v>
                </c:pt>
                <c:pt idx="1">
                  <c:v>0.55</c:v>
                </c:pt>
              </c:numCache>
            </c:numRef>
          </c:val>
        </c:ser>
        <c:ser>
          <c:idx val="1"/>
          <c:order val="1"/>
          <c:tx>
            <c:strRef>
              <c:f>Datos!$F$69</c:f>
              <c:strCache>
                <c:ptCount val="1"/>
                <c:pt idx="0">
                  <c:v>CM → inscripción</c:v>
                </c:pt>
              </c:strCache>
            </c:strRef>
          </c:tx>
          <c:spPr>
            <a:solidFill>
              <a:srgbClr val="70AD47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Datos!$A$70:$A$71</c:f>
              <c:strCache>
                <c:ptCount val="2"/>
                <c:pt idx="0">
                  <c:v>Kids, Junior y Parenthood</c:v>
                </c:pt>
                <c:pt idx="1">
                  <c:v>College (adultos)</c:v>
                </c:pt>
              </c:strCache>
            </c:strRef>
          </c:cat>
          <c:val>
            <c:numRef>
              <c:f>Datos!$F$70:$F$71</c:f>
              <c:numCache>
                <c:formatCode>0%</c:formatCode>
                <c:ptCount val="2"/>
                <c:pt idx="0">
                  <c:v>0.5263157894736842</c:v>
                </c:pt>
                <c:pt idx="1">
                  <c:v>0.25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Datos!$E$74</c:f>
              <c:strCache>
                <c:ptCount val="1"/>
                <c:pt idx="0">
                  <c:v>Inasistencia</c:v>
                </c:pt>
              </c:strCache>
            </c:strRef>
          </c:tx>
          <c:spPr>
            <a:solidFill>
              <a:srgbClr val="1F3864"/>
            </a:solidFill>
          </c:spPr>
          <c:invertIfNegative val="0"/>
          <c:dPt>
            <c:idx val="0"/>
            <c:invertIfNegative val="0"/>
            <c:spPr>
              <a:solidFill>
                <a:srgbClr val="9DC3E6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invertIfNegative val="0"/>
            <c:spPr>
              <a:solidFill>
                <a:srgbClr val="9DC3E6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invertIfNegative val="0"/>
            <c:spPr>
              <a:solidFill>
                <a:srgbClr val="C00000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invertIfNegative val="0"/>
            <c:spPr>
              <a:solidFill>
                <a:srgbClr val="9DC3E6"/>
              </a:solidFill>
              <a:ln>
                <a:solidFill>
                  <a:srgbClr val="FFFFFF"/>
                </a:solidFill>
              </a:ln>
            </c:spPr>
          </c:dPt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Datos!$A$75:$A$78</c:f>
              <c:strCache>
                <c:ptCount val="4"/>
                <c:pt idx="0">
                  <c:v>L-V mañana (antes de 14 h)</c:v>
                </c:pt>
                <c:pt idx="1">
                  <c:v>L-V tarde (14 a 18 h)</c:v>
                </c:pt>
                <c:pt idx="2">
                  <c:v>L-V noche (18 h o más)</c:v>
                </c:pt>
                <c:pt idx="3">
                  <c:v>Sábado</c:v>
                </c:pt>
              </c:strCache>
            </c:strRef>
          </c:cat>
          <c:val>
            <c:numRef>
              <c:f>Datos!$E$75:$E$78</c:f>
              <c:numCache>
                <c:formatCode>0%</c:formatCode>
                <c:ptCount val="4"/>
                <c:pt idx="0">
                  <c:v>0.25</c:v>
                </c:pt>
                <c:pt idx="1">
                  <c:v>0.3</c:v>
                </c:pt>
                <c:pt idx="2">
                  <c:v>0.5</c:v>
                </c:pt>
                <c:pt idx="3">
                  <c:v>0.0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Variación</c:v>
          </c:tx>
          <c:spPr>
            <a:solidFill>
              <a:srgbClr val="1F3864"/>
            </a:solidFill>
          </c:spPr>
          <c:invertIfNegative val="0"/>
          <c:dPt>
            <c:idx val="0"/>
            <c:invertIfNegative val="0"/>
            <c:spPr>
              <a:solidFill>
                <a:srgbClr val="A5A5A5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invertIfNegative val="0"/>
            <c:spPr>
              <a:solidFill>
                <a:srgbClr val="A5A5A5"/>
              </a:solidFill>
              <a:ln>
                <a:solidFill>
                  <a:srgbClr val="FFFFFF"/>
                </a:solidFill>
              </a:ln>
            </c:spPr>
          </c:dPt>
          <c:dPt>
            <c:idx val="4"/>
            <c:invertIfNegative val="0"/>
            <c:spPr>
              <a:solidFill>
                <a:srgbClr val="C00000"/>
              </a:solidFill>
              <a:ln>
                <a:solidFill>
                  <a:srgbClr val="FFFFFF"/>
                </a:solidFill>
              </a:ln>
            </c:spPr>
          </c:dPt>
          <c:dPt>
            <c:idx val="5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Lbls>
            <c:numFmt formatCode="+0%;-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Datos!$A$41:$A$46</c:f>
              <c:strCache>
                <c:ptCount val="6"/>
                <c:pt idx="0">
                  <c:v>Gasto por día</c:v>
                </c:pt>
                <c:pt idx="1">
                  <c:v>Conversaciones por día</c:v>
                </c:pt>
                <c:pt idx="2">
                  <c:v>Costo por conversación</c:v>
                </c:pt>
                <c:pt idx="3">
                  <c:v>CM agendadas por día</c:v>
                </c:pt>
                <c:pt idx="4">
                  <c:v>Conversación → CM agendada</c:v>
                </c:pt>
                <c:pt idx="5">
                  <c:v>Costo por inscripción</c:v>
                </c:pt>
              </c:strCache>
            </c:strRef>
          </c:cat>
          <c:val>
            <c:numRef>
              <c:f>Datos!$E$41:$E$46</c:f>
              <c:numCache>
                <c:formatCode>+0%;-0%</c:formatCode>
                <c:ptCount val="6"/>
                <c:pt idx="0">
                  <c:v>0.07880208459823046</c:v>
                </c:pt>
                <c:pt idx="1">
                  <c:v>0.4694690265486725</c:v>
                </c:pt>
                <c:pt idx="2">
                  <c:v>-0.2659019971959202</c:v>
                </c:pt>
                <c:pt idx="3">
                  <c:v>-0.02804092459264873</c:v>
                </c:pt>
                <c:pt idx="4">
                  <c:v>-0.33856443528436797</c:v>
                </c:pt>
                <c:pt idx="5">
                  <c:v>-0.2648069045584981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+0%;-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pieChart>
        <c:varyColors val="1"/>
        <c:ser>
          <c:idx val="0"/>
          <c:order val="0"/>
          <c:tx>
            <c:v>Gasto</c:v>
          </c:tx>
          <c:spPr>
            <a:solidFill>
              <a:srgbClr val="1F3864"/>
            </a:solidFill>
          </c:spPr>
          <c:dPt>
            <c:idx val="0"/>
            <c:bubble3D val="0"/>
            <c:spPr>
              <a:solidFill>
                <a:srgbClr val="1F3864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9DC3E6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C55A11"/>
              </a:solidFill>
              <a:ln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A5A5A5"/>
              </a:solidFill>
              <a:ln>
                <a:solidFill>
                  <a:srgbClr val="FFFFFF"/>
                </a:solidFill>
              </a:ln>
            </c:spPr>
          </c:dPt>
          <c:dPt>
            <c:idx val="5"/>
            <c:bubble3D val="0"/>
            <c:spPr>
              <a:solidFill>
                <a:srgbClr val="D9D9D9"/>
              </a:solidFill>
              <a:ln>
                <a:solidFill>
                  <a:srgbClr val="FFFFFF"/>
                </a:solidFill>
              </a:ln>
            </c:spPr>
          </c:dPt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Datos!$A$93:$A$98</c:f>
              <c:strCache>
                <c:ptCount val="6"/>
                <c:pt idx="0">
                  <c:v>Eres de Pachuca</c:v>
                </c:pt>
                <c:pt idx="1">
                  <c:v>Post octubre</c:v>
                </c:pt>
                <c:pt idx="2">
                  <c:v>pierde el miedo</c:v>
                </c:pt>
                <c:pt idx="3">
                  <c:v>Terror</c:v>
                </c:pt>
                <c:pt idx="4">
                  <c:v>Niña Nancy</c:v>
                </c:pt>
                <c:pt idx="5">
                  <c:v>porque elegir kugelman</c:v>
                </c:pt>
              </c:strCache>
            </c:strRef>
          </c:cat>
          <c:val>
            <c:numRef>
              <c:f>Datos!$B$93:$B$98</c:f>
              <c:numCache>
                <c:formatCode>0%</c:formatCode>
                <c:ptCount val="6"/>
                <c:pt idx="0">
                  <c:v>2944.19</c:v>
                </c:pt>
                <c:pt idx="1">
                  <c:v>222.78</c:v>
                </c:pt>
                <c:pt idx="2">
                  <c:v>91.16</c:v>
                </c:pt>
                <c:pt idx="3">
                  <c:v>73.35</c:v>
                </c:pt>
                <c:pt idx="4">
                  <c:v>19.26</c:v>
                </c:pt>
                <c:pt idx="5">
                  <c:v>5.49</c:v>
                </c:pt>
              </c:numCache>
            </c:numRef>
          </c:val>
        </c:ser>
        <c:firstSliceAng val="0"/>
      </c:pieChart>
      <c:spPr>
        <a:noFill/>
      </c:spPr>
    </c:plotArea>
    <c:legend>
      <c:legendPos val="r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Inscripciones por mes</c:v>
          </c:tx>
          <c:spPr>
            <a:solidFill>
              <a:srgbClr val="1F3864"/>
            </a:solidFill>
          </c:spPr>
          <c:invertIfNegative val="0"/>
          <c:dPt>
            <c:idx val="0"/>
            <c:invertIfNegative val="0"/>
            <c:spPr>
              <a:solidFill>
                <a:srgbClr val="A5A5A5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invertIfNegative val="0"/>
            <c:spPr>
              <a:solidFill>
                <a:srgbClr val="9DC3E6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invertIfNegative val="0"/>
            <c:spPr>
              <a:solidFill>
                <a:srgbClr val="C55A11"/>
              </a:solidFill>
              <a:ln>
                <a:solidFill>
                  <a:srgbClr val="FFFFFF"/>
                </a:solidFill>
              </a:ln>
            </c:spPr>
          </c:dPt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Datos!$A$107:$A$110</c:f>
              <c:strCache>
                <c:ptCount val="4"/>
                <c:pt idx="0">
                  <c:v>A. $5,000 proceso actual</c:v>
                </c:pt>
                <c:pt idx="1">
                  <c:v>B. $5,000 tasas de sept.</c:v>
                </c:pt>
                <c:pt idx="2">
                  <c:v>C. $5,000 metas propuestas</c:v>
                </c:pt>
                <c:pt idx="3">
                  <c:v>D. $7,000 proceso actual</c:v>
                </c:pt>
              </c:strCache>
            </c:strRef>
          </c:cat>
          <c:val>
            <c:numRef>
              <c:f>Datos!$E$107:$E$110</c:f>
              <c:numCache>
                <c:formatCode>0</c:formatCode>
                <c:ptCount val="4"/>
                <c:pt idx="0">
                  <c:v>22.5</c:v>
                </c:pt>
                <c:pt idx="1">
                  <c:v>31.1</c:v>
                </c:pt>
                <c:pt idx="2">
                  <c:v>36.3</c:v>
                </c:pt>
                <c:pt idx="3">
                  <c:v>31.5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pieChart>
        <c:varyColors val="1"/>
        <c:ser>
          <c:idx val="0"/>
          <c:order val="0"/>
          <c:tx>
            <c:v>Monto</c:v>
          </c:tx>
          <c:spPr>
            <a:solidFill>
              <a:srgbClr val="1F3864"/>
            </a:solidFill>
          </c:spPr>
          <c:dPt>
            <c:idx val="0"/>
            <c:bubble3D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A5A5A5"/>
              </a:solidFill>
              <a:ln>
                <a:solidFill>
                  <a:srgbClr val="FFFFFF"/>
                </a:solidFill>
              </a:ln>
            </c:spPr>
          </c:dPt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Datos!$A$113:$A$115</c:f>
              <c:strCache>
                <c:ptCount val="3"/>
                <c:pt idx="0">
                  <c:v>Conjunto "Familias" (Kids, Junior, Parenthood)</c:v>
                </c:pt>
                <c:pt idx="1">
                  <c:v>Conjunto "Adultos - mañana"</c:v>
                </c:pt>
                <c:pt idx="2">
                  <c:v>Pruebas de creativos nuevos</c:v>
                </c:pt>
              </c:strCache>
            </c:strRef>
          </c:cat>
          <c:val>
            <c:numRef>
              <c:f>Datos!$B$113:$B$115</c:f>
              <c:numCache>
                <c:formatCode>0%</c:formatCode>
                <c:ptCount val="3"/>
                <c:pt idx="0">
                  <c:v>2500</c:v>
                </c:pt>
                <c:pt idx="1">
                  <c:v>2000</c:v>
                </c:pt>
                <c:pt idx="2">
                  <c:v>500</c:v>
                </c:pt>
              </c:numCache>
            </c:numRef>
          </c:val>
        </c:ser>
        <c:firstSliceAng val="0"/>
      </c:pieChart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Citas</c:v>
          </c:tx>
          <c:spPr>
            <a:solidFill>
              <a:srgbClr val="2E75B6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Datos!$A$146:$A$151</c:f>
              <c:strCache>
                <c:ptCount val="6"/>
                <c:pt idx="0">
                  <c:v>23/10</c:v>
                </c:pt>
                <c:pt idx="1">
                  <c:v>24/10</c:v>
                </c:pt>
                <c:pt idx="2">
                  <c:v>26/10</c:v>
                </c:pt>
                <c:pt idx="3">
                  <c:v>27/10</c:v>
                </c:pt>
                <c:pt idx="4">
                  <c:v>29/10</c:v>
                </c:pt>
                <c:pt idx="5">
                  <c:v>07/11</c:v>
                </c:pt>
              </c:strCache>
            </c:strRef>
          </c:cat>
          <c:val>
            <c:numRef>
              <c:f>Datos!$B$146:$B$151</c:f>
              <c:numCache>
                <c:formatCode>#,##0</c:formatCode>
                <c:ptCount val="6"/>
                <c:pt idx="0">
                  <c:v>1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gapWidth val="5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Datos!$B$81</c:f>
              <c:strCache>
                <c:ptCount val="1"/>
                <c:pt idx="0">
                  <c:v>Octubre</c:v>
                </c:pt>
              </c:strCache>
            </c:strRef>
          </c:tx>
          <c:spPr>
            <a:solidFill>
              <a:srgbClr val="C55A11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Datos!$A$82:$A$89</c:f>
              <c:strCache>
                <c:ptCount val="8"/>
                <c:pt idx="0">
                  <c:v>Horarios</c:v>
                </c:pt>
                <c:pt idx="1">
                  <c:v>Sin respuesta</c:v>
                </c:pt>
                <c:pt idx="2">
                  <c:v>Pendiente de decisión</c:v>
                </c:pt>
                <c:pt idx="3">
                  <c:v>Inscripción pospuesta</c:v>
                </c:pt>
                <c:pt idx="4">
                  <c:v>Ubicación</c:v>
                </c:pt>
                <c:pt idx="5">
                  <c:v>Precio</c:v>
                </c:pt>
                <c:pt idx="6">
                  <c:v>Motivos personales</c:v>
                </c:pt>
                <c:pt idx="7">
                  <c:v>Sin motivo registrado</c:v>
                </c:pt>
              </c:strCache>
            </c:strRef>
          </c:cat>
          <c:val>
            <c:numRef>
              <c:f>Datos!$B$82:$B$89</c:f>
              <c:numCache>
                <c:formatCode>#,##0</c:formatCode>
                <c:ptCount val="8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Datos!$C$81</c:f>
              <c:strCache>
                <c:ptCount val="1"/>
                <c:pt idx="0">
                  <c:v>Septiembre</c:v>
                </c:pt>
              </c:strCache>
            </c:strRef>
          </c:tx>
          <c:spPr>
            <a:solidFill>
              <a:srgbClr val="A5A5A5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Datos!$A$82:$A$89</c:f>
              <c:strCache>
                <c:ptCount val="8"/>
                <c:pt idx="0">
                  <c:v>Horarios</c:v>
                </c:pt>
                <c:pt idx="1">
                  <c:v>Sin respuesta</c:v>
                </c:pt>
                <c:pt idx="2">
                  <c:v>Pendiente de decisión</c:v>
                </c:pt>
                <c:pt idx="3">
                  <c:v>Inscripción pospuesta</c:v>
                </c:pt>
                <c:pt idx="4">
                  <c:v>Ubicación</c:v>
                </c:pt>
                <c:pt idx="5">
                  <c:v>Precio</c:v>
                </c:pt>
                <c:pt idx="6">
                  <c:v>Motivos personales</c:v>
                </c:pt>
                <c:pt idx="7">
                  <c:v>Sin motivo registrado</c:v>
                </c:pt>
              </c:strCache>
            </c:strRef>
          </c:cat>
          <c:val>
            <c:numRef>
              <c:f>Datos!$C$82:$C$89</c:f>
              <c:numCache>
                <c:formatCode>#,##0</c:formatCode>
                <c:ptCount val="8"/>
                <c:pt idx="0">
                  <c:v>6</c:v>
                </c:pt>
                <c:pt idx="1">
                  <c:v>9</c:v>
                </c:pt>
                <c:pt idx="2">
                  <c:v>4</c:v>
                </c:pt>
                <c:pt idx="3">
                  <c:v>0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Mensualidad</c:v>
          </c:tx>
          <c:spPr>
            <a:solidFill>
              <a:srgbClr val="1F3864"/>
            </a:solidFill>
          </c:spPr>
          <c:invertIfNegative val="0"/>
          <c:dPt>
            <c:idx val="0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invertIfNegative val="0"/>
            <c:spPr>
              <a:solidFill>
                <a:srgbClr val="C00000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>
                <a:solidFill>
                  <a:srgbClr val="FFFFFF"/>
                </a:solidFill>
              </a:ln>
            </c:spPr>
          </c:dPt>
          <c:dLbls>
            <c:numFmt formatCode="&quot;$&quot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Datos!$A$128:$A$130</c:f>
              <c:strCache>
                <c:ptCount val="3"/>
                <c:pt idx="0">
                  <c:v>Altas</c:v>
                </c:pt>
                <c:pt idx="1">
                  <c:v>Bajas</c:v>
                </c:pt>
                <c:pt idx="2">
                  <c:v>Saldo neto</c:v>
                </c:pt>
              </c:strCache>
            </c:strRef>
          </c:cat>
          <c:val>
            <c:numRef>
              <c:f>Datos!$B$128:$B$130</c:f>
              <c:numCache>
                <c:formatCode>"$"#,##0</c:formatCode>
                <c:ptCount val="3"/>
                <c:pt idx="0">
                  <c:v>10900.0</c:v>
                </c:pt>
                <c:pt idx="1">
                  <c:v>6250</c:v>
                </c:pt>
                <c:pt idx="2">
                  <c:v>4650.0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Bajas</c:v>
          </c:tx>
          <c:spPr>
            <a:solidFill>
              <a:srgbClr val="C00000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Datos!$A$132:$A$137</c:f>
              <c:strCache>
                <c:ptCount val="6"/>
                <c:pt idx="0">
                  <c:v>Temas personales o familiares</c:v>
                </c:pt>
                <c:pt idx="1">
                  <c:v>Falta de tiempo</c:v>
                </c:pt>
                <c:pt idx="2">
                  <c:v>Problemas de transporte/distancia</c:v>
                </c:pt>
                <c:pt idx="3">
                  <c:v>Preferí otra escuela</c:v>
                </c:pt>
                <c:pt idx="4">
                  <c:v>Económicos</c:v>
                </c:pt>
                <c:pt idx="5">
                  <c:v>Horarios</c:v>
                </c:pt>
              </c:strCache>
            </c:strRef>
          </c:cat>
          <c:val>
            <c:numRef>
              <c:f>Datos!$B$132:$B$137</c:f>
              <c:numCache>
                <c:formatCode>#,##0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Ocupación</c:v>
          </c:tx>
          <c:spPr>
            <a:solidFill>
              <a:srgbClr val="1F3864"/>
            </a:solidFill>
          </c:spPr>
          <c:invertIfNegative val="0"/>
          <c:dPt>
            <c:idx val="0"/>
            <c:invertIfNegative val="0"/>
            <c:spPr>
              <a:solidFill>
                <a:srgbClr val="C55A11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invertIfNegative val="0"/>
            <c:spPr>
              <a:solidFill>
                <a:srgbClr val="C55A11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invertIfNegative val="0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invertIfNegative val="0"/>
            <c:spPr>
              <a:solidFill>
                <a:srgbClr val="C55A11"/>
              </a:solidFill>
              <a:ln>
                <a:solidFill>
                  <a:srgbClr val="FFFFFF"/>
                </a:solidFill>
              </a:ln>
            </c:spPr>
          </c:dPt>
          <c:dPt>
            <c:idx val="4"/>
            <c:invertIfNegative val="0"/>
            <c:spPr>
              <a:solidFill>
                <a:srgbClr val="1F3864"/>
              </a:solidFill>
              <a:ln>
                <a:solidFill>
                  <a:srgbClr val="FFFFFF"/>
                </a:solidFill>
              </a:ln>
            </c:spPr>
          </c:dPt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Datos!$A$139:$A$143</c:f>
              <c:strCache>
                <c:ptCount val="5"/>
                <c:pt idx="0">
                  <c:v>Mañana (8-12:50)</c:v>
                </c:pt>
                <c:pt idx="1">
                  <c:v>15 h</c:v>
                </c:pt>
                <c:pt idx="2">
                  <c:v>Tarde 16-18:50</c:v>
                </c:pt>
                <c:pt idx="3">
                  <c:v>Noche 19-20:50</c:v>
                </c:pt>
                <c:pt idx="4">
                  <c:v>Kids y Junior de la tarde</c:v>
                </c:pt>
              </c:strCache>
            </c:strRef>
          </c:cat>
          <c:val>
            <c:numRef>
              <c:f>Datos!$B$139:$B$143</c:f>
              <c:numCache>
                <c:formatCode>0%</c:formatCode>
                <c:ptCount val="5"/>
                <c:pt idx="0">
                  <c:v>0.417</c:v>
                </c:pt>
                <c:pt idx="1">
                  <c:v>0.208</c:v>
                </c:pt>
                <c:pt idx="2">
                  <c:v>0.656</c:v>
                </c:pt>
                <c:pt idx="3">
                  <c:v>0.306</c:v>
                </c:pt>
                <c:pt idx="4">
                  <c:v>0.9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15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0</xdr:colOff>
      <xdr:row>20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22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22</xdr:row>
      <xdr:rowOff>0</xdr:rowOff>
    </xdr:from>
    <xdr:to>
      <xdr:col>17</xdr:col>
      <xdr:colOff>0</xdr:colOff>
      <xdr:row>37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9</xdr:col>
      <xdr:colOff>0</xdr:colOff>
      <xdr:row>24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26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23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9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Q33"/>
  <sheetViews>
    <sheetView workbookViewId="0" zoomScale="85" showGridLines="0" tabSelected="1"/>
  </sheetViews>
  <sheetFormatPr defaultRowHeight="15"/>
  <cols>
    <col min="1" max="1" width="2" customWidth="1"/>
    <col min="2" max="2" width="10.5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  <col min="13" max="13" width="10.5" customWidth="1"/>
    <col min="14" max="14" width="10.5" customWidth="1"/>
    <col min="15" max="15" width="10.5" customWidth="1"/>
    <col min="16" max="16" width="10.5" customWidth="1"/>
    <col min="17" max="17" width="10.5" customWidth="1"/>
  </cols>
  <sheetData>
    <row r="1" ht="38" customHeight="1">
      <c r="B1" s="15" t="inlineStr">
        <is>
          <t>Kugelman Academy · Avance comercial de octubre</t>
        </is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ht="20" customHeight="1">
      <c r="B2" s="16" t="inlineStr">
        <is>
          <t>Marketing y Comercial · Avance de octubre al 23 de octubre de 2026 · Presentación a Dirección y Finanzas</t>
        </is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ht="8" customHeight="1"/>
    <row r="4" ht="18" customHeight="1">
      <c r="B4" s="19" t="inlineStr">
        <is>
          <t>INSCRIPCIONES EN OCTUBRE</t>
        </is>
      </c>
      <c r="C4" s="19"/>
      <c r="D4" s="19"/>
      <c r="E4" s="19"/>
      <c r="F4" s="19" t="inlineStr">
        <is>
          <t>CIERRE TRAS CLASE MUESTRA</t>
        </is>
      </c>
      <c r="G4" s="19"/>
      <c r="H4" s="19"/>
      <c r="I4" s="19"/>
      <c r="J4" s="19" t="inlineStr">
        <is>
          <t>ASISTENCIA A CLASE MUESTRA</t>
        </is>
      </c>
      <c r="K4" s="19"/>
      <c r="L4" s="19"/>
      <c r="M4" s="19"/>
      <c r="N4" s="19" t="inlineStr">
        <is>
          <t>CITAS YA AGENDADAS</t>
        </is>
      </c>
      <c r="O4" s="19"/>
      <c r="P4" s="19"/>
      <c r="Q4" s="19"/>
    </row>
    <row r="5" ht="20" customHeight="1">
      <c r="B5" s="20">
        <f>Datos!$B$7</f>
        <v>15</v>
      </c>
      <c r="C5" s="20"/>
      <c r="D5" s="20"/>
      <c r="E5" s="20"/>
      <c r="F5" s="22">
        <f>Datos!$B$10</f>
        <v>0.5769230769230769</v>
      </c>
      <c r="G5" s="22"/>
      <c r="H5" s="22"/>
      <c r="I5" s="22"/>
      <c r="J5" s="23">
        <f>Datos!$B$9</f>
        <v>0.6666666666666666</v>
      </c>
      <c r="K5" s="23"/>
      <c r="L5" s="23"/>
      <c r="M5" s="23"/>
      <c r="N5" s="24">
        <f>Datos!$B$12</f>
        <v>20</v>
      </c>
      <c r="O5" s="24"/>
      <c r="P5" s="24"/>
      <c r="Q5" s="24"/>
    </row>
    <row r="6" ht="20" customHeight="1">
      <c r="B6" s="20"/>
      <c r="C6" s="20"/>
      <c r="D6" s="20"/>
      <c r="E6" s="20"/>
      <c r="F6" s="22"/>
      <c r="G6" s="22"/>
      <c r="H6" s="22"/>
      <c r="I6" s="22"/>
      <c r="J6" s="23"/>
      <c r="K6" s="23"/>
      <c r="L6" s="23"/>
      <c r="M6" s="23"/>
      <c r="N6" s="24"/>
      <c r="O6" s="24"/>
      <c r="P6" s="24"/>
      <c r="Q6" s="24"/>
    </row>
    <row r="7" ht="30" customHeight="1">
      <c r="B7" s="21" t="inlineStr">
        <is>
          <t>De 26 prospectos que asistieron a clase muestra (1 al 23-oct).</t>
        </is>
      </c>
      <c r="C7" s="21"/>
      <c r="D7" s="21"/>
      <c r="E7" s="21"/>
      <c r="F7" s="21" t="inlineStr">
        <is>
          <t>Campaña de septiembre: 46%. Es nuestra fortaleza.</t>
        </is>
      </c>
      <c r="G7" s="21"/>
      <c r="H7" s="21"/>
      <c r="I7" s="21"/>
      <c r="J7" s="21" t="inlineStr">
        <is>
          <t>Campaña de septiembre: 76%. 13 prospectos no llegaron.</t>
        </is>
      </c>
      <c r="K7" s="21"/>
      <c r="L7" s="21"/>
      <c r="M7" s="21"/>
      <c r="N7" s="21" t="inlineStr">
        <is>
          <t>18 del 23 al 29-oct y 2 para el 7-nov. Estimado: ~8 inscripciones.</t>
        </is>
      </c>
      <c r="O7" s="21"/>
      <c r="P7" s="21"/>
      <c r="Q7" s="21"/>
    </row>
    <row r="9" ht="18" customHeight="1">
      <c r="B9" s="19" t="inlineStr">
        <is>
          <t>INVERSIÓN META (4 AL 23-OCT)</t>
        </is>
      </c>
      <c r="C9" s="19"/>
      <c r="D9" s="19"/>
      <c r="E9" s="19"/>
      <c r="F9" s="19" t="inlineStr">
        <is>
          <t>COSTO POR CONVERSACIÓN</t>
        </is>
      </c>
      <c r="G9" s="19"/>
      <c r="H9" s="19"/>
      <c r="I9" s="19"/>
      <c r="J9" s="19" t="inlineStr">
        <is>
          <t>COSTO POR INSCRIPCIÓN (APARENTE)</t>
        </is>
      </c>
      <c r="K9" s="19"/>
      <c r="L9" s="19"/>
      <c r="M9" s="19"/>
      <c r="N9" s="19" t="inlineStr">
        <is>
          <t>BAJAS DEL 1 AL 16-OCT</t>
        </is>
      </c>
      <c r="O9" s="19"/>
      <c r="P9" s="19"/>
      <c r="Q9" s="19"/>
    </row>
    <row r="10" ht="20" customHeight="1">
      <c r="B10" s="25">
        <f>Datos!$B$19</f>
        <v>3356.23</v>
      </c>
      <c r="C10" s="25"/>
      <c r="D10" s="25"/>
      <c r="E10" s="25"/>
      <c r="F10" s="26">
        <f>Datos!$B$23</f>
        <v>9.095474254742548</v>
      </c>
      <c r="G10" s="26"/>
      <c r="H10" s="26"/>
      <c r="I10" s="26"/>
      <c r="J10" s="25">
        <f>Datos!$B$28</f>
        <v>223.74866666666668</v>
      </c>
      <c r="K10" s="25"/>
      <c r="L10" s="25"/>
      <c r="M10" s="25"/>
      <c r="N10" s="27">
        <f>Datos!$B$119</f>
        <v>9</v>
      </c>
      <c r="O10" s="27"/>
      <c r="P10" s="27"/>
      <c r="Q10" s="27"/>
    </row>
    <row r="11" ht="20" customHeight="1">
      <c r="B11" s="25"/>
      <c r="C11" s="25"/>
      <c r="D11" s="25"/>
      <c r="E11" s="25"/>
      <c r="F11" s="26"/>
      <c r="G11" s="26"/>
      <c r="H11" s="26"/>
      <c r="I11" s="26"/>
      <c r="J11" s="25"/>
      <c r="K11" s="25"/>
      <c r="L11" s="25"/>
      <c r="M11" s="25"/>
      <c r="N11" s="27"/>
      <c r="O11" s="27"/>
      <c r="P11" s="27"/>
      <c r="Q11" s="27"/>
    </row>
    <row r="12" ht="30" customHeight="1">
      <c r="B12" s="21" t="inlineStr">
        <is>
          <t>Al ritmo actual cerraría octubre en ~$4,699 de $5,000.</t>
        </is>
      </c>
      <c r="C12" s="21"/>
      <c r="D12" s="21"/>
      <c r="E12" s="21"/>
      <c r="F12" s="21" t="inlineStr">
        <is>
          <t>369 conversaciones. Septiembre: $12.39 (−27%).</t>
        </is>
      </c>
      <c r="G12" s="21"/>
      <c r="H12" s="21"/>
      <c r="I12" s="21"/>
      <c r="J12" s="21" t="inlineStr">
        <is>
          <t>Septiembre: $304. Se recupera con la primera mensualidad (~$698).</t>
        </is>
      </c>
      <c r="K12" s="21"/>
      <c r="L12" s="21"/>
      <c r="M12" s="21"/>
      <c r="N12" s="21" t="inlineStr">
        <is>
          <t>4 con menos de 17 días inscritos. Salen $6,250 al mes en mensualidades.</t>
        </is>
      </c>
      <c r="O12" s="21"/>
      <c r="P12" s="21"/>
      <c r="Q12" s="21"/>
    </row>
    <row r="14" ht="8" customHeight="1"/>
    <row r="15">
      <c r="B15" s="10" t="inlineStr">
        <is>
          <t>Embudo de octubre</t>
        </is>
      </c>
      <c r="J15" s="10" t="inlineStr">
        <is>
          <t>Tasas: octubre frente a septiembre</t>
        </is>
      </c>
    </row>
    <row r="32">
      <c r="B32" s="28" t="inlineStr">
        <is>
          <t>1. La clase muestra convence</t>
        </is>
      </c>
      <c r="C32" s="28"/>
      <c r="D32" s="28"/>
      <c r="E32" s="28"/>
      <c r="F32" s="28"/>
      <c r="G32" s="30" t="inlineStr">
        <is>
          <t>2. Faltan citas, no interesados</t>
        </is>
      </c>
      <c r="H32" s="30"/>
      <c r="I32" s="30"/>
      <c r="J32" s="30"/>
      <c r="K32" s="30"/>
      <c r="L32" s="30"/>
      <c r="M32" s="31" t="inlineStr">
        <is>
          <t>3. Retener vale más que captar</t>
        </is>
      </c>
      <c r="N32" s="31"/>
      <c r="O32" s="31"/>
      <c r="P32" s="31"/>
      <c r="Q32" s="31"/>
    </row>
    <row r="33" ht="60" customHeight="1">
      <c r="B33" s="29" t="inlineStr">
        <is>
          <t>58% de quienes asisten se inscribe, más que en septiembre. Cuando el prospecto llega, cerramos.</t>
        </is>
      </c>
      <c r="C33" s="29"/>
      <c r="D33" s="29"/>
      <c r="E33" s="29"/>
      <c r="F33" s="29"/>
      <c r="G33" s="29" t="inlineStr">
        <is>
          <t>Hay 47% más conversaciones por día que en septiembre, pero las citas por día no subieron: de cada 100 conversaciones agendan ~11 (septiembre: 16).</t>
        </is>
      </c>
      <c r="H33" s="29"/>
      <c r="I33" s="29"/>
      <c r="J33" s="29"/>
      <c r="K33" s="29"/>
      <c r="L33" s="29"/>
      <c r="M33" s="29" t="inlineStr">
        <is>
          <t>Las bajas se llevaron $6,250 de los $10,900 que sumaron las altas. Un alumno cuesta ~$224 y paga ~$698 al mes.</t>
        </is>
      </c>
      <c r="N33" s="29"/>
      <c r="O33" s="29"/>
      <c r="P33" s="29"/>
      <c r="Q33" s="29"/>
    </row>
  </sheetData>
  <mergeCells count="33">
    <mergeCell ref="B1:Q1"/>
    <mergeCell ref="B2:Q2"/>
    <mergeCell ref="B4:E4"/>
    <mergeCell ref="B5:E6"/>
    <mergeCell ref="B7:E7"/>
    <mergeCell ref="F4:I4"/>
    <mergeCell ref="F5:I6"/>
    <mergeCell ref="F7:I7"/>
    <mergeCell ref="J4:M4"/>
    <mergeCell ref="J5:M6"/>
    <mergeCell ref="J7:M7"/>
    <mergeCell ref="N4:Q4"/>
    <mergeCell ref="N5:Q6"/>
    <mergeCell ref="N7:Q7"/>
    <mergeCell ref="B9:E9"/>
    <mergeCell ref="B10:E11"/>
    <mergeCell ref="B12:E12"/>
    <mergeCell ref="F9:I9"/>
    <mergeCell ref="F10:I11"/>
    <mergeCell ref="F12:I12"/>
    <mergeCell ref="J9:M9"/>
    <mergeCell ref="J10:M11"/>
    <mergeCell ref="J12:M12"/>
    <mergeCell ref="N9:Q9"/>
    <mergeCell ref="N10:Q11"/>
    <mergeCell ref="N12:Q12"/>
    <mergeCell ref="B14:Q14"/>
    <mergeCell ref="B32:F32"/>
    <mergeCell ref="B33:F33"/>
    <mergeCell ref="G32:L32"/>
    <mergeCell ref="G33:L33"/>
    <mergeCell ref="M32:Q32"/>
    <mergeCell ref="M33:Q33"/>
  </mergeCells>
  <pageMargins left="0.5" right="0.5" top="0.6" bottom="0.6" header="0.3" footer="0.3"/>
  <pageSetup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5B6"/>
  </sheetPr>
  <dimension ref="A1:Q40"/>
  <sheetViews>
    <sheetView workbookViewId="0" zoomScale="85" showGridLines="0"/>
  </sheetViews>
  <sheetFormatPr defaultRowHeight="15"/>
  <cols>
    <col min="1" max="1" width="2" customWidth="1"/>
    <col min="2" max="2" width="10.5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  <col min="13" max="13" width="10.5" customWidth="1"/>
    <col min="14" max="14" width="10.5" customWidth="1"/>
    <col min="15" max="15" width="10.5" customWidth="1"/>
    <col min="16" max="16" width="10.5" customWidth="1"/>
    <col min="17" max="17" width="10.5" customWidth="1"/>
  </cols>
  <sheetData>
    <row r="1" ht="38" customHeight="1">
      <c r="B1" s="15" t="inlineStr">
        <is>
          <t>Embudo, canales y segmentos</t>
        </is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ht="20" customHeight="1">
      <c r="B2" s="16" t="inlineStr">
        <is>
          <t>Marketing y Comercial · Avance de octubre al 23 de octubre de 2026 · Presentación a Dirección y Finanzas</t>
        </is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ht="8" customHeight="1"/>
    <row r="4">
      <c r="B4" s="10" t="inlineStr">
        <is>
          <t>Clases muestra por semana (incluye citas ya agendadas)</t>
        </is>
      </c>
      <c r="K4" s="10" t="inlineStr">
        <is>
          <t>Inscritos por canal de origen</t>
        </is>
      </c>
    </row>
    <row r="22">
      <c r="B22" s="10" t="inlineStr">
        <is>
          <t>Por programa</t>
        </is>
      </c>
      <c r="K22" s="10" t="inlineStr">
        <is>
          <t>Inasistencia según horario de la clase</t>
        </is>
      </c>
    </row>
    <row r="39">
      <c r="B39" s="32" t="inlineStr">
        <is>
          <t>Lectura</t>
        </is>
      </c>
      <c r="C39" s="32"/>
      <c r="D39" s="32"/>
      <c r="E39" s="32"/>
      <c r="F39" s="32"/>
      <c r="G39" s="32"/>
      <c r="H39" s="32"/>
      <c r="I39" s="32"/>
      <c r="J39" s="30" t="inlineStr">
        <is>
          <t>Qué haremos</t>
        </is>
      </c>
      <c r="K39" s="30"/>
      <c r="L39" s="30"/>
      <c r="M39" s="30"/>
      <c r="N39" s="30"/>
      <c r="O39" s="30"/>
      <c r="P39" s="30"/>
      <c r="Q39" s="30"/>
    </row>
    <row r="40" ht="48" customHeight="1">
      <c r="B40" s="29" t="inlineStr">
        <is>
          <t>Facebook trae 13 de las 15 inscripciones. Las familias (Kids, Junior y Parenthood) convierten el doble que los adultos: 53% contra 25%.</t>
        </is>
      </c>
      <c r="C40" s="29"/>
      <c r="D40" s="29"/>
      <c r="E40" s="29"/>
      <c r="F40" s="29"/>
      <c r="G40" s="29"/>
      <c r="H40" s="29"/>
      <c r="I40" s="29"/>
      <c r="J40" s="29" t="inlineStr">
        <is>
          <t>Confirmar cada cita un día antes y el mismo día, con registro. Las citas de 18 h o más pierden la mitad: hoy se confirman fuera del horario de atención (9 a 18 h).</t>
        </is>
      </c>
      <c r="K40" s="29"/>
      <c r="L40" s="29"/>
      <c r="M40" s="29"/>
      <c r="N40" s="29"/>
      <c r="O40" s="29"/>
      <c r="P40" s="29"/>
      <c r="Q40" s="29"/>
    </row>
  </sheetData>
  <mergeCells count="6">
    <mergeCell ref="B1:Q1"/>
    <mergeCell ref="B2:Q2"/>
    <mergeCell ref="B39:I39"/>
    <mergeCell ref="B40:I40"/>
    <mergeCell ref="J39:Q39"/>
    <mergeCell ref="J40:Q40"/>
  </mergeCells>
  <pageMargins left="0.5" right="0.5" top="0.6" bottom="0.6" header="0.3" footer="0.3"/>
  <pageSetup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55A11"/>
  </sheetPr>
  <dimension ref="A1:Q44"/>
  <sheetViews>
    <sheetView workbookViewId="0" zoomScale="85" showGridLines="0"/>
  </sheetViews>
  <sheetFormatPr defaultRowHeight="15"/>
  <cols>
    <col min="1" max="1" width="2" customWidth="1"/>
    <col min="2" max="2" width="10.5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  <col min="13" max="13" width="10.5" customWidth="1"/>
    <col min="14" max="14" width="10.5" customWidth="1"/>
    <col min="15" max="15" width="10.5" customWidth="1"/>
    <col min="16" max="16" width="10.5" customWidth="1"/>
    <col min="17" max="17" width="10.5" customWidth="1"/>
  </cols>
  <sheetData>
    <row r="1" ht="38" customHeight="1">
      <c r="B1" s="15" t="inlineStr">
        <is>
          <t>Inversión publicitaria y propuesta para noviembre</t>
        </is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ht="20" customHeight="1">
      <c r="B2" s="16" t="inlineStr">
        <is>
          <t>Marketing y Comercial · Avance de octubre al 23 de octubre de 2026 · Presentación a Dirección y Finanzas</t>
        </is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ht="8" customHeight="1"/>
    <row r="4" ht="18" customHeight="1">
      <c r="B4" s="19" t="inlineStr">
        <is>
          <t>GASTADO 4 AL 23-OCT</t>
        </is>
      </c>
      <c r="C4" s="19"/>
      <c r="D4" s="19"/>
      <c r="E4" s="19"/>
      <c r="F4" s="19" t="inlineStr">
        <is>
          <t>CIERRE DE OCTUBRE PROYECTADO</t>
        </is>
      </c>
      <c r="G4" s="19"/>
      <c r="H4" s="19"/>
      <c r="I4" s="19"/>
      <c r="J4" s="19" t="inlineStr">
        <is>
          <t>CONVERSACIONES</t>
        </is>
      </c>
      <c r="K4" s="19"/>
      <c r="L4" s="19"/>
      <c r="M4" s="19"/>
      <c r="N4" s="19" t="inlineStr">
        <is>
          <t>COSTO POR CM REALIZADA</t>
        </is>
      </c>
      <c r="O4" s="19"/>
      <c r="P4" s="19"/>
      <c r="Q4" s="19"/>
    </row>
    <row r="5" ht="20" customHeight="1">
      <c r="B5" s="25">
        <f>Datos!$B$19</f>
        <v>3356.23</v>
      </c>
      <c r="C5" s="25"/>
      <c r="D5" s="25"/>
      <c r="E5" s="25"/>
      <c r="F5" s="33">
        <f>Datos!$B$26</f>
        <v>0.9397443999999999</v>
      </c>
      <c r="G5" s="33"/>
      <c r="H5" s="33"/>
      <c r="I5" s="33"/>
      <c r="J5" s="24">
        <f>Datos!$B$20</f>
        <v>369</v>
      </c>
      <c r="K5" s="24"/>
      <c r="L5" s="24"/>
      <c r="M5" s="24"/>
      <c r="N5" s="34">
        <f>Datos!$B$29</f>
        <v>129.08576923076924</v>
      </c>
      <c r="O5" s="34"/>
      <c r="P5" s="34"/>
      <c r="Q5" s="34"/>
    </row>
    <row r="6" ht="20" customHeight="1">
      <c r="B6" s="25"/>
      <c r="C6" s="25"/>
      <c r="D6" s="25"/>
      <c r="E6" s="25"/>
      <c r="F6" s="33"/>
      <c r="G6" s="33"/>
      <c r="H6" s="33"/>
      <c r="I6" s="33"/>
      <c r="J6" s="24"/>
      <c r="K6" s="24"/>
      <c r="L6" s="24"/>
      <c r="M6" s="24"/>
      <c r="N6" s="34"/>
      <c r="O6" s="34"/>
      <c r="P6" s="34"/>
      <c r="Q6" s="34"/>
    </row>
    <row r="7" ht="30" customHeight="1">
      <c r="B7" s="21" t="inlineStr">
        <is>
          <t>168 pesos por día en promedio.</t>
        </is>
      </c>
      <c r="C7" s="21"/>
      <c r="D7" s="21"/>
      <c r="E7" s="21"/>
      <c r="F7" s="21" t="inlineStr">
        <is>
          <t>~$4,699 del presupuesto habitual de $5,000.</t>
        </is>
      </c>
      <c r="G7" s="21"/>
      <c r="H7" s="21"/>
      <c r="I7" s="21"/>
      <c r="J7" s="21" t="inlineStr">
        <is>
          <t>+79 entre el 19 y el 23-oct. Costo: $9.10 cada una.</t>
        </is>
      </c>
      <c r="K7" s="21"/>
      <c r="L7" s="21"/>
      <c r="M7" s="21"/>
      <c r="N7" s="21" t="inlineStr">
        <is>
          <t>Septiembre: $104. Sube porque se agenda menos por conversación.</t>
        </is>
      </c>
      <c r="O7" s="21"/>
      <c r="P7" s="21"/>
      <c r="Q7" s="21"/>
    </row>
    <row r="9">
      <c r="B9" s="10" t="inlineStr">
        <is>
          <t>Octubre frente a septiembre (variación por día)</t>
        </is>
      </c>
      <c r="K9" s="10" t="inlineStr">
        <is>
          <t>Gasto por anuncio (4 al 23-oct)</t>
        </is>
      </c>
    </row>
    <row r="26">
      <c r="B26" s="10" t="inlineStr">
        <is>
          <t>Escenarios de inscripciones al mes (estimaciones, no pronósticos)</t>
        </is>
      </c>
      <c r="K26" s="10" t="inlineStr">
        <is>
          <t>Propuesta de pauta para noviembre: $5,000</t>
        </is>
      </c>
    </row>
    <row r="43">
      <c r="B43" s="35" t="inlineStr">
        <is>
          <t>Lectura para Finanzas</t>
        </is>
      </c>
      <c r="C43" s="35"/>
      <c r="D43" s="35"/>
      <c r="E43" s="35"/>
      <c r="F43" s="35"/>
      <c r="G43" s="35"/>
      <c r="H43" s="35"/>
      <c r="I43" s="35"/>
      <c r="J43" s="36" t="inlineStr">
        <is>
          <t>Pendiente con Finanzas</t>
        </is>
      </c>
      <c r="K43" s="36"/>
      <c r="L43" s="36"/>
      <c r="M43" s="36"/>
      <c r="N43" s="36"/>
      <c r="O43" s="36"/>
      <c r="P43" s="36"/>
      <c r="Q43" s="36"/>
    </row>
    <row r="44" ht="60" customHeight="1">
      <c r="B44" s="29" t="inlineStr">
        <is>
          <t>Con el mismo presupuesto de $5,000, mejorar agendamiento, confirmación y cierre (C) da más inscripciones (~36) que subir a $7,000 sin cambiar el proceso (D, ~32). Primero proceso, después presupuesto.</t>
        </is>
      </c>
      <c r="C44" s="29"/>
      <c r="D44" s="29"/>
      <c r="E44" s="29"/>
      <c r="F44" s="29"/>
      <c r="G44" s="29"/>
      <c r="H44" s="29"/>
      <c r="I44" s="29"/>
      <c r="J44" s="29" t="inlineStr">
        <is>
          <t>Costos fijos mensuales (para margen real por grupo), si el gasto de Meta incluye IVA, cobranza real y política de descuentos.</t>
        </is>
      </c>
      <c r="K44" s="29"/>
      <c r="L44" s="29"/>
      <c r="M44" s="29"/>
      <c r="N44" s="29"/>
      <c r="O44" s="29"/>
      <c r="P44" s="29"/>
      <c r="Q44" s="29"/>
    </row>
  </sheetData>
  <mergeCells count="18">
    <mergeCell ref="B1:Q1"/>
    <mergeCell ref="B2:Q2"/>
    <mergeCell ref="B4:E4"/>
    <mergeCell ref="B5:E6"/>
    <mergeCell ref="B7:E7"/>
    <mergeCell ref="F4:I4"/>
    <mergeCell ref="F5:I6"/>
    <mergeCell ref="F7:I7"/>
    <mergeCell ref="J4:M4"/>
    <mergeCell ref="J5:M6"/>
    <mergeCell ref="J7:M7"/>
    <mergeCell ref="N4:Q4"/>
    <mergeCell ref="N5:Q6"/>
    <mergeCell ref="N7:Q7"/>
    <mergeCell ref="B43:I43"/>
    <mergeCell ref="B44:I44"/>
    <mergeCell ref="J43:Q43"/>
    <mergeCell ref="J44:Q44"/>
  </mergeCells>
  <pageMargins left="0.5" right="0.5" top="0.6" bottom="0.6" header="0.3" footer="0.3"/>
  <pageSetup orientation="landscape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0AD47"/>
  </sheetPr>
  <dimension ref="A1:Q45"/>
  <sheetViews>
    <sheetView workbookViewId="0" zoomScale="85" showGridLines="0"/>
  </sheetViews>
  <sheetFormatPr defaultRowHeight="15"/>
  <cols>
    <col min="1" max="1" width="2" customWidth="1"/>
    <col min="2" max="2" width="10.5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  <col min="13" max="13" width="10.5" customWidth="1"/>
    <col min="14" max="14" width="10.5" customWidth="1"/>
    <col min="15" max="15" width="10.5" customWidth="1"/>
    <col min="16" max="16" width="10.5" customWidth="1"/>
    <col min="17" max="17" width="10.5" customWidth="1"/>
  </cols>
  <sheetData>
    <row r="1" ht="38" customHeight="1">
      <c r="B1" s="15" t="inlineStr">
        <is>
          <t>Seguimiento: agenda y prospectos por cerrar</t>
        </is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ht="20" customHeight="1">
      <c r="B2" s="16" t="inlineStr">
        <is>
          <t>Marketing y Comercial · Avance de octubre al 23 de octubre de 2026 · Presentación a Dirección y Finanzas</t>
        </is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ht="8" customHeight="1"/>
    <row r="4" ht="18" customHeight="1">
      <c r="B4" s="19" t="inlineStr">
        <is>
          <t>CITAS AGENDADAS</t>
        </is>
      </c>
      <c r="C4" s="19"/>
      <c r="D4" s="19"/>
      <c r="E4" s="19"/>
      <c r="F4" s="19" t="inlineStr">
        <is>
          <t>CITAS EN LA MAÑANA O SÁBADO</t>
        </is>
      </c>
      <c r="G4" s="19"/>
      <c r="H4" s="19"/>
      <c r="I4" s="19"/>
      <c r="J4" s="19" t="inlineStr">
        <is>
          <t>POR CERRAR (ASISTIERON)</t>
        </is>
      </c>
      <c r="K4" s="19"/>
      <c r="L4" s="19"/>
      <c r="M4" s="19"/>
      <c r="N4" s="19" t="inlineStr">
        <is>
          <t>INSCRIPCIONES ESPERADAS DE LA AGENDA</t>
        </is>
      </c>
      <c r="O4" s="19"/>
      <c r="P4" s="19"/>
      <c r="Q4" s="19"/>
    </row>
    <row r="5" ht="20" customHeight="1">
      <c r="B5" s="24">
        <f>Datos!$B$12</f>
        <v>20</v>
      </c>
      <c r="C5" s="24"/>
      <c r="D5" s="24"/>
      <c r="E5" s="24"/>
      <c r="F5" s="20">
        <v>12</v>
      </c>
      <c r="G5" s="20"/>
      <c r="H5" s="20"/>
      <c r="I5" s="20"/>
      <c r="J5" s="37">
        <v>12</v>
      </c>
      <c r="K5" s="37"/>
      <c r="L5" s="37"/>
      <c r="M5" s="37"/>
      <c r="N5" s="38">
        <f>Datos!$B$15</f>
        <v>7.8</v>
      </c>
      <c r="O5" s="38"/>
      <c r="P5" s="38"/>
      <c r="Q5" s="38"/>
    </row>
    <row r="6" ht="20" customHeight="1">
      <c r="B6" s="24"/>
      <c r="C6" s="24"/>
      <c r="D6" s="24"/>
      <c r="E6" s="24"/>
      <c r="F6" s="20"/>
      <c r="G6" s="20"/>
      <c r="H6" s="20"/>
      <c r="I6" s="20"/>
      <c r="J6" s="37"/>
      <c r="K6" s="37"/>
      <c r="L6" s="37"/>
      <c r="M6" s="37"/>
      <c r="N6" s="38"/>
      <c r="O6" s="38"/>
      <c r="P6" s="38"/>
      <c r="Q6" s="38"/>
    </row>
    <row r="7" ht="30" customHeight="1">
      <c r="B7" s="21" t="inlineStr">
        <is>
          <t>10 familias y 10 adultos.</t>
        </is>
      </c>
      <c r="C7" s="21"/>
      <c r="D7" s="21"/>
      <c r="E7" s="21"/>
      <c r="F7" s="21" t="inlineStr">
        <is>
          <t>4 adultos entre semana en la mañana: candidatos para grupos matutinos.</t>
        </is>
      </c>
      <c r="G7" s="21"/>
      <c r="H7" s="21"/>
      <c r="I7" s="21"/>
      <c r="J7" s="21" t="inlineStr">
        <is>
          <t>Asistieron en octubre y no se han inscrito. Ya pagamos su captación.</t>
        </is>
      </c>
      <c r="K7" s="21"/>
      <c r="L7" s="21"/>
      <c r="M7" s="21"/>
      <c r="N7" s="21" t="inlineStr">
        <is>
          <t>Estimación con las tasas de octubre por segmento. Sube si mejora la asistencia.</t>
        </is>
      </c>
      <c r="O7" s="21"/>
      <c r="P7" s="21"/>
      <c r="Q7" s="21"/>
    </row>
    <row r="9">
      <c r="B9" s="10" t="inlineStr">
        <is>
          <t>Agenda de clases muestra</t>
        </is>
      </c>
      <c r="M9" s="10" t="inlineStr">
        <is>
          <t>Citas por día</t>
        </is>
      </c>
    </row>
    <row r="10">
      <c r="B10" s="43" t="inlineStr">
        <is>
          <t>Fecha</t>
        </is>
      </c>
      <c r="C10" s="43" t="inlineStr">
        <is>
          <t>Día</t>
        </is>
      </c>
      <c r="D10" s="43" t="inlineStr">
        <is>
          <t>Hora</t>
        </is>
      </c>
      <c r="E10" s="43" t="inlineStr">
        <is>
          <t>Prospecto</t>
        </is>
      </c>
      <c r="F10" s="43"/>
      <c r="G10" s="43"/>
      <c r="H10" s="43" t="inlineStr">
        <is>
          <t>Programa</t>
        </is>
      </c>
      <c r="I10" s="43" t="inlineStr">
        <is>
          <t>Canal</t>
        </is>
      </c>
      <c r="J10" s="43" t="inlineStr">
        <is>
          <t>Confirmada</t>
        </is>
      </c>
    </row>
    <row r="11">
      <c r="B11" s="39">
        <v>46318</v>
      </c>
      <c r="C11" s="40" t="inlineStr">
        <is>
          <t>Vie</t>
        </is>
      </c>
      <c r="D11" s="40" t="inlineStr">
        <is>
          <t>5:00 p.m.</t>
        </is>
      </c>
      <c r="E11" s="41" t="inlineStr">
        <is>
          <t>Montserrat Perdomo</t>
        </is>
      </c>
      <c r="F11" s="41"/>
      <c r="G11" s="41"/>
      <c r="H11" s="41" t="inlineStr">
        <is>
          <t>College</t>
        </is>
      </c>
      <c r="I11" s="41" t="inlineStr">
        <is>
          <t>WhatsApp</t>
        </is>
      </c>
      <c r="J11" s="42" t="inlineStr">
        <is>
          <t>Pendiente</t>
        </is>
      </c>
    </row>
    <row r="12">
      <c r="B12" s="39">
        <v>46319</v>
      </c>
      <c r="C12" s="40" t="inlineStr">
        <is>
          <t>Sáb</t>
        </is>
      </c>
      <c r="D12" s="40" t="inlineStr">
        <is>
          <t>9:00 am</t>
        </is>
      </c>
      <c r="E12" s="41" t="inlineStr">
        <is>
          <t>Maria Isabel vela Monteclaro</t>
        </is>
      </c>
      <c r="F12" s="41"/>
      <c r="G12" s="41"/>
      <c r="H12" s="41" t="inlineStr">
        <is>
          <t>College</t>
        </is>
      </c>
      <c r="I12" s="41" t="inlineStr">
        <is>
          <t>Facebook</t>
        </is>
      </c>
      <c r="J12" s="42" t="inlineStr">
        <is>
          <t>Pendiente</t>
        </is>
      </c>
    </row>
    <row r="13">
      <c r="B13" s="39">
        <v>46319</v>
      </c>
      <c r="C13" s="40" t="inlineStr">
        <is>
          <t>Sáb</t>
        </is>
      </c>
      <c r="D13" s="40" t="inlineStr">
        <is>
          <t>9:00 am</t>
        </is>
      </c>
      <c r="E13" s="41" t="inlineStr">
        <is>
          <t>Angel David Agua</t>
        </is>
      </c>
      <c r="F13" s="41"/>
      <c r="G13" s="41"/>
      <c r="H13" s="41" t="inlineStr">
        <is>
          <t>Junior</t>
        </is>
      </c>
      <c r="I13" s="41" t="inlineStr">
        <is>
          <t>Facebook</t>
        </is>
      </c>
      <c r="J13" s="42" t="inlineStr">
        <is>
          <t>Pendiente</t>
        </is>
      </c>
    </row>
    <row r="14">
      <c r="B14" s="39">
        <v>46319</v>
      </c>
      <c r="C14" s="40" t="inlineStr">
        <is>
          <t>Sáb</t>
        </is>
      </c>
      <c r="D14" s="40" t="inlineStr">
        <is>
          <t>11:00 am</t>
        </is>
      </c>
      <c r="E14" s="41" t="inlineStr">
        <is>
          <t>Aranza Sarahi Garcia Pacheco</t>
        </is>
      </c>
      <c r="F14" s="41"/>
      <c r="G14" s="41"/>
      <c r="H14" s="41" t="inlineStr">
        <is>
          <t>Junior</t>
        </is>
      </c>
      <c r="I14" s="41" t="inlineStr">
        <is>
          <t>Facebook</t>
        </is>
      </c>
      <c r="J14" s="42" t="inlineStr">
        <is>
          <t>Pendiente</t>
        </is>
      </c>
    </row>
    <row r="15">
      <c r="B15" s="39">
        <v>46319</v>
      </c>
      <c r="C15" s="40" t="inlineStr">
        <is>
          <t>Sáb</t>
        </is>
      </c>
      <c r="D15" s="40" t="inlineStr">
        <is>
          <t>11:00 am</t>
        </is>
      </c>
      <c r="E15" s="41" t="inlineStr">
        <is>
          <t>Alexa Garcia Pacheco</t>
        </is>
      </c>
      <c r="F15" s="41"/>
      <c r="G15" s="41"/>
      <c r="H15" s="41" t="inlineStr">
        <is>
          <t>Kids</t>
        </is>
      </c>
      <c r="I15" s="41" t="inlineStr">
        <is>
          <t>Facebook</t>
        </is>
      </c>
      <c r="J15" s="42" t="inlineStr">
        <is>
          <t>Pendiente</t>
        </is>
      </c>
    </row>
    <row r="16">
      <c r="B16" s="39">
        <v>46319</v>
      </c>
      <c r="C16" s="40" t="inlineStr">
        <is>
          <t>Sáb</t>
        </is>
      </c>
      <c r="D16" s="40" t="inlineStr">
        <is>
          <t>11:00 a.m.</t>
        </is>
      </c>
      <c r="E16" s="41" t="inlineStr">
        <is>
          <t>Fernanda Mendoza García</t>
        </is>
      </c>
      <c r="F16" s="41"/>
      <c r="G16" s="41"/>
      <c r="H16" s="41" t="inlineStr">
        <is>
          <t>Kids</t>
        </is>
      </c>
      <c r="I16" s="41" t="inlineStr">
        <is>
          <t>WhatsApp</t>
        </is>
      </c>
      <c r="J16" s="42" t="inlineStr">
        <is>
          <t>Pendiente</t>
        </is>
      </c>
    </row>
    <row r="17">
      <c r="B17" s="39">
        <v>46319</v>
      </c>
      <c r="C17" s="40" t="inlineStr">
        <is>
          <t>Sáb</t>
        </is>
      </c>
      <c r="D17" s="40" t="inlineStr">
        <is>
          <t>11:00 a.m.</t>
        </is>
      </c>
      <c r="E17" s="41" t="inlineStr">
        <is>
          <t>Tadeo Alamilla Téllez</t>
        </is>
      </c>
      <c r="F17" s="41"/>
      <c r="G17" s="41"/>
      <c r="H17" s="41" t="inlineStr">
        <is>
          <t>Kids</t>
        </is>
      </c>
      <c r="I17" s="41" t="inlineStr">
        <is>
          <t>WhatsApp</t>
        </is>
      </c>
      <c r="J17" s="42" t="inlineStr">
        <is>
          <t>Pendiente</t>
        </is>
      </c>
    </row>
    <row r="18">
      <c r="B18" s="39">
        <v>46321</v>
      </c>
      <c r="C18" s="40" t="inlineStr">
        <is>
          <t>Lun</t>
        </is>
      </c>
      <c r="D18" s="40" t="inlineStr">
        <is>
          <t>4:00 p.m.</t>
        </is>
      </c>
      <c r="E18" s="41" t="inlineStr">
        <is>
          <t>Marley Lizeth Ponce de León</t>
        </is>
      </c>
      <c r="F18" s="41"/>
      <c r="G18" s="41"/>
      <c r="H18" s="41" t="inlineStr">
        <is>
          <t>Kids</t>
        </is>
      </c>
      <c r="I18" s="41" t="inlineStr">
        <is>
          <t>WhatsApp</t>
        </is>
      </c>
      <c r="J18" s="42" t="inlineStr">
        <is>
          <t>Pendiente</t>
        </is>
      </c>
    </row>
    <row r="19">
      <c r="B19" s="39">
        <v>46321</v>
      </c>
      <c r="C19" s="40" t="inlineStr">
        <is>
          <t>Lun</t>
        </is>
      </c>
      <c r="D19" s="40" t="inlineStr">
        <is>
          <t>4:00 pm</t>
        </is>
      </c>
      <c r="E19" s="41" t="inlineStr">
        <is>
          <t>Ana Victoria Meneses Maqueda</t>
        </is>
      </c>
      <c r="F19" s="41"/>
      <c r="G19" s="41"/>
      <c r="H19" s="41" t="inlineStr">
        <is>
          <t>Kids</t>
        </is>
      </c>
      <c r="I19" s="41" t="inlineStr">
        <is>
          <t>WhatsApp</t>
        </is>
      </c>
      <c r="J19" s="42" t="inlineStr">
        <is>
          <t>Pendiente</t>
        </is>
      </c>
    </row>
    <row r="20">
      <c r="B20" s="39">
        <v>46321</v>
      </c>
      <c r="C20" s="40" t="inlineStr">
        <is>
          <t>Lun</t>
        </is>
      </c>
      <c r="D20" s="40" t="inlineStr">
        <is>
          <t>4:00 pm</t>
        </is>
      </c>
      <c r="E20" s="41" t="inlineStr">
        <is>
          <t>Mauricio de Jesús Meneses Maqueda</t>
        </is>
      </c>
      <c r="F20" s="41"/>
      <c r="G20" s="41"/>
      <c r="H20" s="41" t="inlineStr">
        <is>
          <t>Parenthood</t>
        </is>
      </c>
      <c r="I20" s="41" t="inlineStr">
        <is>
          <t>WhatsApp</t>
        </is>
      </c>
      <c r="J20" s="42" t="inlineStr">
        <is>
          <t>Pendiente</t>
        </is>
      </c>
    </row>
    <row r="21">
      <c r="B21" s="39">
        <v>46321</v>
      </c>
      <c r="C21" s="40" t="inlineStr">
        <is>
          <t>Lun</t>
        </is>
      </c>
      <c r="D21" s="40" t="inlineStr">
        <is>
          <t>5:00 pm</t>
        </is>
      </c>
      <c r="E21" s="41" t="inlineStr">
        <is>
          <t>Blanca Almaraz Callado</t>
        </is>
      </c>
      <c r="F21" s="41"/>
      <c r="G21" s="41"/>
      <c r="H21" s="41" t="inlineStr">
        <is>
          <t>College</t>
        </is>
      </c>
      <c r="I21" s="41" t="inlineStr">
        <is>
          <t>Instagram</t>
        </is>
      </c>
      <c r="J21" s="42" t="inlineStr">
        <is>
          <t>Pendiente</t>
        </is>
      </c>
    </row>
    <row r="22">
      <c r="B22" s="39">
        <v>46321</v>
      </c>
      <c r="C22" s="40" t="inlineStr">
        <is>
          <t>Lun</t>
        </is>
      </c>
      <c r="D22" s="40" t="inlineStr">
        <is>
          <t>5:00 pm</t>
        </is>
      </c>
      <c r="E22" s="41" t="inlineStr">
        <is>
          <t>Iliana Karen</t>
        </is>
      </c>
      <c r="F22" s="41"/>
      <c r="G22" s="41"/>
      <c r="H22" s="41" t="inlineStr">
        <is>
          <t>College</t>
        </is>
      </c>
      <c r="I22" s="41" t="inlineStr">
        <is>
          <t>WhatsApp</t>
        </is>
      </c>
      <c r="J22" s="42" t="inlineStr">
        <is>
          <t>Pendiente</t>
        </is>
      </c>
    </row>
    <row r="23">
      <c r="B23" s="39">
        <v>46322</v>
      </c>
      <c r="C23" s="40" t="inlineStr">
        <is>
          <t>Mar</t>
        </is>
      </c>
      <c r="D23" s="40" t="inlineStr">
        <is>
          <t>9 a.m.</t>
        </is>
      </c>
      <c r="E23" s="41" t="inlineStr">
        <is>
          <t>Vladimir Chopin</t>
        </is>
      </c>
      <c r="F23" s="41"/>
      <c r="G23" s="41"/>
      <c r="H23" s="41" t="inlineStr">
        <is>
          <t>College</t>
        </is>
      </c>
      <c r="I23" s="41" t="inlineStr">
        <is>
          <t>WhatsApp</t>
        </is>
      </c>
      <c r="J23" s="42" t="inlineStr">
        <is>
          <t>Pendiente</t>
        </is>
      </c>
      <c r="M23" s="10" t="inlineStr">
        <is>
          <t>Motivo de no inscripción (octubre)</t>
        </is>
      </c>
    </row>
    <row r="24">
      <c r="B24" s="39">
        <v>46322</v>
      </c>
      <c r="C24" s="40" t="inlineStr">
        <is>
          <t>Mar</t>
        </is>
      </c>
      <c r="D24" s="40" t="inlineStr">
        <is>
          <t>9:00 a.m.</t>
        </is>
      </c>
      <c r="E24" s="41" t="inlineStr">
        <is>
          <t>Nidelson Hernandez</t>
        </is>
      </c>
      <c r="F24" s="41"/>
      <c r="G24" s="41"/>
      <c r="H24" s="41" t="inlineStr">
        <is>
          <t>College</t>
        </is>
      </c>
      <c r="I24" s="41" t="inlineStr">
        <is>
          <t>Facebook</t>
        </is>
      </c>
      <c r="J24" s="42" t="inlineStr">
        <is>
          <t>Pendiente</t>
        </is>
      </c>
    </row>
    <row r="25">
      <c r="B25" s="39">
        <v>46322</v>
      </c>
      <c r="C25" s="40" t="inlineStr">
        <is>
          <t>Mar</t>
        </is>
      </c>
      <c r="D25" s="40" t="inlineStr">
        <is>
          <t>10:00 a.m.</t>
        </is>
      </c>
      <c r="E25" s="41" t="inlineStr">
        <is>
          <t>María Roldán</t>
        </is>
      </c>
      <c r="F25" s="41"/>
      <c r="G25" s="41"/>
      <c r="H25" s="41" t="inlineStr">
        <is>
          <t>College</t>
        </is>
      </c>
      <c r="I25" s="41" t="inlineStr">
        <is>
          <t>Facebook</t>
        </is>
      </c>
      <c r="J25" s="42" t="inlineStr">
        <is>
          <t>Pendiente</t>
        </is>
      </c>
    </row>
    <row r="26">
      <c r="B26" s="39">
        <v>46322</v>
      </c>
      <c r="C26" s="40" t="inlineStr">
        <is>
          <t>Mar</t>
        </is>
      </c>
      <c r="D26" s="40" t="inlineStr">
        <is>
          <t>10:00 am</t>
        </is>
      </c>
      <c r="E26" s="41" t="inlineStr">
        <is>
          <t>Fernanda Hernandez Alvarado</t>
        </is>
      </c>
      <c r="F26" s="41"/>
      <c r="G26" s="41"/>
      <c r="H26" s="41" t="inlineStr">
        <is>
          <t>College</t>
        </is>
      </c>
      <c r="I26" s="41" t="inlineStr">
        <is>
          <t>Instagram</t>
        </is>
      </c>
      <c r="J26" s="42" t="inlineStr">
        <is>
          <t>Pendiente</t>
        </is>
      </c>
    </row>
    <row r="27">
      <c r="B27" s="39">
        <v>46322</v>
      </c>
      <c r="C27" s="40" t="inlineStr">
        <is>
          <t>Mar</t>
        </is>
      </c>
      <c r="D27" s="40" t="inlineStr">
        <is>
          <t>6:00 p.m.</t>
        </is>
      </c>
      <c r="E27" s="41" t="inlineStr">
        <is>
          <t>Lizeth Gonzalez Aquino</t>
        </is>
      </c>
      <c r="F27" s="41"/>
      <c r="G27" s="41"/>
      <c r="H27" s="41" t="inlineStr">
        <is>
          <t>College</t>
        </is>
      </c>
      <c r="I27" s="41" t="inlineStr">
        <is>
          <t>WhatsApp</t>
        </is>
      </c>
      <c r="J27" s="42" t="inlineStr">
        <is>
          <t>Pendiente</t>
        </is>
      </c>
    </row>
    <row r="28">
      <c r="B28" s="39">
        <v>46324</v>
      </c>
      <c r="C28" s="40" t="inlineStr">
        <is>
          <t>Jue</t>
        </is>
      </c>
      <c r="D28" s="40" t="inlineStr">
        <is>
          <t>6:00 p.m.</t>
        </is>
      </c>
      <c r="E28" s="41" t="inlineStr">
        <is>
          <t>Karen León</t>
        </is>
      </c>
      <c r="F28" s="41"/>
      <c r="G28" s="41"/>
      <c r="H28" s="41" t="inlineStr">
        <is>
          <t>College</t>
        </is>
      </c>
      <c r="I28" s="41" t="inlineStr">
        <is>
          <t>WhatsApp</t>
        </is>
      </c>
      <c r="J28" s="42" t="inlineStr">
        <is>
          <t>Pendiente</t>
        </is>
      </c>
    </row>
    <row r="29">
      <c r="B29" s="39">
        <v>46333</v>
      </c>
      <c r="C29" s="40" t="inlineStr">
        <is>
          <t>Sáb</t>
        </is>
      </c>
      <c r="D29" s="40"/>
      <c r="E29" s="41" t="inlineStr">
        <is>
          <t>Emir</t>
        </is>
      </c>
      <c r="F29" s="41"/>
      <c r="G29" s="41"/>
      <c r="H29" s="41" t="inlineStr">
        <is>
          <t>Parenthood</t>
        </is>
      </c>
      <c r="I29" s="41" t="inlineStr">
        <is>
          <t>Facebook</t>
        </is>
      </c>
      <c r="J29" s="42" t="inlineStr">
        <is>
          <t>Pendiente</t>
        </is>
      </c>
    </row>
    <row r="30">
      <c r="B30" s="39">
        <v>46333</v>
      </c>
      <c r="C30" s="40" t="inlineStr">
        <is>
          <t>Sáb</t>
        </is>
      </c>
      <c r="D30" s="40"/>
      <c r="E30" s="41" t="inlineStr">
        <is>
          <t>Yarentzy</t>
        </is>
      </c>
      <c r="F30" s="41"/>
      <c r="G30" s="41"/>
      <c r="H30" s="41" t="inlineStr">
        <is>
          <t>Kids</t>
        </is>
      </c>
      <c r="I30" s="41" t="inlineStr">
        <is>
          <t>Facebook</t>
        </is>
      </c>
      <c r="J30" s="42" t="inlineStr">
        <is>
          <t>Pendiente</t>
        </is>
      </c>
    </row>
    <row r="32">
      <c r="B32" s="10" t="inlineStr">
        <is>
          <t>Asistieron y no se han inscrito: lista de cierre</t>
        </is>
      </c>
    </row>
    <row r="33">
      <c r="B33" s="43" t="inlineStr">
        <is>
          <t>Fecha CM</t>
        </is>
      </c>
      <c r="C33" s="43" t="inlineStr">
        <is>
          <t>Prospecto</t>
        </is>
      </c>
      <c r="D33" s="43"/>
      <c r="E33" s="43"/>
      <c r="F33" s="43" t="inlineStr">
        <is>
          <t>Programa</t>
        </is>
      </c>
      <c r="G33" s="43" t="inlineStr">
        <is>
          <t>Canal</t>
        </is>
      </c>
      <c r="H33" s="43" t="inlineStr">
        <is>
          <t>Motivo registrado</t>
        </is>
      </c>
      <c r="I33" s="43"/>
      <c r="J33" s="43"/>
      <c r="K33" s="43" t="inlineStr">
        <is>
          <t>Estatus</t>
        </is>
      </c>
      <c r="L33" s="43"/>
    </row>
    <row r="34">
      <c r="B34" s="39">
        <v>46296</v>
      </c>
      <c r="C34" s="44" t="inlineStr">
        <is>
          <t>Claudia Perez</t>
        </is>
      </c>
      <c r="D34" s="44"/>
      <c r="E34" s="44"/>
      <c r="F34" s="44" t="inlineStr">
        <is>
          <t>College</t>
        </is>
      </c>
      <c r="G34" s="44" t="inlineStr">
        <is>
          <t>Facebook</t>
        </is>
      </c>
      <c r="H34" s="44" t="inlineStr">
        <is>
          <t>Sin respuesta</t>
        </is>
      </c>
      <c r="I34" s="44"/>
      <c r="J34" s="44"/>
      <c r="K34" s="42" t="inlineStr">
        <is>
          <t>Por contactar</t>
        </is>
      </c>
      <c r="L34" s="42"/>
    </row>
    <row r="35">
      <c r="B35" s="39">
        <v>46301</v>
      </c>
      <c r="C35" s="45" t="inlineStr">
        <is>
          <t>Ximena Sanchez Bautista</t>
        </is>
      </c>
      <c r="D35" s="45"/>
      <c r="E35" s="45"/>
      <c r="F35" s="45" t="inlineStr">
        <is>
          <t>College</t>
        </is>
      </c>
      <c r="G35" s="45" t="inlineStr">
        <is>
          <t>WhatsApp</t>
        </is>
      </c>
      <c r="H35" s="45" t="inlineStr">
        <is>
          <t>Inscripción pospuesta</t>
        </is>
      </c>
      <c r="I35" s="45"/>
      <c r="J35" s="45"/>
      <c r="K35" s="42" t="inlineStr">
        <is>
          <t>Por contactar</t>
        </is>
      </c>
      <c r="L35" s="42"/>
    </row>
    <row r="36">
      <c r="B36" s="39">
        <v>46304</v>
      </c>
      <c r="C36" s="44" t="inlineStr">
        <is>
          <t>Said Emmanuel Hernandez</t>
        </is>
      </c>
      <c r="D36" s="44"/>
      <c r="E36" s="44"/>
      <c r="F36" s="44" t="inlineStr">
        <is>
          <t>College</t>
        </is>
      </c>
      <c r="G36" s="44" t="inlineStr">
        <is>
          <t>Instagram</t>
        </is>
      </c>
      <c r="H36" s="44" t="inlineStr">
        <is>
          <t>Inscripción pospuesta</t>
        </is>
      </c>
      <c r="I36" s="44"/>
      <c r="J36" s="44"/>
      <c r="K36" s="42" t="inlineStr">
        <is>
          <t>Por contactar</t>
        </is>
      </c>
      <c r="L36" s="42"/>
    </row>
    <row r="37">
      <c r="B37" s="39">
        <v>46307</v>
      </c>
      <c r="C37" s="45" t="inlineStr">
        <is>
          <t>Herlinda Guadalupe Zapataq Molina</t>
        </is>
      </c>
      <c r="D37" s="45"/>
      <c r="E37" s="45"/>
      <c r="F37" s="45" t="inlineStr">
        <is>
          <t>Kids</t>
        </is>
      </c>
      <c r="G37" s="45" t="inlineStr">
        <is>
          <t>Facebook</t>
        </is>
      </c>
      <c r="H37" s="45" t="inlineStr">
        <is>
          <t>Horarios</t>
        </is>
      </c>
      <c r="I37" s="45"/>
      <c r="J37" s="45"/>
      <c r="K37" s="42" t="inlineStr">
        <is>
          <t>Por contactar</t>
        </is>
      </c>
      <c r="L37" s="42"/>
    </row>
    <row r="38">
      <c r="B38" s="39">
        <v>46310</v>
      </c>
      <c r="C38" s="44" t="inlineStr">
        <is>
          <t>Citlali Perez Vargas</t>
        </is>
      </c>
      <c r="D38" s="44"/>
      <c r="E38" s="44"/>
      <c r="F38" s="44" t="inlineStr">
        <is>
          <t>College</t>
        </is>
      </c>
      <c r="G38" s="44" t="inlineStr">
        <is>
          <t>Instagram</t>
        </is>
      </c>
      <c r="H38" s="44" t="inlineStr">
        <is>
          <t>Horarios</t>
        </is>
      </c>
      <c r="I38" s="44"/>
      <c r="J38" s="44"/>
      <c r="K38" s="42" t="inlineStr">
        <is>
          <t>Por contactar</t>
        </is>
      </c>
      <c r="L38" s="42"/>
    </row>
    <row r="39">
      <c r="B39" s="39">
        <v>46310</v>
      </c>
      <c r="C39" s="45" t="inlineStr">
        <is>
          <t>Carlos Villalva</t>
        </is>
      </c>
      <c r="D39" s="45"/>
      <c r="E39" s="45"/>
      <c r="F39" s="45" t="inlineStr">
        <is>
          <t>Junior</t>
        </is>
      </c>
      <c r="G39" s="45" t="inlineStr">
        <is>
          <t>WhatsApp</t>
        </is>
      </c>
      <c r="H39" s="45" t="inlineStr">
        <is>
          <t>Horarios</t>
        </is>
      </c>
      <c r="I39" s="45"/>
      <c r="J39" s="45"/>
      <c r="K39" s="42" t="inlineStr">
        <is>
          <t>Por contactar</t>
        </is>
      </c>
      <c r="L39" s="42"/>
    </row>
    <row r="40">
      <c r="B40" s="39">
        <v>46310</v>
      </c>
      <c r="C40" s="44" t="inlineStr">
        <is>
          <t>Valentina Villalba</t>
        </is>
      </c>
      <c r="D40" s="44"/>
      <c r="E40" s="44"/>
      <c r="F40" s="44" t="inlineStr">
        <is>
          <t>Junior</t>
        </is>
      </c>
      <c r="G40" s="44" t="inlineStr">
        <is>
          <t>WhatsApp</t>
        </is>
      </c>
      <c r="H40" s="44" t="inlineStr">
        <is>
          <t>Horarios</t>
        </is>
      </c>
      <c r="I40" s="44"/>
      <c r="J40" s="44"/>
      <c r="K40" s="42" t="inlineStr">
        <is>
          <t>Por contactar</t>
        </is>
      </c>
      <c r="L40" s="42"/>
    </row>
    <row r="41">
      <c r="B41" s="39">
        <v>46311</v>
      </c>
      <c r="C41" s="45" t="inlineStr">
        <is>
          <t>Brisa Azul Salgado Anastasio</t>
        </is>
      </c>
      <c r="D41" s="45"/>
      <c r="E41" s="45"/>
      <c r="F41" s="45" t="inlineStr">
        <is>
          <t>Junior</t>
        </is>
      </c>
      <c r="G41" s="45" t="inlineStr">
        <is>
          <t>WhatsApp</t>
        </is>
      </c>
      <c r="H41" s="45" t="inlineStr">
        <is>
          <t>Pendiente de decisión</t>
        </is>
      </c>
      <c r="I41" s="45"/>
      <c r="J41" s="45"/>
      <c r="K41" s="42" t="inlineStr">
        <is>
          <t>Por contactar</t>
        </is>
      </c>
      <c r="L41" s="42"/>
    </row>
    <row r="42">
      <c r="B42" s="39">
        <v>46314</v>
      </c>
      <c r="C42" s="44" t="inlineStr">
        <is>
          <t>Kim Yetzali</t>
        </is>
      </c>
      <c r="D42" s="44"/>
      <c r="E42" s="44"/>
      <c r="F42" s="44" t="inlineStr">
        <is>
          <t>Junior</t>
        </is>
      </c>
      <c r="G42" s="44" t="inlineStr">
        <is>
          <t>Facebook</t>
        </is>
      </c>
      <c r="H42" s="44" t="inlineStr">
        <is>
          <t>Sin respuesta</t>
        </is>
      </c>
      <c r="I42" s="44"/>
      <c r="J42" s="44"/>
      <c r="K42" s="42" t="inlineStr">
        <is>
          <t>Por contactar</t>
        </is>
      </c>
      <c r="L42" s="42"/>
    </row>
    <row r="43">
      <c r="B43" s="39">
        <v>46317</v>
      </c>
      <c r="C43" s="45" t="inlineStr">
        <is>
          <t>Eduardo Alexis Vallejo Salazar</t>
        </is>
      </c>
      <c r="D43" s="45"/>
      <c r="E43" s="45"/>
      <c r="F43" s="45" t="inlineStr">
        <is>
          <t>College</t>
        </is>
      </c>
      <c r="G43" s="45" t="inlineStr">
        <is>
          <t>WhatsApp</t>
        </is>
      </c>
      <c r="H43" s="45" t="inlineStr">
        <is>
          <t>Pendiente de decisión</t>
        </is>
      </c>
      <c r="I43" s="45"/>
      <c r="J43" s="45"/>
      <c r="K43" s="42" t="inlineStr">
        <is>
          <t>Por contactar</t>
        </is>
      </c>
      <c r="L43" s="42"/>
    </row>
    <row r="44">
      <c r="B44" s="39">
        <v>46317</v>
      </c>
      <c r="C44" s="44" t="inlineStr">
        <is>
          <t>Montserrat Hernández Anastasio</t>
        </is>
      </c>
      <c r="D44" s="44"/>
      <c r="E44" s="44"/>
      <c r="F44" s="44" t="inlineStr">
        <is>
          <t>College</t>
        </is>
      </c>
      <c r="G44" s="44" t="inlineStr">
        <is>
          <t>WhatsApp</t>
        </is>
      </c>
      <c r="H44" s="44" t="inlineStr">
        <is>
          <t>Sin motivo</t>
        </is>
      </c>
      <c r="I44" s="44"/>
      <c r="J44" s="44"/>
      <c r="K44" s="42" t="inlineStr">
        <is>
          <t>Por contactar</t>
        </is>
      </c>
      <c r="L44" s="42"/>
    </row>
    <row r="45">
      <c r="B45" s="39">
        <v>46307</v>
      </c>
      <c r="C45" s="45" t="inlineStr">
        <is>
          <t>Mía Ayelen Vázquez Zapata</t>
        </is>
      </c>
      <c r="D45" s="45"/>
      <c r="E45" s="45"/>
      <c r="F45" s="45" t="inlineStr">
        <is>
          <t>Kids</t>
        </is>
      </c>
      <c r="G45" s="45" t="inlineStr">
        <is>
          <t>Facebook</t>
        </is>
      </c>
      <c r="H45" s="45" t="inlineStr">
        <is>
          <t>Sin registro en el control</t>
        </is>
      </c>
      <c r="I45" s="45"/>
      <c r="J45" s="45"/>
      <c r="K45" s="42" t="inlineStr">
        <is>
          <t>Por contactar</t>
        </is>
      </c>
      <c r="L45" s="42"/>
    </row>
  </sheetData>
  <mergeCells count="239">
    <mergeCell ref="B1:Q1"/>
    <mergeCell ref="B2:Q2"/>
    <mergeCell ref="B4:E4"/>
    <mergeCell ref="B5:E6"/>
    <mergeCell ref="B7:E7"/>
    <mergeCell ref="F4:I4"/>
    <mergeCell ref="F5:I6"/>
    <mergeCell ref="F7:I7"/>
    <mergeCell ref="J4:M4"/>
    <mergeCell ref="J5:M6"/>
    <mergeCell ref="J7:M7"/>
    <mergeCell ref="N4:Q4"/>
    <mergeCell ref="N5:Q6"/>
    <mergeCell ref="N7:Q7"/>
    <mergeCell ref="B10:B10"/>
    <mergeCell ref="C10:C10"/>
    <mergeCell ref="D10:D10"/>
    <mergeCell ref="E10:G10"/>
    <mergeCell ref="H10:H10"/>
    <mergeCell ref="I10:I10"/>
    <mergeCell ref="J10:J10"/>
    <mergeCell ref="B11:B11"/>
    <mergeCell ref="C11:C11"/>
    <mergeCell ref="D11:D11"/>
    <mergeCell ref="E11:G11"/>
    <mergeCell ref="H11:H11"/>
    <mergeCell ref="I11:I11"/>
    <mergeCell ref="J11:J11"/>
    <mergeCell ref="B12:B12"/>
    <mergeCell ref="C12:C12"/>
    <mergeCell ref="D12:D12"/>
    <mergeCell ref="E12:G12"/>
    <mergeCell ref="H12:H12"/>
    <mergeCell ref="I12:I12"/>
    <mergeCell ref="J12:J12"/>
    <mergeCell ref="B13:B13"/>
    <mergeCell ref="C13:C13"/>
    <mergeCell ref="D13:D13"/>
    <mergeCell ref="E13:G13"/>
    <mergeCell ref="H13:H13"/>
    <mergeCell ref="I13:I13"/>
    <mergeCell ref="J13:J13"/>
    <mergeCell ref="B14:B14"/>
    <mergeCell ref="C14:C14"/>
    <mergeCell ref="D14:D14"/>
    <mergeCell ref="E14:G14"/>
    <mergeCell ref="H14:H14"/>
    <mergeCell ref="I14:I14"/>
    <mergeCell ref="J14:J14"/>
    <mergeCell ref="B15:B15"/>
    <mergeCell ref="C15:C15"/>
    <mergeCell ref="D15:D15"/>
    <mergeCell ref="E15:G15"/>
    <mergeCell ref="H15:H15"/>
    <mergeCell ref="I15:I15"/>
    <mergeCell ref="J15:J15"/>
    <mergeCell ref="B16:B16"/>
    <mergeCell ref="C16:C16"/>
    <mergeCell ref="D16:D16"/>
    <mergeCell ref="E16:G16"/>
    <mergeCell ref="H16:H16"/>
    <mergeCell ref="I16:I16"/>
    <mergeCell ref="J16:J16"/>
    <mergeCell ref="B17:B17"/>
    <mergeCell ref="C17:C17"/>
    <mergeCell ref="D17:D17"/>
    <mergeCell ref="E17:G17"/>
    <mergeCell ref="H17:H17"/>
    <mergeCell ref="I17:I17"/>
    <mergeCell ref="J17:J17"/>
    <mergeCell ref="B18:B18"/>
    <mergeCell ref="C18:C18"/>
    <mergeCell ref="D18:D18"/>
    <mergeCell ref="E18:G18"/>
    <mergeCell ref="H18:H18"/>
    <mergeCell ref="I18:I18"/>
    <mergeCell ref="J18:J18"/>
    <mergeCell ref="B19:B19"/>
    <mergeCell ref="C19:C19"/>
    <mergeCell ref="D19:D19"/>
    <mergeCell ref="E19:G19"/>
    <mergeCell ref="H19:H19"/>
    <mergeCell ref="I19:I19"/>
    <mergeCell ref="J19:J19"/>
    <mergeCell ref="B20:B20"/>
    <mergeCell ref="C20:C20"/>
    <mergeCell ref="D20:D20"/>
    <mergeCell ref="E20:G20"/>
    <mergeCell ref="H20:H20"/>
    <mergeCell ref="I20:I20"/>
    <mergeCell ref="J20:J20"/>
    <mergeCell ref="B21:B21"/>
    <mergeCell ref="C21:C21"/>
    <mergeCell ref="D21:D21"/>
    <mergeCell ref="E21:G21"/>
    <mergeCell ref="H21:H21"/>
    <mergeCell ref="I21:I21"/>
    <mergeCell ref="J21:J21"/>
    <mergeCell ref="B22:B22"/>
    <mergeCell ref="C22:C22"/>
    <mergeCell ref="D22:D22"/>
    <mergeCell ref="E22:G22"/>
    <mergeCell ref="H22:H22"/>
    <mergeCell ref="I22:I22"/>
    <mergeCell ref="J22:J22"/>
    <mergeCell ref="B23:B23"/>
    <mergeCell ref="C23:C23"/>
    <mergeCell ref="D23:D23"/>
    <mergeCell ref="E23:G23"/>
    <mergeCell ref="H23:H23"/>
    <mergeCell ref="I23:I23"/>
    <mergeCell ref="J23:J23"/>
    <mergeCell ref="B24:B24"/>
    <mergeCell ref="C24:C24"/>
    <mergeCell ref="D24:D24"/>
    <mergeCell ref="E24:G24"/>
    <mergeCell ref="H24:H24"/>
    <mergeCell ref="I24:I24"/>
    <mergeCell ref="J24:J24"/>
    <mergeCell ref="B25:B25"/>
    <mergeCell ref="C25:C25"/>
    <mergeCell ref="D25:D25"/>
    <mergeCell ref="E25:G25"/>
    <mergeCell ref="H25:H25"/>
    <mergeCell ref="I25:I25"/>
    <mergeCell ref="J25:J25"/>
    <mergeCell ref="B26:B26"/>
    <mergeCell ref="C26:C26"/>
    <mergeCell ref="D26:D26"/>
    <mergeCell ref="E26:G26"/>
    <mergeCell ref="H26:H26"/>
    <mergeCell ref="I26:I26"/>
    <mergeCell ref="J26:J26"/>
    <mergeCell ref="B27:B27"/>
    <mergeCell ref="C27:C27"/>
    <mergeCell ref="D27:D27"/>
    <mergeCell ref="E27:G27"/>
    <mergeCell ref="H27:H27"/>
    <mergeCell ref="I27:I27"/>
    <mergeCell ref="J27:J27"/>
    <mergeCell ref="B28:B28"/>
    <mergeCell ref="C28:C28"/>
    <mergeCell ref="D28:D28"/>
    <mergeCell ref="E28:G28"/>
    <mergeCell ref="H28:H28"/>
    <mergeCell ref="I28:I28"/>
    <mergeCell ref="J28:J28"/>
    <mergeCell ref="B29:B29"/>
    <mergeCell ref="C29:C29"/>
    <mergeCell ref="D29:D29"/>
    <mergeCell ref="E29:G29"/>
    <mergeCell ref="H29:H29"/>
    <mergeCell ref="I29:I29"/>
    <mergeCell ref="J29:J29"/>
    <mergeCell ref="B30:B30"/>
    <mergeCell ref="C30:C30"/>
    <mergeCell ref="D30:D30"/>
    <mergeCell ref="E30:G30"/>
    <mergeCell ref="H30:H30"/>
    <mergeCell ref="I30:I30"/>
    <mergeCell ref="J30:J30"/>
    <mergeCell ref="B33:B33"/>
    <mergeCell ref="C33:E33"/>
    <mergeCell ref="F33:F33"/>
    <mergeCell ref="G33:G33"/>
    <mergeCell ref="H33:J33"/>
    <mergeCell ref="K33:L33"/>
    <mergeCell ref="B34:B34"/>
    <mergeCell ref="C34:E34"/>
    <mergeCell ref="F34:F34"/>
    <mergeCell ref="G34:G34"/>
    <mergeCell ref="H34:J34"/>
    <mergeCell ref="K34:L34"/>
    <mergeCell ref="B35:B35"/>
    <mergeCell ref="C35:E35"/>
    <mergeCell ref="F35:F35"/>
    <mergeCell ref="G35:G35"/>
    <mergeCell ref="H35:J35"/>
    <mergeCell ref="K35:L35"/>
    <mergeCell ref="B36:B36"/>
    <mergeCell ref="C36:E36"/>
    <mergeCell ref="F36:F36"/>
    <mergeCell ref="G36:G36"/>
    <mergeCell ref="H36:J36"/>
    <mergeCell ref="K36:L36"/>
    <mergeCell ref="B37:B37"/>
    <mergeCell ref="C37:E37"/>
    <mergeCell ref="F37:F37"/>
    <mergeCell ref="G37:G37"/>
    <mergeCell ref="H37:J37"/>
    <mergeCell ref="K37:L37"/>
    <mergeCell ref="B38:B38"/>
    <mergeCell ref="C38:E38"/>
    <mergeCell ref="F38:F38"/>
    <mergeCell ref="G38:G38"/>
    <mergeCell ref="H38:J38"/>
    <mergeCell ref="K38:L38"/>
    <mergeCell ref="B39:B39"/>
    <mergeCell ref="C39:E39"/>
    <mergeCell ref="F39:F39"/>
    <mergeCell ref="G39:G39"/>
    <mergeCell ref="H39:J39"/>
    <mergeCell ref="K39:L39"/>
    <mergeCell ref="B40:B40"/>
    <mergeCell ref="C40:E40"/>
    <mergeCell ref="F40:F40"/>
    <mergeCell ref="G40:G40"/>
    <mergeCell ref="H40:J40"/>
    <mergeCell ref="K40:L40"/>
    <mergeCell ref="B41:B41"/>
    <mergeCell ref="C41:E41"/>
    <mergeCell ref="F41:F41"/>
    <mergeCell ref="G41:G41"/>
    <mergeCell ref="H41:J41"/>
    <mergeCell ref="K41:L41"/>
    <mergeCell ref="B42:B42"/>
    <mergeCell ref="C42:E42"/>
    <mergeCell ref="F42:F42"/>
    <mergeCell ref="G42:G42"/>
    <mergeCell ref="H42:J42"/>
    <mergeCell ref="K42:L42"/>
    <mergeCell ref="B43:B43"/>
    <mergeCell ref="C43:E43"/>
    <mergeCell ref="F43:F43"/>
    <mergeCell ref="G43:G43"/>
    <mergeCell ref="H43:J43"/>
    <mergeCell ref="K43:L43"/>
    <mergeCell ref="B44:B44"/>
    <mergeCell ref="C44:E44"/>
    <mergeCell ref="F44:F44"/>
    <mergeCell ref="G44:G44"/>
    <mergeCell ref="H44:J44"/>
    <mergeCell ref="K44:L44"/>
    <mergeCell ref="B45:B45"/>
    <mergeCell ref="C45:E45"/>
    <mergeCell ref="F45:F45"/>
    <mergeCell ref="G45:G45"/>
    <mergeCell ref="H45:J45"/>
    <mergeCell ref="K45:L45"/>
  </mergeCells>
  <conditionalFormatting sqref="J11:J30">
    <cfRule type="expression" dxfId="0" priority="1">
      <formula>J11="Sí"</formula>
    </cfRule>
  </conditionalFormatting>
  <conditionalFormatting sqref="J11:J30">
    <cfRule type="expression" dxfId="1" priority="2">
      <formula>J11="No respondió"</formula>
    </cfRule>
  </conditionalFormatting>
  <conditionalFormatting sqref="K34:K45">
    <cfRule type="expression" dxfId="0" priority="3">
      <formula>K34="Inscrito"</formula>
    </cfRule>
  </conditionalFormatting>
  <dataValidations count="2">
    <dataValidation type="list" allowBlank="1" showErrorMessage="1" errorStyle="warning" errorTitle="Valor fuera de catálogo" error="Usa un valor de la lista para que el tablero lo cuente." showInputMessage="1" promptTitle="Selecciona" prompt="Actualiza antes de presentar" sqref="J11:J30">
      <formula1>"Pendiente,Sí,No respondió,Reprogramó"</formula1>
    </dataValidation>
    <dataValidation type="list" allowBlank="1" showErrorMessage="1" errorStyle="warning" errorTitle="Valor fuera de catálogo" error="Usa un valor de la lista para que el tablero lo cuente." sqref="K34:K45">
      <formula1>"Por contactar,Contactado,Inscrito,Perdido"</formula1>
    </dataValidation>
  </dataValidations>
  <pageMargins left="0.5" right="0.5" top="0.6" bottom="0.6" header="0.3" footer="0.3"/>
  <pageSetup orientation="landscape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00000"/>
  </sheetPr>
  <dimension ref="A1:Q26"/>
  <sheetViews>
    <sheetView workbookViewId="0" zoomScale="85" showGridLines="0"/>
  </sheetViews>
  <sheetFormatPr defaultRowHeight="15"/>
  <cols>
    <col min="1" max="1" width="2" customWidth="1"/>
    <col min="2" max="2" width="10.5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  <col min="13" max="13" width="10.5" customWidth="1"/>
    <col min="14" max="14" width="10.5" customWidth="1"/>
    <col min="15" max="15" width="10.5" customWidth="1"/>
    <col min="16" max="16" width="10.5" customWidth="1"/>
    <col min="17" max="17" width="10.5" customWidth="1"/>
  </cols>
  <sheetData>
    <row r="1" ht="38" customHeight="1">
      <c r="B1" s="15" t="inlineStr">
        <is>
          <t>Retención y capacidad: dónde está la rentabilidad</t>
        </is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ht="20" customHeight="1">
      <c r="B2" s="16" t="inlineStr">
        <is>
          <t>Marketing y Comercial · Avance de octubre al 23 de octubre de 2026 · Presentación a Dirección y Finanzas · Bajas al 16-oct, base de alumnos al 19-oct</t>
        </is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ht="8" customHeight="1"/>
    <row r="4" ht="18" customHeight="1">
      <c r="B4" s="19" t="inlineStr">
        <is>
          <t>MENSUALIDAD QUE ENTRÓ (ALTAS)</t>
        </is>
      </c>
      <c r="C4" s="19"/>
      <c r="D4" s="19"/>
      <c r="E4" s="19"/>
      <c r="F4" s="19" t="inlineStr">
        <is>
          <t>MENSUALIDAD QUE SALIÓ (BAJAS)</t>
        </is>
      </c>
      <c r="G4" s="19"/>
      <c r="H4" s="19"/>
      <c r="I4" s="19"/>
      <c r="J4" s="19" t="inlineStr">
        <is>
          <t>SALDO NETO MENSUAL</t>
        </is>
      </c>
      <c r="K4" s="19"/>
      <c r="L4" s="19"/>
      <c r="M4" s="19"/>
      <c r="N4" s="19" t="inlineStr">
        <is>
          <t>LUGARES LIBRES EN GRUPOS ACTUALES</t>
        </is>
      </c>
      <c r="O4" s="19"/>
      <c r="P4" s="19"/>
      <c r="Q4" s="19"/>
    </row>
    <row r="5" ht="20" customHeight="1">
      <c r="B5" s="46">
        <f>Datos!$B$122</f>
        <v>10900.0</v>
      </c>
      <c r="C5" s="46"/>
      <c r="D5" s="46"/>
      <c r="E5" s="46"/>
      <c r="F5" s="47">
        <f>Datos!$B$121</f>
        <v>6250</v>
      </c>
      <c r="G5" s="47"/>
      <c r="H5" s="47"/>
      <c r="I5" s="47"/>
      <c r="J5" s="34">
        <f>Datos!$B$123</f>
        <v>4650.0</v>
      </c>
      <c r="K5" s="34"/>
      <c r="L5" s="34"/>
      <c r="M5" s="34"/>
      <c r="N5" s="24">
        <f>Datos!$B$125</f>
        <v>147</v>
      </c>
      <c r="O5" s="24"/>
      <c r="P5" s="24"/>
      <c r="Q5" s="24"/>
    </row>
    <row r="6" ht="20" customHeight="1">
      <c r="B6" s="46"/>
      <c r="C6" s="46"/>
      <c r="D6" s="46"/>
      <c r="E6" s="46"/>
      <c r="F6" s="47"/>
      <c r="G6" s="47"/>
      <c r="H6" s="47"/>
      <c r="I6" s="47"/>
      <c r="J6" s="34"/>
      <c r="K6" s="34"/>
      <c r="L6" s="34"/>
      <c r="M6" s="34"/>
      <c r="N6" s="24"/>
      <c r="O6" s="24"/>
      <c r="P6" s="24"/>
      <c r="Q6" s="24"/>
    </row>
    <row r="7" ht="30" customHeight="1">
      <c r="B7" s="21" t="inlineStr">
        <is>
          <t>Altas del 1 al 15-oct en la base de alumnos.</t>
        </is>
      </c>
      <c r="C7" s="21"/>
      <c r="D7" s="21"/>
      <c r="E7" s="21"/>
      <c r="F7" s="21" t="inlineStr">
        <is>
          <t>9 bajas del 1 al 16-oct; 4 con menos de 17 días.</t>
        </is>
      </c>
      <c r="G7" s="21"/>
      <c r="H7" s="21"/>
      <c r="I7" s="21"/>
      <c r="J7" s="21" t="inlineStr">
        <is>
          <t>Las bajas se llevaron más de la mitad de lo ganado.</t>
        </is>
      </c>
      <c r="K7" s="21"/>
      <c r="L7" s="21"/>
      <c r="M7" s="21"/>
      <c r="N7" s="21" t="inlineStr">
        <is>
          <t>Ocupación 47%. Llenarlos no cuesta docente adicional.</t>
        </is>
      </c>
      <c r="O7" s="21"/>
      <c r="P7" s="21"/>
      <c r="Q7" s="21"/>
    </row>
    <row r="9">
      <c r="B9" s="10" t="inlineStr">
        <is>
          <t>Lo que entra y lo que sale</t>
        </is>
      </c>
      <c r="H9" s="10" t="inlineStr">
        <is>
          <t>Motivos de baja</t>
        </is>
      </c>
      <c r="M9" s="10" t="inlineStr">
        <is>
          <t>Ocupación por franja</t>
        </is>
      </c>
    </row>
    <row r="25">
      <c r="B25" s="35" t="inlineStr">
        <is>
          <t>Lo que vale un alumno</t>
        </is>
      </c>
      <c r="C25" s="35"/>
      <c r="D25" s="35"/>
      <c r="E25" s="35"/>
      <c r="F25" s="35"/>
      <c r="G25" s="35"/>
      <c r="H25" s="35"/>
      <c r="I25" s="35"/>
      <c r="J25" s="31" t="inlineStr">
        <is>
          <t>Acción de retención</t>
        </is>
      </c>
      <c r="K25" s="31"/>
      <c r="L25" s="31"/>
      <c r="M25" s="31"/>
      <c r="N25" s="31"/>
      <c r="O25" s="31"/>
      <c r="P25" s="31"/>
      <c r="Q25" s="31"/>
    </row>
    <row r="26" ht="62" customHeight="1">
      <c r="B26" s="29" t="inlineStr">
        <is>
          <t>Costo docente de un grupo: ~$1,733 al mes; se cubre con 3 alumnos. Un alumno extra en un grupo con lugar aporta su mensualidad completa (~$698) y recupera su costo de captación (~$224) en el primer mes.</t>
        </is>
      </c>
      <c r="C26" s="29"/>
      <c r="D26" s="29"/>
      <c r="E26" s="29"/>
      <c r="F26" s="29"/>
      <c r="G26" s="29"/>
      <c r="H26" s="29"/>
      <c r="I26" s="29"/>
      <c r="J26" s="29" t="inlineStr">
        <is>
          <t>Llamada en la semana 1 y la semana 3 de cada alumno nuevo, empezando por adultos. Llamar a las 4 bajas temporales con propuesta de horario. Hoy el único contacto ocurre el día de la baja.</t>
        </is>
      </c>
      <c r="K26" s="29"/>
      <c r="L26" s="29"/>
      <c r="M26" s="29"/>
      <c r="N26" s="29"/>
      <c r="O26" s="29"/>
      <c r="P26" s="29"/>
      <c r="Q26" s="29"/>
    </row>
  </sheetData>
  <mergeCells count="18">
    <mergeCell ref="B1:Q1"/>
    <mergeCell ref="B2:Q2"/>
    <mergeCell ref="B4:E4"/>
    <mergeCell ref="B5:E6"/>
    <mergeCell ref="B7:E7"/>
    <mergeCell ref="F4:I4"/>
    <mergeCell ref="F5:I6"/>
    <mergeCell ref="F7:I7"/>
    <mergeCell ref="J4:M4"/>
    <mergeCell ref="J5:M6"/>
    <mergeCell ref="J7:M7"/>
    <mergeCell ref="N4:Q4"/>
    <mergeCell ref="N5:Q6"/>
    <mergeCell ref="N7:Q7"/>
    <mergeCell ref="B25:I25"/>
    <mergeCell ref="B26:I26"/>
    <mergeCell ref="J25:Q25"/>
    <mergeCell ref="J26:Q26"/>
  </mergeCells>
  <pageMargins left="0.5" right="0.5" top="0.6" bottom="0.6" header="0.3" footer="0.3"/>
  <pageSetup orientation="landscape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F3864"/>
  </sheetPr>
  <dimension ref="A1:Q26"/>
  <sheetViews>
    <sheetView workbookViewId="0" zoomScale="85" showGridLines="0"/>
  </sheetViews>
  <sheetFormatPr defaultRowHeight="15"/>
  <cols>
    <col min="1" max="1" width="2" customWidth="1"/>
    <col min="2" max="2" width="10.5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  <col min="13" max="13" width="10.5" customWidth="1"/>
    <col min="14" max="14" width="10.5" customWidth="1"/>
    <col min="15" max="15" width="10.5" customWidth="1"/>
    <col min="16" max="16" width="10.5" customWidth="1"/>
    <col min="17" max="17" width="10.5" customWidth="1"/>
  </cols>
  <sheetData>
    <row r="1" ht="38" customHeight="1">
      <c r="B1" s="15" t="inlineStr">
        <is>
          <t>Avance, acciones y decisiones</t>
        </is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ht="20" customHeight="1">
      <c r="B2" s="16" t="inlineStr">
        <is>
          <t>Marketing y Comercial · Avance de octubre al 23 de octubre de 2026 · Presentación a Dirección y Finanzas</t>
        </is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ht="8" customHeight="1"/>
    <row r="4">
      <c r="B4" s="10" t="inlineStr">
        <is>
          <t>Avance y plan de acción (actualiza la columna Estatus antes de presentar)</t>
        </is>
      </c>
    </row>
    <row r="5">
      <c r="B5" s="43" t="inlineStr">
        <is>
          <t>Acción</t>
        </is>
      </c>
      <c r="C5" s="43"/>
      <c r="D5" s="43"/>
      <c r="E5" s="43"/>
      <c r="F5" s="43"/>
      <c r="G5" s="43"/>
      <c r="H5" s="43"/>
      <c r="I5" s="43"/>
      <c r="J5" s="43"/>
      <c r="K5" s="43" t="inlineStr">
        <is>
          <t>Responsable</t>
        </is>
      </c>
      <c r="L5" s="43"/>
      <c r="M5" s="43"/>
      <c r="N5" s="43" t="inlineStr">
        <is>
          <t>Fecha</t>
        </is>
      </c>
      <c r="O5" s="43"/>
      <c r="P5" s="43" t="inlineStr">
        <is>
          <t>Estatus</t>
        </is>
      </c>
      <c r="Q5" s="43"/>
    </row>
    <row r="6" ht="22" customHeight="1">
      <c r="B6" s="44" t="inlineStr">
        <is>
          <t>Control de clases muestra con nivel, agenda de noviembre y reporte automático por mes</t>
        </is>
      </c>
      <c r="C6" s="44"/>
      <c r="D6" s="44"/>
      <c r="E6" s="44"/>
      <c r="F6" s="44"/>
      <c r="G6" s="44"/>
      <c r="H6" s="44"/>
      <c r="I6" s="44"/>
      <c r="J6" s="44"/>
      <c r="K6" s="44" t="inlineStr">
        <is>
          <t>Atención comercial</t>
        </is>
      </c>
      <c r="L6" s="44"/>
      <c r="M6" s="44"/>
      <c r="N6" s="40" t="inlineStr">
        <is>
          <t>Oct</t>
        </is>
      </c>
      <c r="O6" s="40"/>
      <c r="P6" s="48" t="inlineStr">
        <is>
          <t>Hecho</t>
        </is>
      </c>
      <c r="Q6" s="48"/>
    </row>
    <row r="7" ht="22" customHeight="1">
      <c r="B7" s="45" t="inlineStr">
        <is>
          <t>Herramientas listas: sistema de seguimiento, tablero, análisis de inversión y plan de estrategias</t>
        </is>
      </c>
      <c r="C7" s="45"/>
      <c r="D7" s="45"/>
      <c r="E7" s="45"/>
      <c r="F7" s="45"/>
      <c r="G7" s="45"/>
      <c r="H7" s="45"/>
      <c r="I7" s="45"/>
      <c r="J7" s="45"/>
      <c r="K7" s="45" t="inlineStr">
        <is>
          <t>Marketing</t>
        </is>
      </c>
      <c r="L7" s="45"/>
      <c r="M7" s="45"/>
      <c r="N7" s="40" t="inlineStr">
        <is>
          <t>Oct</t>
        </is>
      </c>
      <c r="O7" s="40"/>
      <c r="P7" s="48" t="inlineStr">
        <is>
          <t>Hecho</t>
        </is>
      </c>
      <c r="Q7" s="48"/>
    </row>
    <row r="8" ht="22" customHeight="1">
      <c r="B8" s="44" t="inlineStr">
        <is>
          <t>Agenda de 20 clases muestra del 23-oct al 7-nov</t>
        </is>
      </c>
      <c r="C8" s="44"/>
      <c r="D8" s="44"/>
      <c r="E8" s="44"/>
      <c r="F8" s="44"/>
      <c r="G8" s="44"/>
      <c r="H8" s="44"/>
      <c r="I8" s="44"/>
      <c r="J8" s="44"/>
      <c r="K8" s="44" t="inlineStr">
        <is>
          <t>Atención comercial</t>
        </is>
      </c>
      <c r="L8" s="44"/>
      <c r="M8" s="44"/>
      <c r="N8" s="40" t="inlineStr">
        <is>
          <t>Oct-nov</t>
        </is>
      </c>
      <c r="O8" s="40"/>
      <c r="P8" s="48" t="inlineStr">
        <is>
          <t>En curso</t>
        </is>
      </c>
      <c r="Q8" s="48"/>
    </row>
    <row r="9" ht="22" customHeight="1">
      <c r="B9" s="45" t="inlineStr">
        <is>
          <t>Confirmar cada cita un día antes y el mismo día, y registrar la confirmación</t>
        </is>
      </c>
      <c r="C9" s="45"/>
      <c r="D9" s="45"/>
      <c r="E9" s="45"/>
      <c r="F9" s="45"/>
      <c r="G9" s="45"/>
      <c r="H9" s="45"/>
      <c r="I9" s="45"/>
      <c r="J9" s="45"/>
      <c r="K9" s="45" t="inlineStr">
        <is>
          <t>Atención comercial</t>
        </is>
      </c>
      <c r="L9" s="45"/>
      <c r="M9" s="45"/>
      <c r="N9" s="40" t="inlineStr">
        <is>
          <t>Desde 24-oct</t>
        </is>
      </c>
      <c r="O9" s="40"/>
      <c r="P9" s="48" t="inlineStr">
        <is>
          <t>Por iniciar</t>
        </is>
      </c>
      <c r="Q9" s="48"/>
    </row>
    <row r="10" ht="22" customHeight="1">
      <c r="B10" s="44" t="inlineStr">
        <is>
          <t>Llamada de cierre a los 12 prospectos que asistieron y no se inscribieron</t>
        </is>
      </c>
      <c r="C10" s="44"/>
      <c r="D10" s="44"/>
      <c r="E10" s="44"/>
      <c r="F10" s="44"/>
      <c r="G10" s="44"/>
      <c r="H10" s="44"/>
      <c r="I10" s="44"/>
      <c r="J10" s="44"/>
      <c r="K10" s="44" t="inlineStr">
        <is>
          <t>Atención comercial</t>
        </is>
      </c>
      <c r="L10" s="44"/>
      <c r="M10" s="44"/>
      <c r="N10" s="40" t="inlineStr">
        <is>
          <t>24 al 28-oct</t>
        </is>
      </c>
      <c r="O10" s="40"/>
      <c r="P10" s="48" t="inlineStr">
        <is>
          <t>Por confirmar</t>
        </is>
      </c>
      <c r="Q10" s="48"/>
    </row>
    <row r="11" ht="22" customHeight="1">
      <c r="B11" s="45" t="inlineStr">
        <is>
          <t>Confirmar pago y alta en la base de Carlos Mercado, Luna Ángeles y Dylan López</t>
        </is>
      </c>
      <c r="C11" s="45"/>
      <c r="D11" s="45"/>
      <c r="E11" s="45"/>
      <c r="F11" s="45"/>
      <c r="G11" s="45"/>
      <c r="H11" s="45"/>
      <c r="I11" s="45"/>
      <c r="J11" s="45"/>
      <c r="K11" s="45" t="inlineStr">
        <is>
          <t>Administración</t>
        </is>
      </c>
      <c r="L11" s="45"/>
      <c r="M11" s="45"/>
      <c r="N11" s="40" t="inlineStr">
        <is>
          <t>24-oct</t>
        </is>
      </c>
      <c r="O11" s="40"/>
      <c r="P11" s="48" t="inlineStr">
        <is>
          <t>Por confirmar</t>
        </is>
      </c>
      <c r="Q11" s="48"/>
    </row>
    <row r="12" ht="22" customHeight="1">
      <c r="B12" s="44" t="inlineStr">
        <is>
          <t>Arrancar el sistema de seguimiento con fecha de primer contacto y teléfono obligatorio</t>
        </is>
      </c>
      <c r="C12" s="44"/>
      <c r="D12" s="44"/>
      <c r="E12" s="44"/>
      <c r="F12" s="44"/>
      <c r="G12" s="44"/>
      <c r="H12" s="44"/>
      <c r="I12" s="44"/>
      <c r="J12" s="44"/>
      <c r="K12" s="44" t="inlineStr">
        <is>
          <t>Comercial</t>
        </is>
      </c>
      <c r="L12" s="44"/>
      <c r="M12" s="44"/>
      <c r="N12" s="40" t="inlineStr">
        <is>
          <t>26-oct</t>
        </is>
      </c>
      <c r="O12" s="40"/>
      <c r="P12" s="48" t="inlineStr">
        <is>
          <t>Por iniciar</t>
        </is>
      </c>
      <c r="Q12" s="48"/>
    </row>
    <row r="13" ht="22" customHeight="1">
      <c r="B13" s="45" t="inlineStr">
        <is>
          <t>Check-in en semana 1 y 3 a alumnos nuevos; llamar a las 4 bajas temporales</t>
        </is>
      </c>
      <c r="C13" s="45"/>
      <c r="D13" s="45"/>
      <c r="E13" s="45"/>
      <c r="F13" s="45"/>
      <c r="G13" s="45"/>
      <c r="H13" s="45"/>
      <c r="I13" s="45"/>
      <c r="J13" s="45"/>
      <c r="K13" s="45" t="inlineStr">
        <is>
          <t>Comercial + Académico</t>
        </is>
      </c>
      <c r="L13" s="45"/>
      <c r="M13" s="45"/>
      <c r="N13" s="40" t="inlineStr">
        <is>
          <t>Desde 26-oct</t>
        </is>
      </c>
      <c r="O13" s="40"/>
      <c r="P13" s="48" t="inlineStr">
        <is>
          <t>Por iniciar</t>
        </is>
      </c>
      <c r="Q13" s="48"/>
    </row>
    <row r="14" ht="22" customHeight="1">
      <c r="B14" s="44" t="inlineStr">
        <is>
          <t>Renovar la pauta al terminar la campaña actual (2-nov): $5,000 en dos conjuntos</t>
        </is>
      </c>
      <c r="C14" s="44"/>
      <c r="D14" s="44"/>
      <c r="E14" s="44"/>
      <c r="F14" s="44"/>
      <c r="G14" s="44"/>
      <c r="H14" s="44"/>
      <c r="I14" s="44"/>
      <c r="J14" s="44"/>
      <c r="K14" s="44" t="inlineStr">
        <is>
          <t>Marketing + Finanzas</t>
        </is>
      </c>
      <c r="L14" s="44"/>
      <c r="M14" s="44"/>
      <c r="N14" s="40" t="inlineStr">
        <is>
          <t>2-nov</t>
        </is>
      </c>
      <c r="O14" s="40"/>
      <c r="P14" s="48" t="inlineStr">
        <is>
          <t>Propuesta</t>
        </is>
      </c>
      <c r="Q14" s="48"/>
    </row>
    <row r="15" ht="22" customHeight="1">
      <c r="B15" s="45" t="inlineStr">
        <is>
          <t>Primer mensaje con dos horarios con cupo, en lugar de solo información</t>
        </is>
      </c>
      <c r="C15" s="45"/>
      <c r="D15" s="45"/>
      <c r="E15" s="45"/>
      <c r="F15" s="45"/>
      <c r="G15" s="45"/>
      <c r="H15" s="45"/>
      <c r="I15" s="45"/>
      <c r="J15" s="45"/>
      <c r="K15" s="45" t="inlineStr">
        <is>
          <t>Atención comercial</t>
        </is>
      </c>
      <c r="L15" s="45"/>
      <c r="M15" s="45"/>
      <c r="N15" s="40" t="inlineStr">
        <is>
          <t>2-nov</t>
        </is>
      </c>
      <c r="O15" s="40"/>
      <c r="P15" s="48" t="inlineStr">
        <is>
          <t>Propuesta</t>
        </is>
      </c>
      <c r="Q15" s="48"/>
    </row>
    <row r="16" ht="22" customHeight="1">
      <c r="B16" s="44" t="inlineStr">
        <is>
          <t>Programa de recomendación de alumnos y padres</t>
        </is>
      </c>
      <c r="C16" s="44"/>
      <c r="D16" s="44"/>
      <c r="E16" s="44"/>
      <c r="F16" s="44"/>
      <c r="G16" s="44"/>
      <c r="H16" s="44"/>
      <c r="I16" s="44"/>
      <c r="J16" s="44"/>
      <c r="K16" s="44" t="inlineStr">
        <is>
          <t>Comercial + Finanzas</t>
        </is>
      </c>
      <c r="L16" s="44"/>
      <c r="M16" s="44"/>
      <c r="N16" s="40" t="inlineStr">
        <is>
          <t>9-nov</t>
        </is>
      </c>
      <c r="O16" s="40"/>
      <c r="P16" s="48" t="inlineStr">
        <is>
          <t>Propuesta</t>
        </is>
      </c>
      <c r="Q16" s="48"/>
    </row>
    <row r="17" ht="22" customHeight="1">
      <c r="B17" s="45" t="inlineStr">
        <is>
          <t>Alianzas con escuelas cercanas y clase abierta de sábado (21-nov)</t>
        </is>
      </c>
      <c r="C17" s="45"/>
      <c r="D17" s="45"/>
      <c r="E17" s="45"/>
      <c r="F17" s="45"/>
      <c r="G17" s="45"/>
      <c r="H17" s="45"/>
      <c r="I17" s="45"/>
      <c r="J17" s="45"/>
      <c r="K17" s="45" t="inlineStr">
        <is>
          <t>Comercial + Dirección</t>
        </is>
      </c>
      <c r="L17" s="45"/>
      <c r="M17" s="45"/>
      <c r="N17" s="40" t="inlineStr">
        <is>
          <t>Nov</t>
        </is>
      </c>
      <c r="O17" s="40"/>
      <c r="P17" s="48" t="inlineStr">
        <is>
          <t>Propuesta</t>
        </is>
      </c>
      <c r="Q17" s="48"/>
    </row>
    <row r="19">
      <c r="B19" s="10" t="inlineStr">
        <is>
          <t>Decisiones que pedimos hoy</t>
        </is>
      </c>
    </row>
    <row r="20">
      <c r="B20" s="43" t="inlineStr">
        <is>
          <t>Área</t>
        </is>
      </c>
      <c r="C20" s="43"/>
      <c r="D20" s="43"/>
      <c r="E20" s="43" t="inlineStr">
        <is>
          <t>Decisión</t>
        </is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 t="inlineStr">
        <is>
          <t>Fecha</t>
        </is>
      </c>
      <c r="Q20" s="43"/>
    </row>
    <row r="21" ht="24" customHeight="1">
      <c r="B21" s="49" t="inlineStr">
        <is>
          <t>Finanzas</t>
        </is>
      </c>
      <c r="C21" s="49"/>
      <c r="D21" s="49"/>
      <c r="E21" s="50" t="inlineStr">
        <is>
          <t>Aprobar $5,000 de Meta Ads para noviembre: $2,500 familias, $2,000 adultos-mañana, $500 pruebas.</t>
        </is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 t="inlineStr">
        <is>
          <t>Antes del 2-nov</t>
        </is>
      </c>
      <c r="Q21" s="51"/>
    </row>
    <row r="22" ht="24" customHeight="1">
      <c r="B22" s="49" t="inlineStr">
        <is>
          <t>Dirección</t>
        </is>
      </c>
      <c r="C22" s="49"/>
      <c r="D22" s="49"/>
      <c r="E22" s="50" t="inlineStr">
        <is>
          <t>Cubrir la atención de mensajes y confirmaciones de 18 a 20 h y sábados.</t>
        </is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1" t="inlineStr">
        <is>
          <t>Antes del 2-nov</t>
        </is>
      </c>
      <c r="Q22" s="51"/>
    </row>
    <row r="23" ht="24" customHeight="1">
      <c r="B23" s="49" t="inlineStr">
        <is>
          <t>Finanzas</t>
        </is>
      </c>
      <c r="C23" s="49"/>
      <c r="D23" s="49"/>
      <c r="E23" s="50" t="inlineStr">
        <is>
          <t>Beneficio de recomendación: $200 cuando el recomendado paga su segundo mes.</t>
        </is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1" t="inlineStr">
        <is>
          <t>9-nov</t>
        </is>
      </c>
      <c r="Q23" s="51"/>
    </row>
    <row r="24" ht="24" customHeight="1">
      <c r="B24" s="49" t="inlineStr">
        <is>
          <t>Dirección + Finanzas</t>
        </is>
      </c>
      <c r="C24" s="49"/>
      <c r="D24" s="49"/>
      <c r="E24" s="50" t="inlineStr">
        <is>
          <t>Costo docente de talleres en escuelas y clases abiertas: $200 por sesión ($2,800 de nov a mar).</t>
        </is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1" t="inlineStr">
        <is>
          <t>9-nov</t>
        </is>
      </c>
      <c r="Q24" s="51"/>
    </row>
    <row r="25" ht="24" customHeight="1">
      <c r="B25" s="49" t="inlineStr">
        <is>
          <t>Finanzas</t>
        </is>
      </c>
      <c r="C25" s="49"/>
      <c r="D25" s="49"/>
      <c r="E25" s="50" t="inlineStr">
        <is>
          <t>Compartir costos fijos, cobranza real y política de descuentos.</t>
        </is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1" t="inlineStr">
        <is>
          <t>15-nov</t>
        </is>
      </c>
      <c r="Q25" s="51"/>
    </row>
    <row r="26" ht="24" customHeight="1">
      <c r="B26" s="49" t="inlineStr">
        <is>
          <t>Dirección</t>
        </is>
      </c>
      <c r="C26" s="49"/>
      <c r="D26" s="49"/>
      <c r="E26" s="50" t="inlineStr">
        <is>
          <t>Aprobar las metas propuestas: asistencia 75%, cierre 55%, cero bajas antes de 30 días.</t>
        </is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1" t="inlineStr">
        <is>
          <t>Antes del 2-nov</t>
        </is>
      </c>
      <c r="Q26" s="51"/>
    </row>
  </sheetData>
  <mergeCells count="75">
    <mergeCell ref="B1:Q1"/>
    <mergeCell ref="B2:Q2"/>
    <mergeCell ref="B5:J5"/>
    <mergeCell ref="K5:M5"/>
    <mergeCell ref="N5:O5"/>
    <mergeCell ref="P5:Q5"/>
    <mergeCell ref="B6:J6"/>
    <mergeCell ref="K6:M6"/>
    <mergeCell ref="N6:O6"/>
    <mergeCell ref="P6:Q6"/>
    <mergeCell ref="B7:J7"/>
    <mergeCell ref="K7:M7"/>
    <mergeCell ref="N7:O7"/>
    <mergeCell ref="P7:Q7"/>
    <mergeCell ref="B8:J8"/>
    <mergeCell ref="K8:M8"/>
    <mergeCell ref="N8:O8"/>
    <mergeCell ref="P8:Q8"/>
    <mergeCell ref="B9:J9"/>
    <mergeCell ref="K9:M9"/>
    <mergeCell ref="N9:O9"/>
    <mergeCell ref="P9:Q9"/>
    <mergeCell ref="B10:J10"/>
    <mergeCell ref="K10:M10"/>
    <mergeCell ref="N10:O10"/>
    <mergeCell ref="P10:Q10"/>
    <mergeCell ref="B11:J11"/>
    <mergeCell ref="K11:M11"/>
    <mergeCell ref="N11:O11"/>
    <mergeCell ref="P11:Q11"/>
    <mergeCell ref="B12:J12"/>
    <mergeCell ref="K12:M12"/>
    <mergeCell ref="N12:O12"/>
    <mergeCell ref="P12:Q12"/>
    <mergeCell ref="B13:J13"/>
    <mergeCell ref="K13:M13"/>
    <mergeCell ref="N13:O13"/>
    <mergeCell ref="P13:Q13"/>
    <mergeCell ref="B14:J14"/>
    <mergeCell ref="K14:M14"/>
    <mergeCell ref="N14:O14"/>
    <mergeCell ref="P14:Q14"/>
    <mergeCell ref="B15:J15"/>
    <mergeCell ref="K15:M15"/>
    <mergeCell ref="N15:O15"/>
    <mergeCell ref="P15:Q15"/>
    <mergeCell ref="B16:J16"/>
    <mergeCell ref="K16:M16"/>
    <mergeCell ref="N16:O16"/>
    <mergeCell ref="P16:Q16"/>
    <mergeCell ref="B17:J17"/>
    <mergeCell ref="K17:M17"/>
    <mergeCell ref="N17:O17"/>
    <mergeCell ref="P17:Q17"/>
    <mergeCell ref="B20:D20"/>
    <mergeCell ref="E20:O20"/>
    <mergeCell ref="P20:Q20"/>
    <mergeCell ref="B21:D21"/>
    <mergeCell ref="E21:O21"/>
    <mergeCell ref="P21:Q21"/>
    <mergeCell ref="B22:D22"/>
    <mergeCell ref="E22:O22"/>
    <mergeCell ref="P22:Q22"/>
    <mergeCell ref="B23:D23"/>
    <mergeCell ref="E23:O23"/>
    <mergeCell ref="P23:Q23"/>
    <mergeCell ref="B24:D24"/>
    <mergeCell ref="E24:O24"/>
    <mergeCell ref="P24:Q24"/>
    <mergeCell ref="B25:D25"/>
    <mergeCell ref="E25:O25"/>
    <mergeCell ref="P25:Q25"/>
    <mergeCell ref="B26:D26"/>
    <mergeCell ref="E26:O26"/>
    <mergeCell ref="P26:Q26"/>
  </mergeCells>
  <conditionalFormatting sqref="P6:P17">
    <cfRule type="expression" dxfId="2" priority="1">
      <formula>P6="Hecho"</formula>
    </cfRule>
  </conditionalFormatting>
  <conditionalFormatting sqref="P6:P17">
    <cfRule type="expression" dxfId="3" priority="2">
      <formula>P6="En curso"</formula>
    </cfRule>
  </conditionalFormatting>
  <conditionalFormatting sqref="P6:P17">
    <cfRule type="expression" dxfId="4" priority="3">
      <formula>P6="Por confirmar"</formula>
    </cfRule>
  </conditionalFormatting>
  <conditionalFormatting sqref="P6:P17">
    <cfRule type="expression" dxfId="5" priority="4">
      <formula>P6="Propuesta"</formula>
    </cfRule>
  </conditionalFormatting>
  <dataValidations count="1">
    <dataValidation type="list" allowBlank="1" showErrorMessage="1" errorStyle="warning" errorTitle="Valor fuera de catálogo" error="Usa un valor de la lista para que el tablero lo cuente." sqref="P6:P17">
      <formula1>"Hecho,En curso,Por iniciar,Por confirmar,Propuesta"</formula1>
    </dataValidation>
  </dataValidations>
  <pageMargins left="0.5" right="0.5" top="0.6" bottom="0.6" header="0.3" footer="0.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F7F7F"/>
  </sheetPr>
  <dimension ref="A1:G151"/>
  <sheetViews>
    <sheetView workbookViewId="0" zoomScale="100"/>
  </sheetViews>
  <sheetFormatPr defaultRowHeight="15"/>
  <cols>
    <col min="1" max="1" width="4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50" customWidth="1"/>
  </cols>
  <sheetData>
    <row r="1">
      <c r="A1" s="10" t="inlineStr">
        <is>
          <t>Datos del dashboard (corte 23-oct-2026). Las tarjetas y gráficas de las pantallas leen estas celdas: si un dato cambia, cámbialo aquí.</t>
        </is>
      </c>
    </row>
    <row r="3">
      <c r="A3" s="9" t="inlineStr">
        <is>
          <t>A. Indicadores principales</t>
        </is>
      </c>
    </row>
    <row r="4">
      <c r="A4" s="2" t="inlineStr">
        <is>
          <t>CM vencidas de prospectos nuevos (1 al 23-oct)</t>
        </is>
      </c>
      <c r="B4" s="3">
        <v>39</v>
      </c>
      <c r="G4" s="11" t="inlineStr">
        <is>
          <t>Control de clases muestra 23-oct; excluye 3 alumnas actuales (francés)</t>
        </is>
      </c>
    </row>
    <row r="5">
      <c r="A5" s="2" t="inlineStr">
        <is>
          <t>CM realizadas (asistió)</t>
        </is>
      </c>
      <c r="B5" s="3">
        <v>26</v>
      </c>
    </row>
    <row r="6">
      <c r="A6" s="2" t="inlineStr">
        <is>
          <t>Inasistencias</t>
        </is>
      </c>
      <c r="B6" s="3">
        <v>13</v>
      </c>
    </row>
    <row r="7">
      <c r="A7" s="2" t="inlineStr">
        <is>
          <t>Inscripciones (pagó 1er mes)</t>
        </is>
      </c>
      <c r="B7" s="3">
        <v>15</v>
      </c>
      <c r="G7" s="11" t="inlineStr">
        <is>
          <t>3 de ellas (19 y 20-oct) aún no están en la base de alumnos</t>
        </is>
      </c>
    </row>
    <row r="8">
      <c r="A8" s="2" t="inlineStr">
        <is>
          <t>Asistieron y no se han inscrito</t>
        </is>
      </c>
      <c r="B8" s="3">
        <v>11</v>
      </c>
    </row>
    <row r="9">
      <c r="A9" s="2" t="inlineStr">
        <is>
          <t>Asistencia</t>
        </is>
      </c>
      <c r="B9" s="5">
        <f>Datos!$B$5/Datos!$B$4</f>
        <v>0.6666666666666666</v>
      </c>
    </row>
    <row r="10">
      <c r="A10" s="2" t="inlineStr">
        <is>
          <t>Cierre tras CM</t>
        </is>
      </c>
      <c r="B10" s="5">
        <f>Datos!$B$7/Datos!$B$5</f>
        <v>0.5769230769230769</v>
      </c>
    </row>
    <row r="11">
      <c r="A11" s="2" t="inlineStr">
        <is>
          <t>CM vencida → inscripción</t>
        </is>
      </c>
      <c r="B11" s="5">
        <f>Datos!$B$7/Datos!$B$4</f>
        <v>0.38461538461538464</v>
      </c>
    </row>
    <row r="12">
      <c r="A12" s="2" t="inlineStr">
        <is>
          <t>Citas agendadas (23-oct a 7-nov)</t>
        </is>
      </c>
      <c r="B12" s="3">
        <v>20</v>
      </c>
    </row>
    <row r="13">
      <c r="A13" s="2" t="inlineStr">
        <is>
          <t>de ellas en octubre</t>
        </is>
      </c>
      <c r="B13" s="3">
        <v>18</v>
      </c>
    </row>
    <row r="14">
      <c r="A14" s="2" t="inlineStr">
        <is>
          <t>de ellas en noviembre</t>
        </is>
      </c>
      <c r="B14" s="3">
        <v>2</v>
      </c>
    </row>
    <row r="15">
      <c r="A15" s="2" t="inlineStr">
        <is>
          <t>Inscripciones esperadas de la agenda (estimación)</t>
        </is>
      </c>
      <c r="B15" s="4">
        <v>7.8</v>
      </c>
      <c r="G15" s="11" t="inlineStr">
        <is>
          <t>Tasa CM vencida → inscripción de octubre por segmento</t>
        </is>
      </c>
    </row>
    <row r="16">
      <c r="A16" s="2" t="inlineStr">
        <is>
          <t>Inscripciones proyectadas al cierre de octubre (estimación)</t>
        </is>
      </c>
      <c r="B16" s="4">
        <f>Datos!$B$7+6.71</f>
        <v>21.710526315789473</v>
      </c>
    </row>
    <row r="18">
      <c r="A18" s="9" t="inlineStr">
        <is>
          <t>B. Pauta Meta Ads</t>
        </is>
      </c>
    </row>
    <row r="19">
      <c r="A19" s="2" t="inlineStr">
        <is>
          <t>Gasto Meta Ads 4 al 23-oct</t>
        </is>
      </c>
      <c r="B19" s="6">
        <v>3356.23</v>
      </c>
      <c r="G19" s="11" t="inlineStr">
        <is>
          <t>Exportación Meta Ads 4-23 oct</t>
        </is>
      </c>
    </row>
    <row r="20">
      <c r="A20" s="2" t="inlineStr">
        <is>
          <t>Conversaciones 4 al 23-oct</t>
        </is>
      </c>
      <c r="B20" s="3">
        <v>369</v>
      </c>
    </row>
    <row r="21">
      <c r="A21" s="2" t="inlineStr">
        <is>
          <t>Días del reporte</t>
        </is>
      </c>
      <c r="B21" s="3">
        <v>20</v>
      </c>
    </row>
    <row r="22">
      <c r="A22" s="2" t="inlineStr">
        <is>
          <t>Presupuesto mensual habitual</t>
        </is>
      </c>
      <c r="B22" s="7">
        <v>5000</v>
      </c>
      <c r="G22" s="11" t="inlineStr">
        <is>
          <t>Dato de la academia</t>
        </is>
      </c>
    </row>
    <row r="23">
      <c r="A23" s="2" t="inlineStr">
        <is>
          <t>Costo por conversación</t>
        </is>
      </c>
      <c r="B23" s="6">
        <f>Datos!$B$19/Datos!$B$20</f>
        <v>9.095474254742548</v>
      </c>
    </row>
    <row r="24">
      <c r="A24" s="2" t="inlineStr">
        <is>
          <t>Gasto por día</t>
        </is>
      </c>
      <c r="B24" s="6">
        <f>Datos!$B$19/Datos!$B$21</f>
        <v>167.8115</v>
      </c>
    </row>
    <row r="25">
      <c r="A25" s="2" t="inlineStr">
        <is>
          <t>Gasto proyectado 4 al 31-oct (mismo ritmo)</t>
        </is>
      </c>
      <c r="B25" s="7">
        <f>Datos!$B$19+Datos!$B$24*8</f>
        <v>4698.722</v>
      </c>
    </row>
    <row r="26">
      <c r="A26" s="2" t="inlineStr">
        <is>
          <t>% del presupuesto (proyectado)</t>
        </is>
      </c>
      <c r="B26" s="5">
        <f>Datos!$B$25/Datos!$B$22</f>
        <v>0.9397443999999999</v>
      </c>
    </row>
    <row r="27">
      <c r="A27" s="2" t="inlineStr">
        <is>
          <t>Inscritos que llegaron por redes</t>
        </is>
      </c>
      <c r="B27" s="3">
        <v>15</v>
      </c>
    </row>
    <row r="28">
      <c r="A28" s="2" t="inlineStr">
        <is>
          <t>Costo por inscripción (aparente)</t>
        </is>
      </c>
      <c r="B28" s="6">
        <f>Datos!$B$19/Datos!$B$27</f>
        <v>223.74866666666668</v>
      </c>
    </row>
    <row r="29">
      <c r="A29" s="2" t="inlineStr">
        <is>
          <t>Costo por CM realizada</t>
        </is>
      </c>
      <c r="B29" s="6">
        <f>Datos!$B$19/Datos!$B$5</f>
        <v>129.08576923076924</v>
      </c>
    </row>
    <row r="31">
      <c r="A31" s="9" t="inlineStr">
        <is>
          <t>C. Comparativo (tasas)</t>
        </is>
      </c>
    </row>
    <row r="32">
      <c r="A32" s="1" t="inlineStr">
        <is>
          <t>Indicador</t>
        </is>
      </c>
      <c r="B32" s="1" t="inlineStr">
        <is>
          <t>Campaña sept. (21-ago a 4-oct)</t>
        </is>
      </c>
      <c r="C32" s="1" t="inlineStr">
        <is>
          <t>Septiembre 1 al 23 (control)</t>
        </is>
      </c>
      <c r="D32" s="1" t="inlineStr">
        <is>
          <t>Octubre 1 al 23</t>
        </is>
      </c>
    </row>
    <row r="33">
      <c r="A33" s="2" t="inlineStr">
        <is>
          <t>Asistencia</t>
        </is>
      </c>
      <c r="B33" s="5">
        <v>0.7613636363636364</v>
      </c>
      <c r="C33" s="5">
        <v>0.78125</v>
      </c>
      <c r="D33" s="5">
        <v>0.6666666666666666</v>
      </c>
    </row>
    <row r="34">
      <c r="A34" s="2" t="inlineStr">
        <is>
          <t>Cierre tras CM</t>
        </is>
      </c>
      <c r="B34" s="5">
        <v>0.462</v>
      </c>
      <c r="C34" s="5">
        <v>0.52</v>
      </c>
      <c r="D34" s="5">
        <v>0.5769230769230769</v>
      </c>
    </row>
    <row r="35">
      <c r="A35" s="2" t="inlineStr">
        <is>
          <t>CM vencida → inscripción</t>
        </is>
      </c>
      <c r="B35" s="5">
        <v>0.3409090909090909</v>
      </c>
      <c r="C35" s="5">
        <v>0.40625</v>
      </c>
      <c r="D35" s="5">
        <v>0.38461538461538464</v>
      </c>
    </row>
    <row r="36">
      <c r="A36" s="1" t="inlineStr">
        <is>
          <t>Volumen</t>
        </is>
      </c>
      <c r="B36" s="1" t="inlineStr">
        <is>
          <t>Campaña sept.</t>
        </is>
      </c>
      <c r="C36" s="1" t="inlineStr">
        <is>
          <t>Sept. 1 al 23</t>
        </is>
      </c>
      <c r="D36" s="1" t="inlineStr">
        <is>
          <t>Oct. 1 al 23</t>
        </is>
      </c>
    </row>
    <row r="37">
      <c r="A37" s="2" t="inlineStr">
        <is>
          <t>CM vencidas</t>
        </is>
      </c>
      <c r="B37" s="3">
        <v>88</v>
      </c>
      <c r="C37" s="3">
        <v>64</v>
      </c>
      <c r="D37" s="3">
        <v>39</v>
      </c>
    </row>
    <row r="38">
      <c r="A38" s="2" t="inlineStr">
        <is>
          <t>CM realizadas</t>
        </is>
      </c>
      <c r="B38" s="3">
        <v>67</v>
      </c>
      <c r="C38" s="3">
        <v>50</v>
      </c>
      <c r="D38" s="3">
        <v>26</v>
      </c>
    </row>
    <row r="39">
      <c r="A39" s="2" t="inlineStr">
        <is>
          <t>Inscripciones</t>
        </is>
      </c>
      <c r="B39" s="3">
        <v>30</v>
      </c>
      <c r="C39" s="3">
        <v>26</v>
      </c>
      <c r="D39" s="3">
        <v>15</v>
      </c>
    </row>
    <row r="40">
      <c r="A40" s="1" t="inlineStr">
        <is>
          <t>Eficiencia de pauta</t>
        </is>
      </c>
      <c r="B40" s="1" t="inlineStr">
        <is>
          <t>Campaña sept.</t>
        </is>
      </c>
      <c r="C40" s="1"/>
      <c r="D40" s="1" t="inlineStr">
        <is>
          <t>Octubre (4-23)</t>
        </is>
      </c>
      <c r="E40" s="1" t="inlineStr">
        <is>
          <t>Variación</t>
        </is>
      </c>
    </row>
    <row r="41">
      <c r="A41" s="2" t="inlineStr">
        <is>
          <t>Gasto por día</t>
        </is>
      </c>
      <c r="B41" s="6">
        <v>155.55355555555556</v>
      </c>
      <c r="C41" s="2"/>
      <c r="D41" s="6">
        <v>167.8115</v>
      </c>
      <c r="E41" s="5">
        <f>D41/B41-1</f>
        <v>0.07880208459823046</v>
      </c>
    </row>
    <row r="42">
      <c r="A42" s="2" t="inlineStr">
        <is>
          <t>Conversaciones por día</t>
        </is>
      </c>
      <c r="B42" s="4">
        <v>12.555555555555555</v>
      </c>
      <c r="C42" s="2"/>
      <c r="D42" s="4">
        <v>18.45</v>
      </c>
      <c r="E42" s="5">
        <f>D42/B42-1</f>
        <v>0.4694690265486725</v>
      </c>
    </row>
    <row r="43">
      <c r="A43" s="2" t="inlineStr">
        <is>
          <t>Costo por conversación</t>
        </is>
      </c>
      <c r="B43" s="6">
        <v>12.39</v>
      </c>
      <c r="C43" s="2"/>
      <c r="D43" s="6">
        <v>9.095474254742548</v>
      </c>
      <c r="E43" s="5">
        <f>D43/B43-1</f>
        <v>-0.2659019971959202</v>
      </c>
    </row>
    <row r="44">
      <c r="A44" s="2" t="inlineStr">
        <is>
          <t>CM agendadas por día</t>
        </is>
      </c>
      <c r="B44" s="4">
        <v>2.022222222222222</v>
      </c>
      <c r="C44" s="2"/>
      <c r="D44" s="4">
        <v>1.9655172413793103</v>
      </c>
      <c r="E44" s="5">
        <f>D44/B44-1</f>
        <v>-0.02804092459264873</v>
      </c>
    </row>
    <row r="45">
      <c r="A45" s="2" t="inlineStr">
        <is>
          <t>Conversación → CM agendada</t>
        </is>
      </c>
      <c r="B45" s="5">
        <v>0.16106194690265488</v>
      </c>
      <c r="C45" s="2"/>
      <c r="D45" s="5">
        <v>0.10653209980375666</v>
      </c>
      <c r="E45" s="5">
        <f>D45/B45-1</f>
        <v>-0.33856443528436797</v>
      </c>
    </row>
    <row r="46">
      <c r="A46" s="2" t="inlineStr">
        <is>
          <t>Costo por inscripción</t>
        </is>
      </c>
      <c r="B46" s="6">
        <v>304.34</v>
      </c>
      <c r="C46" s="2"/>
      <c r="D46" s="6">
        <v>223.74866666666668</v>
      </c>
      <c r="E46" s="5">
        <f>D46/B46-1</f>
        <v>-0.2648069045584981</v>
      </c>
    </row>
    <row r="48">
      <c r="A48" s="9" t="inlineStr">
        <is>
          <t>D. Embudo octubre</t>
        </is>
      </c>
    </row>
    <row r="49">
      <c r="A49" s="2" t="inlineStr">
        <is>
          <t>CM vencidas</t>
        </is>
      </c>
      <c r="B49" s="3">
        <f>Datos!$B$4</f>
        <v>39</v>
      </c>
    </row>
    <row r="50">
      <c r="A50" s="2" t="inlineStr">
        <is>
          <t>Realizadas</t>
        </is>
      </c>
      <c r="B50" s="3">
        <f>Datos!$B$5</f>
        <v>26</v>
      </c>
    </row>
    <row r="51">
      <c r="A51" s="2" t="inlineStr">
        <is>
          <t>Inscritos</t>
        </is>
      </c>
      <c r="B51" s="3">
        <f>Datos!$B$7</f>
        <v>15</v>
      </c>
    </row>
    <row r="53">
      <c r="A53" s="9" t="inlineStr">
        <is>
          <t>E. Clases muestra por semana (prospectos nuevos)</t>
        </is>
      </c>
    </row>
    <row r="54">
      <c r="A54" s="1" t="inlineStr">
        <is>
          <t>Semana (lunes)</t>
        </is>
      </c>
      <c r="B54" s="1" t="inlineStr">
        <is>
          <t>Inscritos</t>
        </is>
      </c>
      <c r="C54" s="1" t="inlineStr">
        <is>
          <t>Asistió sin inscribirse</t>
        </is>
      </c>
      <c r="D54" s="1" t="inlineStr">
        <is>
          <t>No asistió</t>
        </is>
      </c>
      <c r="E54" s="1" t="inlineStr">
        <is>
          <t>Cita agendada</t>
        </is>
      </c>
      <c r="F54" s="1" t="inlineStr">
        <is>
          <t>Total</t>
        </is>
      </c>
    </row>
    <row r="55">
      <c r="A55" s="2" t="inlineStr">
        <is>
          <t>28/09</t>
        </is>
      </c>
      <c r="B55" s="3">
        <v>2</v>
      </c>
      <c r="C55" s="3">
        <v>1</v>
      </c>
      <c r="D55" s="3">
        <v>0</v>
      </c>
      <c r="E55" s="3">
        <v>0</v>
      </c>
      <c r="F55" s="3">
        <f>SUM(B55:E55)</f>
        <v>3</v>
      </c>
    </row>
    <row r="56">
      <c r="A56" s="2" t="inlineStr">
        <is>
          <t>05/10</t>
        </is>
      </c>
      <c r="B56" s="3">
        <v>6</v>
      </c>
      <c r="C56" s="3">
        <v>2</v>
      </c>
      <c r="D56" s="3">
        <v>6</v>
      </c>
      <c r="E56" s="3">
        <v>0</v>
      </c>
      <c r="F56" s="3">
        <f>SUM(B56:E56)</f>
        <v>14</v>
      </c>
    </row>
    <row r="57">
      <c r="A57" s="2" t="inlineStr">
        <is>
          <t>12/10</t>
        </is>
      </c>
      <c r="B57" s="3">
        <v>4</v>
      </c>
      <c r="C57" s="3">
        <v>5</v>
      </c>
      <c r="D57" s="3">
        <v>4</v>
      </c>
      <c r="E57" s="3">
        <v>0</v>
      </c>
      <c r="F57" s="3">
        <f>SUM(B57:E57)</f>
        <v>13</v>
      </c>
    </row>
    <row r="58">
      <c r="A58" s="2" t="inlineStr">
        <is>
          <t>19/10</t>
        </is>
      </c>
      <c r="B58" s="3">
        <v>3</v>
      </c>
      <c r="C58" s="3">
        <v>3</v>
      </c>
      <c r="D58" s="3">
        <v>3</v>
      </c>
      <c r="E58" s="3">
        <v>7</v>
      </c>
      <c r="F58" s="3">
        <f>SUM(B58:E58)</f>
        <v>16</v>
      </c>
    </row>
    <row r="59">
      <c r="A59" s="2" t="inlineStr">
        <is>
          <t>26/10</t>
        </is>
      </c>
      <c r="B59" s="3">
        <v>0</v>
      </c>
      <c r="C59" s="3">
        <v>0</v>
      </c>
      <c r="D59" s="3">
        <v>0</v>
      </c>
      <c r="E59" s="3">
        <v>11</v>
      </c>
      <c r="F59" s="3">
        <f>SUM(B59:E59)</f>
        <v>11</v>
      </c>
    </row>
    <row r="60">
      <c r="A60" s="2" t="inlineStr">
        <is>
          <t>02/11</t>
        </is>
      </c>
      <c r="B60" s="3">
        <v>0</v>
      </c>
      <c r="C60" s="3">
        <v>0</v>
      </c>
      <c r="D60" s="3">
        <v>0</v>
      </c>
      <c r="E60" s="3">
        <v>2</v>
      </c>
      <c r="F60" s="3">
        <f>SUM(B60:E60)</f>
        <v>2</v>
      </c>
    </row>
    <row r="62">
      <c r="A62" s="9" t="inlineStr">
        <is>
          <t>F. Por canal de origen (CM vencidas octubre)</t>
        </is>
      </c>
    </row>
    <row r="63">
      <c r="A63" s="1" t="inlineStr">
        <is>
          <t>Canal</t>
        </is>
      </c>
      <c r="B63" s="1" t="inlineStr">
        <is>
          <t>CM vencidas</t>
        </is>
      </c>
      <c r="C63" s="1" t="inlineStr">
        <is>
          <t>Realizadas</t>
        </is>
      </c>
      <c r="D63" s="1" t="inlineStr">
        <is>
          <t>Inscritos</t>
        </is>
      </c>
      <c r="E63" s="1" t="inlineStr">
        <is>
          <t>Cierre</t>
        </is>
      </c>
    </row>
    <row r="64">
      <c r="A64" s="2" t="inlineStr">
        <is>
          <t>Facebook</t>
        </is>
      </c>
      <c r="B64" s="3">
        <v>20</v>
      </c>
      <c r="C64" s="3">
        <v>16</v>
      </c>
      <c r="D64" s="3">
        <v>13</v>
      </c>
      <c r="E64" s="5">
        <f>IF(C64=0,"",D64/C64)</f>
        <v>0.8125</v>
      </c>
    </row>
    <row r="65">
      <c r="A65" s="2" t="inlineStr">
        <is>
          <t>WhatsApp</t>
        </is>
      </c>
      <c r="B65" s="3">
        <v>14</v>
      </c>
      <c r="C65" s="3">
        <v>8</v>
      </c>
      <c r="D65" s="3">
        <v>2</v>
      </c>
      <c r="E65" s="5">
        <f>IF(C65=0,"",D65/C65)</f>
        <v>0.25</v>
      </c>
    </row>
    <row r="66">
      <c r="A66" s="2" t="inlineStr">
        <is>
          <t>Instagram</t>
        </is>
      </c>
      <c r="B66" s="3">
        <v>5</v>
      </c>
      <c r="C66" s="3">
        <v>2</v>
      </c>
      <c r="D66" s="3">
        <v>0</v>
      </c>
      <c r="E66" s="5">
        <f>IF(C66=0,"",D66/C66)</f>
        <v>0.0</v>
      </c>
    </row>
    <row r="68">
      <c r="A68" s="9" t="inlineStr">
        <is>
          <t>G. Por programa (CM vencidas octubre)</t>
        </is>
      </c>
    </row>
    <row r="69">
      <c r="A69" s="1" t="inlineStr">
        <is>
          <t>Programa</t>
        </is>
      </c>
      <c r="B69" s="1" t="inlineStr">
        <is>
          <t>CM vencidas</t>
        </is>
      </c>
      <c r="C69" s="1" t="inlineStr">
        <is>
          <t>Inasistencias</t>
        </is>
      </c>
      <c r="D69" s="1" t="inlineStr">
        <is>
          <t>Inscritos</t>
        </is>
      </c>
      <c r="E69" s="1" t="inlineStr">
        <is>
          <t>Asistencia</t>
        </is>
      </c>
      <c r="F69" s="1" t="inlineStr">
        <is>
          <t>CM → inscripción</t>
        </is>
      </c>
    </row>
    <row r="70">
      <c r="A70" s="2" t="inlineStr">
        <is>
          <t>Kids, Junior y Parenthood</t>
        </is>
      </c>
      <c r="B70" s="3">
        <v>19</v>
      </c>
      <c r="C70" s="3">
        <v>4</v>
      </c>
      <c r="D70" s="3">
        <v>10</v>
      </c>
      <c r="E70" s="5">
        <f>(B70-C70)/B70</f>
        <v>0.7894736842105263</v>
      </c>
      <c r="F70" s="5">
        <f>D70/B70</f>
        <v>0.5263157894736842</v>
      </c>
    </row>
    <row r="71">
      <c r="A71" s="2" t="inlineStr">
        <is>
          <t>College (adultos)</t>
        </is>
      </c>
      <c r="B71" s="3">
        <v>20</v>
      </c>
      <c r="C71" s="3">
        <v>9</v>
      </c>
      <c r="D71" s="3">
        <v>5</v>
      </c>
      <c r="E71" s="5">
        <f>(B71-C71)/B71</f>
        <v>0.55</v>
      </c>
      <c r="F71" s="5">
        <f>D71/B71</f>
        <v>0.25</v>
      </c>
    </row>
    <row r="73">
      <c r="A73" s="9" t="inlineStr">
        <is>
          <t>H. Por horario de la CM (octubre)</t>
        </is>
      </c>
    </row>
    <row r="74">
      <c r="A74" s="1" t="inlineStr">
        <is>
          <t>Horario</t>
        </is>
      </c>
      <c r="B74" s="1" t="inlineStr">
        <is>
          <t>CM vencidas</t>
        </is>
      </c>
      <c r="C74" s="1" t="inlineStr">
        <is>
          <t>Inasistencias</t>
        </is>
      </c>
      <c r="D74" s="1" t="inlineStr">
        <is>
          <t>Inscritos</t>
        </is>
      </c>
      <c r="E74" s="1" t="inlineStr">
        <is>
          <t>Inasistencia %</t>
        </is>
      </c>
    </row>
    <row r="75">
      <c r="A75" s="2" t="inlineStr">
        <is>
          <t>L-V mañana (antes de 14 h)</t>
        </is>
      </c>
      <c r="B75" s="3">
        <v>8</v>
      </c>
      <c r="C75" s="3">
        <v>2</v>
      </c>
      <c r="D75" s="3">
        <v>3</v>
      </c>
      <c r="E75" s="5">
        <f>IF(B75=0,"",C75/B75)</f>
        <v>0.25</v>
      </c>
    </row>
    <row r="76">
      <c r="A76" s="2" t="inlineStr">
        <is>
          <t>L-V tarde (14 a 18 h)</t>
        </is>
      </c>
      <c r="B76" s="3">
        <v>20</v>
      </c>
      <c r="C76" s="3">
        <v>6</v>
      </c>
      <c r="D76" s="3">
        <v>9</v>
      </c>
      <c r="E76" s="5">
        <f>IF(B76=0,"",C76/B76)</f>
        <v>0.3</v>
      </c>
    </row>
    <row r="77">
      <c r="A77" s="2" t="inlineStr">
        <is>
          <t>L-V noche (18 h o más)</t>
        </is>
      </c>
      <c r="B77" s="3">
        <v>10</v>
      </c>
      <c r="C77" s="3">
        <v>5</v>
      </c>
      <c r="D77" s="3">
        <v>2</v>
      </c>
      <c r="E77" s="5">
        <f>IF(B77=0,"",C77/B77)</f>
        <v>0.5</v>
      </c>
    </row>
    <row r="78">
      <c r="A78" s="2" t="inlineStr">
        <is>
          <t>Sábado</t>
        </is>
      </c>
      <c r="B78" s="3">
        <v>1</v>
      </c>
      <c r="C78" s="3">
        <v>0</v>
      </c>
      <c r="D78" s="3">
        <v>1</v>
      </c>
      <c r="E78" s="5">
        <f>IF(B78=0,"",C78/B78)</f>
        <v>0.0</v>
      </c>
    </row>
    <row r="80">
      <c r="A80" s="9" t="inlineStr">
        <is>
          <t>I. Motivos de no inscripción (asistieron sin inscribirse)</t>
        </is>
      </c>
    </row>
    <row r="81">
      <c r="A81" s="1" t="inlineStr">
        <is>
          <t>Motivo</t>
        </is>
      </c>
      <c r="B81" s="1" t="inlineStr">
        <is>
          <t>Octubre</t>
        </is>
      </c>
      <c r="C81" s="1" t="inlineStr">
        <is>
          <t>Septiembre (mes)</t>
        </is>
      </c>
    </row>
    <row r="82">
      <c r="A82" s="2" t="inlineStr">
        <is>
          <t>Horarios</t>
        </is>
      </c>
      <c r="B82" s="3">
        <v>4</v>
      </c>
      <c r="C82" s="3">
        <v>6</v>
      </c>
    </row>
    <row r="83">
      <c r="A83" s="2" t="inlineStr">
        <is>
          <t>Sin respuesta</t>
        </is>
      </c>
      <c r="B83" s="3">
        <v>2</v>
      </c>
      <c r="C83" s="3">
        <v>9</v>
      </c>
    </row>
    <row r="84">
      <c r="A84" s="2" t="inlineStr">
        <is>
          <t>Pendiente de decisión</t>
        </is>
      </c>
      <c r="B84" s="3">
        <v>2</v>
      </c>
      <c r="C84" s="3">
        <v>4</v>
      </c>
    </row>
    <row r="85">
      <c r="A85" s="2" t="inlineStr">
        <is>
          <t>Inscripción pospuesta</t>
        </is>
      </c>
      <c r="B85" s="3">
        <v>2</v>
      </c>
      <c r="C85" s="3">
        <v>0</v>
      </c>
    </row>
    <row r="86">
      <c r="A86" s="2" t="inlineStr">
        <is>
          <t>Ubicación</t>
        </is>
      </c>
      <c r="B86" s="3">
        <v>0</v>
      </c>
      <c r="C86" s="3">
        <v>6</v>
      </c>
    </row>
    <row r="87">
      <c r="A87" s="2" t="inlineStr">
        <is>
          <t>Precio</t>
        </is>
      </c>
      <c r="B87" s="3">
        <v>0</v>
      </c>
      <c r="C87" s="3">
        <v>3</v>
      </c>
    </row>
    <row r="88">
      <c r="A88" s="2" t="inlineStr">
        <is>
          <t>Motivos personales</t>
        </is>
      </c>
      <c r="B88" s="3">
        <v>0</v>
      </c>
      <c r="C88" s="3">
        <v>2</v>
      </c>
    </row>
    <row r="89">
      <c r="A89" s="2" t="inlineStr">
        <is>
          <t>Sin motivo registrado</t>
        </is>
      </c>
      <c r="B89" s="3">
        <v>1</v>
      </c>
      <c r="C89" s="3">
        <v>0</v>
      </c>
    </row>
    <row r="91">
      <c r="A91" s="9" t="inlineStr">
        <is>
          <t>J. Gasto por anuncio (4 al 23-oct)</t>
        </is>
      </c>
    </row>
    <row r="92">
      <c r="A92" s="1" t="inlineStr">
        <is>
          <t>Anuncio</t>
        </is>
      </c>
      <c r="B92" s="1" t="inlineStr">
        <is>
          <t>Gasto</t>
        </is>
      </c>
      <c r="C92" s="1" t="inlineStr">
        <is>
          <t>Conversaciones</t>
        </is>
      </c>
      <c r="D92" s="1" t="inlineStr">
        <is>
          <t>Costo por conversación</t>
        </is>
      </c>
      <c r="E92" s="1" t="inlineStr">
        <is>
          <t>% del gasto</t>
        </is>
      </c>
    </row>
    <row r="93">
      <c r="A93" s="2" t="inlineStr">
        <is>
          <t>Eres de Pachuca</t>
        </is>
      </c>
      <c r="B93" s="6">
        <v>2944.19</v>
      </c>
      <c r="C93" s="3">
        <v>348</v>
      </c>
      <c r="D93" s="6">
        <f>IF(C93=0,"Sin resultados",B93/C93)</f>
        <v>8.460316091954024</v>
      </c>
      <c r="E93" s="5">
        <f>B93/Datos!$B$19</f>
        <v>0.8772312982125778</v>
      </c>
    </row>
    <row r="94">
      <c r="A94" s="2" t="inlineStr">
        <is>
          <t>Post octubre</t>
        </is>
      </c>
      <c r="B94" s="6">
        <v>222.78</v>
      </c>
      <c r="C94" s="3">
        <v>16</v>
      </c>
      <c r="D94" s="6">
        <f>IF(C94=0,"Sin resultados",B94/C94)</f>
        <v>13.92375</v>
      </c>
      <c r="E94" s="5">
        <f>B94/Datos!$B$19</f>
        <v>0.06637804918018134</v>
      </c>
    </row>
    <row r="95">
      <c r="A95" s="2" t="inlineStr">
        <is>
          <t>pierde el miedo</t>
        </is>
      </c>
      <c r="B95" s="6">
        <v>91.16</v>
      </c>
      <c r="C95" s="3">
        <v>3</v>
      </c>
      <c r="D95" s="6">
        <f>IF(C95=0,"Sin resultados",B95/C95)</f>
        <v>30.386666666666667</v>
      </c>
      <c r="E95" s="5">
        <f>B95/Datos!$B$19</f>
        <v>0.027161428150037394</v>
      </c>
    </row>
    <row r="96">
      <c r="A96" s="2" t="inlineStr">
        <is>
          <t>Terror</t>
        </is>
      </c>
      <c r="B96" s="6">
        <v>73.35</v>
      </c>
      <c r="C96" s="3">
        <v>2</v>
      </c>
      <c r="D96" s="6">
        <f>IF(C96=0,"Sin resultados",B96/C96)</f>
        <v>36.675</v>
      </c>
      <c r="E96" s="5">
        <f>B96/Datos!$B$19</f>
        <v>0.021854878837266813</v>
      </c>
    </row>
    <row r="97">
      <c r="A97" s="2" t="inlineStr">
        <is>
          <t>Niña Nancy</t>
        </is>
      </c>
      <c r="B97" s="6">
        <v>19.26</v>
      </c>
      <c r="C97" s="3">
        <v>0</v>
      </c>
      <c r="D97" s="6" t="str">
        <f>IF(C97=0,"Sin resultados",B97/C97)</f>
        <v>Sin resultados</v>
      </c>
      <c r="E97" s="5">
        <f>B97/Datos!$B$19</f>
        <v>0.005738581682423434</v>
      </c>
    </row>
    <row r="98">
      <c r="A98" s="2" t="inlineStr">
        <is>
          <t>porque elegir kugelman</t>
        </is>
      </c>
      <c r="B98" s="6">
        <v>5.49</v>
      </c>
      <c r="C98" s="3">
        <v>0</v>
      </c>
      <c r="D98" s="6" t="str">
        <f>IF(C98=0,"Sin resultados",B98/C98)</f>
        <v>Sin resultados</v>
      </c>
      <c r="E98" s="5">
        <f>B98/Datos!$B$19</f>
        <v>0.0016357639375132217</v>
      </c>
    </row>
    <row r="100">
      <c r="A100" s="9" t="inlineStr">
        <is>
          <t>K. Presupuesto de octubre</t>
        </is>
      </c>
    </row>
    <row r="101">
      <c r="A101" s="2" t="inlineStr">
        <is>
          <t>Gastado al 23-oct</t>
        </is>
      </c>
      <c r="B101" s="7">
        <v>3356.23</v>
      </c>
    </row>
    <row r="102">
      <c r="A102" s="2" t="inlineStr">
        <is>
          <t>Proyección 24 al 31-oct</t>
        </is>
      </c>
      <c r="B102" s="7">
        <f>Datos!$B$24*8</f>
        <v>1342.492</v>
      </c>
    </row>
    <row r="103">
      <c r="A103" s="2" t="inlineStr">
        <is>
          <t>Margen frente a $5,000</t>
        </is>
      </c>
      <c r="B103" s="7">
        <f>Datos!$B$22-B101-B102</f>
        <v>301.27800000000025</v>
      </c>
    </row>
    <row r="105">
      <c r="A105" s="9" t="inlineStr">
        <is>
          <t>L. Escenarios mensuales</t>
        </is>
      </c>
    </row>
    <row r="106">
      <c r="A106" s="1" t="inlineStr">
        <is>
          <t>Escenario</t>
        </is>
      </c>
      <c r="B106" s="1" t="inlineStr">
        <is>
          <t>Presupuesto</t>
        </is>
      </c>
      <c r="C106" s="1" t="inlineStr">
        <is>
          <t>Conversaciones</t>
        </is>
      </c>
      <c r="D106" s="1" t="inlineStr">
        <is>
          <t>CM agendadas</t>
        </is>
      </c>
      <c r="E106" s="1" t="inlineStr">
        <is>
          <t>Inscripciones</t>
        </is>
      </c>
      <c r="F106" s="1" t="inlineStr">
        <is>
          <t>Costo por inscripción</t>
        </is>
      </c>
      <c r="G106" s="1" t="inlineStr">
        <is>
          <t>Supuestos</t>
        </is>
      </c>
    </row>
    <row r="107">
      <c r="A107" s="2" t="inlineStr">
        <is>
          <t>A. $5,000 con el proceso actual</t>
        </is>
      </c>
      <c r="B107" s="7">
        <v>5000</v>
      </c>
      <c r="C107" s="3">
        <v>550</v>
      </c>
      <c r="D107" s="4">
        <v>58.6</v>
      </c>
      <c r="E107" s="4">
        <v>22.5</v>
      </c>
      <c r="F107" s="7">
        <f>B107/E107</f>
        <v>221.98222982456141</v>
      </c>
      <c r="G107" s="12" t="inlineStr">
        <is>
          <t>Tasas reales de octubre al 23-oct.</t>
        </is>
      </c>
    </row>
    <row r="108">
      <c r="A108" s="2" t="inlineStr">
        <is>
          <t>B. $5,000 con las tasas de la campaña de septiembre</t>
        </is>
      </c>
      <c r="B108" s="7">
        <v>5000</v>
      </c>
      <c r="C108" s="3">
        <v>550</v>
      </c>
      <c r="D108" s="4">
        <v>88.5</v>
      </c>
      <c r="E108" s="4">
        <v>31.1</v>
      </c>
      <c r="F108" s="7">
        <f>B108/E108</f>
        <v>160.54555960947351</v>
      </c>
      <c r="G108" s="12" t="inlineStr">
        <is>
          <t>Costo por conversación de octubre; agendamiento, asistencia y cierre de la campaña de septiembre.</t>
        </is>
      </c>
    </row>
    <row r="109">
      <c r="A109" s="2" t="inlineStr">
        <is>
          <t>C. $5,000 con las metas propuestas</t>
        </is>
      </c>
      <c r="B109" s="7">
        <v>5000</v>
      </c>
      <c r="C109" s="3">
        <v>550</v>
      </c>
      <c r="D109" s="4">
        <v>88.0</v>
      </c>
      <c r="E109" s="4">
        <v>36.3</v>
      </c>
      <c r="F109" s="7">
        <f>B109/E109</f>
        <v>137.81021598094767</v>
      </c>
      <c r="G109" s="12" t="inlineStr">
        <is>
          <t>Recuperar el agendamiento de septiembre (16%), asistencia de 75% con confirmación registrada y cierre de 55%.</t>
        </is>
      </c>
    </row>
    <row r="110">
      <c r="A110" s="2" t="inlineStr">
        <is>
          <t>D. $7,000 con el proceso actual</t>
        </is>
      </c>
      <c r="B110" s="7">
        <v>7000</v>
      </c>
      <c r="C110" s="3">
        <v>770</v>
      </c>
      <c r="D110" s="4">
        <v>82.0</v>
      </c>
      <c r="E110" s="4">
        <v>31.5</v>
      </c>
      <c r="F110" s="7">
        <f>B110/E110</f>
        <v>221.98222982456141</v>
      </c>
      <c r="G110" s="12" t="inlineStr">
        <is>
          <t>Más pauta sin cambiar el proceso. Riesgo: en septiembre, a más volumen semanal, menor tasa de agendamiento; el costo por conversación podría subir.</t>
        </is>
      </c>
    </row>
    <row r="112">
      <c r="A112" s="9" t="inlineStr">
        <is>
          <t>M. Propuesta de pauta noviembre</t>
        </is>
      </c>
    </row>
    <row r="113">
      <c r="A113" s="2" t="inlineStr">
        <is>
          <t>Conjunto "Familias" (Kids, Junior, Parenthood)</t>
        </is>
      </c>
      <c r="B113" s="7">
        <v>2500</v>
      </c>
      <c r="G113" s="11" t="inlineStr">
        <is>
          <t>Mejor cierre (53% en octubre) y sin bajas tempranas. Mensaje: sábados y grupos con cupo.</t>
        </is>
      </c>
    </row>
    <row r="114">
      <c r="A114" s="2" t="inlineStr">
        <is>
          <t>Conjunto "Adultos - mañana"</t>
        </is>
      </c>
      <c r="B114" s="7">
        <v>2000</v>
      </c>
      <c r="G114" s="11" t="inlineStr">
        <is>
          <t>Llena la franja con más lugares libres (42% de ocupación). Ya hay 4 adultos agendados entre semana en la mañana.</t>
        </is>
      </c>
    </row>
    <row r="115">
      <c r="A115" s="2" t="inlineStr">
        <is>
          <t>Pruebas de creativos nuevos</t>
        </is>
      </c>
      <c r="B115" s="7">
        <v>500</v>
      </c>
      <c r="G115" s="11" t="inlineStr">
        <is>
          <t>Máximo 10%. Se pausa un anuncio si después de $150 cuesta el doble por conversación que el principal.</t>
        </is>
      </c>
    </row>
    <row r="116">
      <c r="A116" s="13" t="inlineStr">
        <is>
          <t>Total</t>
        </is>
      </c>
      <c r="B116" s="14">
        <f>SUM(B113:B115)</f>
        <v>5000</v>
      </c>
    </row>
    <row r="118">
      <c r="A118" s="9" t="inlineStr">
        <is>
          <t>N. Retención (registro de deserción, 1 al 16-oct)</t>
        </is>
      </c>
    </row>
    <row r="119">
      <c r="A119" s="2" t="inlineStr">
        <is>
          <t>Bajas</t>
        </is>
      </c>
      <c r="B119" s="3">
        <v>9</v>
      </c>
      <c r="G119" s="11" t="inlineStr">
        <is>
          <t>Sin actualización desde el 16-oct</t>
        </is>
      </c>
    </row>
    <row r="120">
      <c r="A120" s="2" t="inlineStr">
        <is>
          <t>Bajas con menos de 30 días inscritos</t>
        </is>
      </c>
      <c r="B120" s="3">
        <v>4</v>
      </c>
    </row>
    <row r="121">
      <c r="A121" s="2" t="inlineStr">
        <is>
          <t>Mensualidad que sale por bajas</t>
        </is>
      </c>
      <c r="B121" s="7">
        <v>6250</v>
      </c>
    </row>
    <row r="122">
      <c r="A122" s="2" t="inlineStr">
        <is>
          <t>Mensualidad que entra por altas (1 al 15-oct, base)</t>
        </is>
      </c>
      <c r="B122" s="7">
        <v>10900.0</v>
      </c>
    </row>
    <row r="123">
      <c r="A123" s="2" t="inlineStr">
        <is>
          <t>Saldo neto mensual</t>
        </is>
      </c>
      <c r="B123" s="7">
        <f>Datos!$B$122-Datos!$B$121</f>
        <v>4650.0</v>
      </c>
    </row>
    <row r="124">
      <c r="A124" s="2" t="inlineStr">
        <is>
          <t>Alumnos activos (base 19-oct)</t>
        </is>
      </c>
      <c r="B124" s="3">
        <v>120</v>
      </c>
    </row>
    <row r="125">
      <c r="A125" s="2" t="inlineStr">
        <is>
          <t>Lugares libres en grupos actuales</t>
        </is>
      </c>
      <c r="B125" s="3">
        <v>147</v>
      </c>
      <c r="G125" s="11" t="inlineStr">
        <is>
          <t>PDF de horarios sin fecha</t>
        </is>
      </c>
    </row>
    <row r="126">
      <c r="A126" s="2" t="inlineStr">
        <is>
          <t>Ocupación total</t>
        </is>
      </c>
      <c r="B126" s="5">
        <f>1-Datos!$B$125/276</f>
        <v>0.4673913043478261</v>
      </c>
    </row>
    <row r="127">
      <c r="A127" s="1" t="inlineStr">
        <is>
          <t>Mensualidades octubre</t>
        </is>
      </c>
      <c r="B127" s="1" t="inlineStr">
        <is>
          <t>Monto</t>
        </is>
      </c>
    </row>
    <row r="128">
      <c r="A128" s="2" t="inlineStr">
        <is>
          <t>Altas</t>
        </is>
      </c>
      <c r="B128" s="7">
        <f>Datos!$B$122</f>
        <v>10900.0</v>
      </c>
    </row>
    <row r="129">
      <c r="A129" s="2" t="inlineStr">
        <is>
          <t>Bajas</t>
        </is>
      </c>
      <c r="B129" s="7">
        <f>Datos!$B$121</f>
        <v>6250</v>
      </c>
    </row>
    <row r="130">
      <c r="A130" s="2" t="inlineStr">
        <is>
          <t>Saldo neto</t>
        </is>
      </c>
      <c r="B130" s="7">
        <f>Datos!$B$123</f>
        <v>4650.0</v>
      </c>
    </row>
    <row r="131">
      <c r="A131" s="1" t="inlineStr">
        <is>
          <t>Motivo de baja</t>
        </is>
      </c>
      <c r="B131" s="1" t="inlineStr">
        <is>
          <t>Bajas</t>
        </is>
      </c>
    </row>
    <row r="132">
      <c r="A132" s="2" t="inlineStr">
        <is>
          <t>Temas personales o familiares</t>
        </is>
      </c>
      <c r="B132" s="3">
        <v>3</v>
      </c>
    </row>
    <row r="133">
      <c r="A133" s="2" t="inlineStr">
        <is>
          <t>Falta de tiempo</t>
        </is>
      </c>
      <c r="B133" s="3">
        <v>2</v>
      </c>
    </row>
    <row r="134">
      <c r="A134" s="2" t="inlineStr">
        <is>
          <t>Problemas de transporte/distancia</t>
        </is>
      </c>
      <c r="B134" s="3">
        <v>1</v>
      </c>
    </row>
    <row r="135">
      <c r="A135" s="2" t="inlineStr">
        <is>
          <t>Preferí otra escuela</t>
        </is>
      </c>
      <c r="B135" s="3">
        <v>1</v>
      </c>
    </row>
    <row r="136">
      <c r="A136" s="2" t="inlineStr">
        <is>
          <t>Económicos</t>
        </is>
      </c>
      <c r="B136" s="3">
        <v>1</v>
      </c>
    </row>
    <row r="137">
      <c r="A137" s="2" t="inlineStr">
        <is>
          <t>Horarios</t>
        </is>
      </c>
      <c r="B137" s="3">
        <v>1</v>
      </c>
    </row>
    <row r="138">
      <c r="A138" s="1" t="inlineStr">
        <is>
          <t>Franja</t>
        </is>
      </c>
      <c r="B138" s="1" t="inlineStr">
        <is>
          <t>Ocupación</t>
        </is>
      </c>
    </row>
    <row r="139">
      <c r="A139" s="2" t="inlineStr">
        <is>
          <t>Mañana (8-12:50)</t>
        </is>
      </c>
      <c r="B139" s="5">
        <v>0.417</v>
      </c>
    </row>
    <row r="140">
      <c r="A140" s="2" t="inlineStr">
        <is>
          <t>15 h</t>
        </is>
      </c>
      <c r="B140" s="5">
        <v>0.208</v>
      </c>
    </row>
    <row r="141">
      <c r="A141" s="2" t="inlineStr">
        <is>
          <t>Tarde 16-18:50</t>
        </is>
      </c>
      <c r="B141" s="5">
        <v>0.656</v>
      </c>
    </row>
    <row r="142">
      <c r="A142" s="2" t="inlineStr">
        <is>
          <t>Noche 19-20:50</t>
        </is>
      </c>
      <c r="B142" s="5">
        <v>0.306</v>
      </c>
    </row>
    <row r="143">
      <c r="A143" s="2" t="inlineStr">
        <is>
          <t>Kids y Junior de la tarde</t>
        </is>
      </c>
      <c r="B143" s="5">
        <v>0.9</v>
      </c>
    </row>
    <row r="145">
      <c r="A145" s="9" t="inlineStr">
        <is>
          <t>O. Citas por día</t>
        </is>
      </c>
    </row>
    <row r="146">
      <c r="A146" s="2" t="inlineStr">
        <is>
          <t>Vie 23/10</t>
        </is>
      </c>
      <c r="B146" s="3">
        <v>1</v>
      </c>
    </row>
    <row r="147">
      <c r="A147" s="2" t="inlineStr">
        <is>
          <t>Sáb 24/10</t>
        </is>
      </c>
      <c r="B147" s="3">
        <v>6</v>
      </c>
    </row>
    <row r="148">
      <c r="A148" s="2" t="inlineStr">
        <is>
          <t>Lun 26/10</t>
        </is>
      </c>
      <c r="B148" s="3">
        <v>5</v>
      </c>
    </row>
    <row r="149">
      <c r="A149" s="2" t="inlineStr">
        <is>
          <t>Mar 27/10</t>
        </is>
      </c>
      <c r="B149" s="3">
        <v>5</v>
      </c>
    </row>
    <row r="150">
      <c r="A150" s="2" t="inlineStr">
        <is>
          <t>Jue 29/10</t>
        </is>
      </c>
      <c r="B150" s="3">
        <v>1</v>
      </c>
    </row>
    <row r="151">
      <c r="A151" s="2" t="inlineStr">
        <is>
          <t>Sáb 07/11</t>
        </is>
      </c>
      <c r="B151" s="3">
        <v>2</v>
      </c>
    </row>
  </sheetData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Kugelman Academy</dc:title>
  <dc:creator>Marketing y Comercial - Kugelman Academy</dc:creator>
  <dcterms:created xsi:type="dcterms:W3CDTF">2026-10-19T18:00:00Z</dcterms:created>
  <dcterms:modified xsi:type="dcterms:W3CDTF">2026-10-19T18:00:00Z</dcterms:modified>
</cp:coreProperties>
</file>