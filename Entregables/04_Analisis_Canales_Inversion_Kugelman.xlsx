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Resumen" sheetId="1" r:id="rId1"/>
    <sheet name="Anuncios" sheetId="2" r:id="rId2"/>
    <sheet name="Periodos" sheetId="3" r:id="rId3"/>
    <sheet name="Canales" sheetId="4" r:id="rId4"/>
    <sheet name="Economia" sheetId="5" r:id="rId5"/>
    <sheet name="Escenarios" sheetId="6" r:id="rId6"/>
    <sheet name="Revisar con Finanzas" sheetId="7" r:id="rId7"/>
  </sheet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&quot;$&quot;#,##0.00"/>
    <numFmt numFmtId="167" formatCode="&quot;$&quot;#,##0"/>
    <numFmt numFmtId="168" formatCode="dd/mm/yyyy"/>
  </numFmts>
  <fonts count="11">
    <font>
      <sz val="10"/>
      <color rgb="FF262626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2"/>
      <color rgb="FF2E75B6"/>
      <name val="Calibri"/>
      <family val="2"/>
    </font>
    <font>
      <b/>
      <sz val="10"/>
      <color rgb="FFFFFFFF"/>
      <name val="Calibri"/>
      <family val="2"/>
    </font>
    <font>
      <b/>
      <sz val="10"/>
      <color rgb="FF262626"/>
      <name val="Calibri"/>
      <family val="2"/>
    </font>
    <font>
      <sz val="9"/>
      <color rgb="FF595959"/>
      <name val="Calibri"/>
      <family val="2"/>
    </font>
    <font>
      <b/>
      <sz val="9"/>
      <color rgb="FF262626"/>
      <name val="Calibri"/>
      <family val="2"/>
    </font>
    <font>
      <b/>
      <i/>
      <sz val="10"/>
      <color rgb="FF1F3864"/>
      <name val="Calibri"/>
      <family val="2"/>
    </font>
    <font>
      <i/>
      <sz val="10"/>
      <color rgb="FF7F7F7F"/>
      <name val="Calibri"/>
      <family val="2"/>
    </font>
    <font>
      <b/>
      <sz val="10"/>
      <color rgb="FF1F386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F7F7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166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5" fillId="3" borderId="1" xfId="0" applyFont="1" applyFill="1" applyBorder="1" applyAlignment="1">
      <alignment vertical="center"/>
    </xf>
    <xf numFmtId="167" fontId="5" fillId="5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Septiembre: costo por conversación por anuncio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Costo por conversación</c:v>
          </c:tx>
          <c:spPr>
            <a:solidFill>
              <a:srgbClr val="2E75B6"/>
            </a:solidFill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Anuncios!$B$5:$B$12</c:f>
              <c:strCache>
                <c:ptCount val="8"/>
                <c:pt idx="0">
                  <c:v>video villas</c:v>
                </c:pt>
                <c:pt idx="1">
                  <c:v>video sin libros</c:v>
                </c:pt>
                <c:pt idx="2">
                  <c:v>video clases</c:v>
                </c:pt>
                <c:pt idx="3">
                  <c:v>post grupos</c:v>
                </c:pt>
                <c:pt idx="4">
                  <c:v>video testimoniales</c:v>
                </c:pt>
                <c:pt idx="5">
                  <c:v>carrete</c:v>
                </c:pt>
                <c:pt idx="6">
                  <c:v>post clase</c:v>
                </c:pt>
                <c:pt idx="7">
                  <c:v>video switch</c:v>
                </c:pt>
              </c:strCache>
            </c:strRef>
          </c:cat>
          <c:val>
            <c:numRef>
              <c:f>Anuncios!$J$5:$J$12</c:f>
              <c:numCache>
                <c:formatCode>"$"#,##0.00</c:formatCode>
                <c:ptCount val="8"/>
                <c:pt idx="0">
                  <c:v>9.98</c:v>
                </c:pt>
                <c:pt idx="1">
                  <c:v>19.09</c:v>
                </c:pt>
                <c:pt idx="2">
                  <c:v>59.65</c:v>
                </c:pt>
                <c:pt idx="3">
                  <c:v>36.61</c:v>
                </c:pt>
                <c:pt idx="4">
                  <c:v>28.09</c:v>
                </c:pt>
                <c:pt idx="5">
                  <c:v>44.99</c:v>
                </c:pt>
                <c:pt idx="6">
                  <c:v>29.13</c:v>
                </c:pt>
                <c:pt idx="7">
                  <c:v>15.19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&quot;$&quot;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Octubre: % del gasto y % de conversaciones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% del gasto</c:v>
          </c:tx>
          <c:spPr>
            <a:solidFill>
              <a:srgbClr val="1F3864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Anuncios!$B$15:$B$20</c:f>
              <c:strCache>
                <c:ptCount val="6"/>
                <c:pt idx="0">
                  <c:v>Eres de Pachuca</c:v>
                </c:pt>
                <c:pt idx="1">
                  <c:v>Post octubre</c:v>
                </c:pt>
                <c:pt idx="2">
                  <c:v>pierde el miedo</c:v>
                </c:pt>
                <c:pt idx="3">
                  <c:v>Terror</c:v>
                </c:pt>
                <c:pt idx="4">
                  <c:v>Niña Nancy</c:v>
                </c:pt>
                <c:pt idx="5">
                  <c:v>porque elegir kugelman</c:v>
                </c:pt>
              </c:strCache>
            </c:strRef>
          </c:cat>
          <c:val>
            <c:numRef>
              <c:f>Anuncios!$H$15:$H$20</c:f>
              <c:numCache>
                <c:formatCode>0%</c:formatCode>
                <c:ptCount val="6"/>
                <c:pt idx="0">
                  <c:v>0.8393020599599835</c:v>
                </c:pt>
                <c:pt idx="1">
                  <c:v>0.08919877844291976</c:v>
                </c:pt>
                <c:pt idx="2">
                  <c:v>0.035557193658919885</c:v>
                </c:pt>
                <c:pt idx="3">
                  <c:v>0.02591758539963872</c:v>
                </c:pt>
                <c:pt idx="4">
                  <c:v>0.007800792229989715</c:v>
                </c:pt>
                <c:pt idx="5">
                  <c:v>0.00222359030854847</c:v>
                </c:pt>
              </c:numCache>
            </c:numRef>
          </c:val>
        </c:ser>
        <c:ser>
          <c:idx val="1"/>
          <c:order val="1"/>
          <c:tx>
            <c:v>% de conversaciones</c:v>
          </c:tx>
          <c:spPr>
            <a:solidFill>
              <a:srgbClr val="70AD47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Anuncios!$B$15:$B$20</c:f>
              <c:strCache>
                <c:ptCount val="6"/>
                <c:pt idx="0">
                  <c:v>Eres de Pachuca</c:v>
                </c:pt>
                <c:pt idx="1">
                  <c:v>Post octubre</c:v>
                </c:pt>
                <c:pt idx="2">
                  <c:v>pierde el miedo</c:v>
                </c:pt>
                <c:pt idx="3">
                  <c:v>Terror</c:v>
                </c:pt>
                <c:pt idx="4">
                  <c:v>Niña Nancy</c:v>
                </c:pt>
                <c:pt idx="5">
                  <c:v>porque elegir kugelman</c:v>
                </c:pt>
              </c:strCache>
            </c:strRef>
          </c:cat>
          <c:val>
            <c:numRef>
              <c:f>Anuncios!$I$15:$I$20</c:f>
              <c:numCache>
                <c:formatCode>0%</c:formatCode>
                <c:ptCount val="6"/>
                <c:pt idx="0">
                  <c:v>0.9310344827586207</c:v>
                </c:pt>
                <c:pt idx="1">
                  <c:v>0.05172413793103448</c:v>
                </c:pt>
                <c:pt idx="2">
                  <c:v>0.010344827586206896</c:v>
                </c:pt>
                <c:pt idx="3">
                  <c:v>0.006896551724137931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Alumnos activos por canal de origen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Activos</c:v>
          </c:tx>
          <c:spPr>
            <a:solidFill>
              <a:srgbClr val="2E75B6"/>
            </a:solidFill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Pt>
            <c:idx val="4"/>
            <c:invertIfNegative val="0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dPt>
          <c:dPt>
            <c:idx val="5"/>
            <c:invertIfNegative val="0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Canales!$A$6:$A$11</c:f>
              <c:strCache>
                <c:ptCount val="6"/>
                <c:pt idx="0">
                  <c:v>Facebook</c:v>
                </c:pt>
                <c:pt idx="1">
                  <c:v>Recomendación</c:v>
                </c:pt>
                <c:pt idx="2">
                  <c:v>Tránsito (pasó por la academia)</c:v>
                </c:pt>
                <c:pt idx="3">
                  <c:v>Escuelas, activaciones y aliados</c:v>
                </c:pt>
                <c:pt idx="4">
                  <c:v>Instagram</c:v>
                </c:pt>
                <c:pt idx="5">
                  <c:v>Sin dato</c:v>
                </c:pt>
              </c:strCache>
            </c:strRef>
          </c:cat>
          <c:val>
            <c:numRef>
              <c:f>Canales!$C$6:$C$11</c:f>
              <c:numCache>
                <c:formatCode>#,##0</c:formatCode>
                <c:ptCount val="6"/>
                <c:pt idx="0">
                  <c:v>65</c:v>
                </c:pt>
                <c:pt idx="1">
                  <c:v>27</c:v>
                </c:pt>
                <c:pt idx="2">
                  <c:v>16</c:v>
                </c:pt>
                <c:pt idx="3">
                  <c:v>10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Inscripciones por mes según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Inscripciones por mes</c:v>
          </c:tx>
          <c:spPr>
            <a:solidFill>
              <a:srgbClr val="2E75B6"/>
            </a:solidFill>
          </c:spPr>
          <c:invertIfNegative val="0"/>
          <c:dPt>
            <c:idx val="0"/>
            <c:invertIfNegative val="0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invertIfNegative val="0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invertIfNegative val="0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Escenarios!$A$5:$A$8</c:f>
              <c:strCache>
                <c:ptCount val="4"/>
                <c:pt idx="0">
                  <c:v>A. Ritmo actual de octubre</c:v>
                </c:pt>
                <c:pt idx="1">
                  <c:v>B. Campaña de septiembre</c:v>
                </c:pt>
                <c:pt idx="2">
                  <c:v>C. Pauta de octubre + agendamiento de septiembre</c:v>
                </c:pt>
                <c:pt idx="3">
                  <c:v>D. Metas propuestas</c:v>
                </c:pt>
              </c:strCache>
            </c:strRef>
          </c:cat>
          <c:val>
            <c:numRef>
              <c:f>Escenarios!$L$5:$L$8</c:f>
              <c:numCache>
                <c:formatCode>0</c:formatCode>
                <c:ptCount val="4"/>
                <c:pt idx="0">
                  <c:v>21.6</c:v>
                </c:pt>
                <c:pt idx="1">
                  <c:v>20.9</c:v>
                </c:pt>
                <c:pt idx="2">
                  <c:v>34.4</c:v>
                </c:pt>
                <c:pt idx="3">
                  <c:v>37.1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5</xdr:col>
      <xdr:colOff>0</xdr:colOff>
      <xdr:row>41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C25"/>
  <sheetViews>
    <sheetView workbookViewId="0" zoomScale="100" showGridLines="0" tabSelected="1"/>
  </sheetViews>
  <sheetFormatPr defaultRowHeight="15"/>
  <cols>
    <col min="1" max="1" width="2" customWidth="1"/>
    <col min="2" max="2" width="34" customWidth="1"/>
    <col min="3" max="3" width="90" customWidth="1"/>
  </cols>
  <sheetData>
    <row r="1">
      <c r="B1" s="1" t="inlineStr">
        <is>
          <t>Análisis de canales y propuesta de inversión publicitaria</t>
        </is>
      </c>
    </row>
    <row r="2">
      <c r="B2" s="2" t="inlineStr">
        <is>
          <t>Kugelman Academy · corte 19-oct-2026 · mismas cifras que el Reporte ejecutivo y el Tablero</t>
        </is>
      </c>
    </row>
    <row r="4">
      <c r="B4" s="3" t="inlineStr">
        <is>
          <t>Lo que dicen los datos</t>
        </is>
      </c>
    </row>
    <row r="5" ht="44" customHeight="1">
      <c r="B5" s="6" t="inlineStr">
        <is>
          <t>La pauta funciona y se abarató</t>
        </is>
      </c>
      <c r="C5" s="5" t="inlineStr">
        <is>
          <t>Octubre: $2,468.98 en 15 días, 290 conversaciones a $8.51 cada una. Septiembre: $6,999.91 en 45 días, 565 conversaciones a $12.39. Mismo gasto diario (~$156-165), 54% más conversaciones por día.</t>
        </is>
      </c>
    </row>
    <row r="6" ht="44" customHeight="1">
      <c r="B6" s="6" t="inlineStr">
        <is>
          <t>Más conversaciones no se volvieron más clases muestra</t>
        </is>
      </c>
      <c r="C6" s="5" t="inlineStr">
        <is>
          <t>En septiembre se agendaron 2.0 CM por día; en octubre 1.8. En la campaña de septiembre, la semana con más leads (126) tuvo la tasa de agendamiento más baja (15%) y la de menos leads (43) la más alta (33%). El cuello de botella es la atención, no la pauta.</t>
        </is>
      </c>
    </row>
    <row r="7" ht="44" customHeight="1">
      <c r="B7" s="6" t="inlineStr">
        <is>
          <t>Facebook es el canal que más inscribe</t>
        </is>
      </c>
      <c r="C7" s="5" t="inlineStr">
        <is>
          <t>Octubre: 12 de 12 inscripciones llegaron por Facebook. Base de alumnos: 65 de los 120 activos dicen Facebook.</t>
        </is>
      </c>
    </row>
    <row r="8" ht="44" customHeight="1">
      <c r="B8" s="6" t="inlineStr">
        <is>
          <t>Casi la mitad de los activos llegó sin redes sociales</t>
        </is>
      </c>
      <c r="C8" s="5" t="inlineStr">
        <is>
          <t>Recomendación (27 activos), tránsito frente a la academia (16) y escuelas, activaciones y aliados (10): 53 de 120 activos (44%). Ninguno de estos canales tiene hoy presupuesto, meta ni registro formal.</t>
        </is>
      </c>
    </row>
    <row r="9" ht="44" customHeight="1">
      <c r="B9" s="6" t="inlineStr">
        <is>
          <t>La captación es rentable si el alumno se queda</t>
        </is>
      </c>
      <c r="C9" s="5" t="inlineStr">
        <is>
          <t>El costo de adquisición atribuible de septiembre fue $304.34, menos de la mitad de una mensualidad promedio ($698). Un lugar libre en un grupo existente no agrega costo docente. El riesgo es la baja temprana: en octubre se fueron 4 alumnos con menos de 17 días.</t>
        </is>
      </c>
    </row>
    <row r="10" ht="44" customHeight="1">
      <c r="B10" s="6" t="inlineStr">
        <is>
          <t>Un solo anuncio sostiene la captación</t>
        </is>
      </c>
      <c r="C10" s="5" t="inlineStr">
        <is>
          <t>Septiembre: «video villas» = 70% del gasto y 87% de las conversaciones. Octubre: «Eres de Pachuca» = 84% del gasto y 93% de las conversaciones. Ambos usan un mensaje de cercanía (Villas de Pachuca / Pachuca).</t>
        </is>
      </c>
    </row>
    <row r="12">
      <c r="B12" s="3" t="inlineStr">
        <is>
          <t>Propuesta de inversión (para validar con Finanzas)</t>
        </is>
      </c>
    </row>
    <row r="13" ht="58" customHeight="1">
      <c r="B13" s="6" t="inlineStr">
        <is>
          <t>1. Mantener el gasto diario, no subirlo todavía</t>
        </is>
      </c>
      <c r="C13" s="5" t="inlineStr">
        <is>
          <t>Sostener el ritmo observado (~$155-165 al día, equivalente a ~$4,700-5,000 por mes) mientras el agendamiento no llegue a 19% durante dos semanas seguidas. Fundamento: con el mismo gasto, recuperar el agendamiento de septiembre pasa de ~22 a ~34 inscripciones al mes (hoja Escenarios). Subir el gasto antes compraría conversaciones que el equipo hoy no convierte.</t>
        </is>
      </c>
    </row>
    <row r="14" ht="58" customHeight="1">
      <c r="B14" s="6" t="inlineStr">
        <is>
          <t>2. No reducirlo</t>
        </is>
      </c>
      <c r="C14" s="5" t="inlineStr">
        <is>
          <t>Con un costo por inscripción de $206-304 frente a una mensualidad promedio de $698, cada alta que ocupa un lugar libre recupera la pauta en su primer mes. Reducir la pauta reduce altas rentables.</t>
        </is>
      </c>
    </row>
    <row r="15" ht="58" customHeight="1">
      <c r="B15" s="6" t="inlineStr">
        <is>
          <t>3. Regla de prueba para anuncios nuevos</t>
        </is>
      </c>
      <c r="C15" s="5" t="inlineStr">
        <is>
          <t>Máximo 10% del gasto en pruebas. Pausar un anuncio si después de $150 su costo por conversación duplica al del anuncio principal. En septiembre, 19.3% del gasto fue a anuncios que costaron 3.9 veces más por conversación.</t>
        </is>
      </c>
    </row>
    <row r="16" ht="58" customHeight="1">
      <c r="B16" s="6" t="inlineStr">
        <is>
          <t>4. Separar familias y adultos en dos conjuntos de anuncios</t>
        </is>
      </c>
      <c r="C16" s="5" t="inlineStr">
        <is>
          <t>Para controlar el reparto y medir por segmento. Familias (Kids/Junior) cierran mejor y se quedan más; sus grupos de 16 a 19 h están ~90% llenos, por lo que el mensaje debe ofrecer sábados y grupos con cupo. Adultos: ofrecer mañanas (~42% de ocupación).</t>
        </is>
      </c>
    </row>
    <row r="17" ht="58" customHeight="1">
      <c r="B17" s="6" t="inlineStr">
        <is>
          <t>5. Diversificar el creativo principal</t>
        </is>
      </c>
      <c r="C17" s="5" t="inlineStr">
        <is>
          <t>Pedir a Publicidad-Diseño dos variantes del concepto de cercanía y una de método ("sin libros", segundo mejor en septiembre a $19.09 por conversación).</t>
        </is>
      </c>
    </row>
    <row r="18" ht="58" customHeight="1">
      <c r="B18" s="6" t="inlineStr">
        <is>
          <t>6. Asignar recursos a canales sin pauta</t>
        </is>
      </c>
      <c r="C18" s="5" t="inlineStr">
        <is>
          <t>Recomendación, escuelas y tránsito ya producen 44% de los activos. Su costo (incentivo de recomendación, costo docente de talleres, impresos) debe aprobarse por separado (Entregable 5).</t>
        </is>
      </c>
    </row>
    <row r="20">
      <c r="B20" s="3" t="inlineStr">
        <is>
          <t>Lo que falta para calcular la rentabilidad real</t>
        </is>
      </c>
    </row>
    <row r="21" ht="32" customHeight="1">
      <c r="B21" s="6" t="inlineStr">
        <is>
          <t>Costos fijos mensuales</t>
        </is>
      </c>
      <c r="C21" s="5" t="inlineStr">
        <is>
          <t>Renta, servicios, administración y nómina no docente (Finanzas). Sin ellos solo se puede calcular el margen sobre costo docente.</t>
        </is>
      </c>
    </row>
    <row r="22" ht="32" customHeight="1">
      <c r="B22" s="6" t="inlineStr">
        <is>
          <t>Atribución por anuncio</t>
        </is>
      </c>
      <c r="C22" s="5" t="inlineStr">
        <is>
          <t>Registrar en cada prospecto el anuncio de origen (columna "Anuncio / referidor / lugar" del sistema). En septiembre se logró en 93% del CRM; en octubre no existe ese registro.</t>
        </is>
      </c>
    </row>
    <row r="23" ht="32" customHeight="1">
      <c r="B23" s="6" t="inlineStr">
        <is>
          <t>Permanencia promedio por segmento</t>
        </is>
      </c>
      <c r="C23" s="5" t="inlineStr">
        <is>
          <t>Cuántos meses se queda un alumno de Kids, Junior y College. Requiere fechas de baja completas (77 de 102 inactivos no tienen fecha).</t>
        </is>
      </c>
    </row>
    <row r="24" ht="32" customHeight="1">
      <c r="B24" s="6" t="inlineStr">
        <is>
          <t>Cobranza real</t>
        </is>
      </c>
      <c r="C24" s="5" t="inlineStr">
        <is>
          <t>La base registra mensualidad acordada, no lo cobrado. Hay pagos de $200 sin explicación (María José y Nancy de la O, Santiago Mercado).</t>
        </is>
      </c>
    </row>
    <row r="25" ht="32" customHeight="1">
      <c r="B25" s="6" t="inlineStr">
        <is>
          <t>Gasto con o sin IVA</t>
        </is>
      </c>
      <c r="C25" s="5" t="inlineStr">
        <is>
          <t>Confirmar si el "Monto gastado" de Meta incluye impuestos o si el cargo real a la tarjeta es mayor.</t>
        </is>
      </c>
    </row>
  </sheetData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</sheetPr>
  <dimension ref="A1:L21"/>
  <sheetViews>
    <sheetView workbookViewId="0" zoomScale="100"/>
  </sheetViews>
  <sheetFormatPr defaultRowHeight="15"/>
  <cols>
    <col min="1" max="1" width="26" customWidth="1"/>
    <col min="2" max="2" width="22" customWidth="1"/>
    <col min="3" max="3" width="13" customWidth="1"/>
    <col min="4" max="4" width="12" customWidth="1"/>
    <col min="5" max="5" width="13" customWidth="1"/>
    <col min="6" max="6" width="12" customWidth="1"/>
    <col min="7" max="7" width="11" customWidth="1"/>
    <col min="8" max="8" width="10" customWidth="1"/>
    <col min="9" max="9" width="12" customWidth="1"/>
    <col min="10" max="10" width="12" customWidth="1"/>
    <col min="11" max="11" width="10" customWidth="1"/>
    <col min="12" max="12" width="52" customWidth="1"/>
  </cols>
  <sheetData>
    <row r="1">
      <c r="A1" s="1" t="inlineStr">
        <is>
          <t>Desempeño por anuncio</t>
        </is>
      </c>
    </row>
    <row r="2">
      <c r="A2" s="2" t="inlineStr">
        <is>
          <t>Fuente: Reporte Campaña Septiembre 2026 (tabla 14) y exportación Meta Ads 5-19 oct 2026. Columnas grises = fórmulas.</t>
        </is>
      </c>
    </row>
    <row r="4">
      <c r="A4" s="4" t="inlineStr">
        <is>
          <t>Campaña</t>
        </is>
      </c>
      <c r="B4" s="4" t="inlineStr">
        <is>
          <t>Anuncio</t>
        </is>
      </c>
      <c r="C4" s="4" t="inlineStr">
        <is>
          <t>Formato</t>
        </is>
      </c>
      <c r="D4" s="4" t="inlineStr">
        <is>
          <t>Gasto</t>
        </is>
      </c>
      <c r="E4" s="4" t="inlineStr">
        <is>
          <t>Conversaciones</t>
        </is>
      </c>
      <c r="F4" s="4" t="inlineStr">
        <is>
          <t>Impresiones</t>
        </is>
      </c>
      <c r="G4" s="4" t="inlineStr">
        <is>
          <t>Alcance</t>
        </is>
      </c>
      <c r="H4" s="4" t="inlineStr">
        <is>
          <t>% del gasto</t>
        </is>
      </c>
      <c r="I4" s="4" t="inlineStr">
        <is>
          <t>% de conversaciones</t>
        </is>
      </c>
      <c r="J4" s="4" t="inlineStr">
        <is>
          <t>Costo por conversación</t>
        </is>
      </c>
      <c r="K4" s="4" t="inlineStr">
        <is>
          <t>CPM</t>
        </is>
      </c>
      <c r="L4" s="4" t="inlineStr">
        <is>
          <t>Calidad / interacción / conversión (Meta)</t>
        </is>
      </c>
    </row>
    <row r="5">
      <c r="A5" s="5" t="inlineStr">
        <is>
          <t>Campaña Septiembre 2026 (21-ago a 4-oct)</t>
        </is>
      </c>
      <c r="B5" s="6" t="inlineStr">
        <is>
          <t>video villas</t>
        </is>
      </c>
      <c r="C5" s="5" t="inlineStr">
        <is>
          <t>Video / Reel</t>
        </is>
      </c>
      <c r="D5" s="11">
        <v>4901.8</v>
      </c>
      <c r="E5" s="8">
        <v>491</v>
      </c>
      <c r="F5" s="8">
        <v>200179</v>
      </c>
      <c r="G5" s="8">
        <v>75110</v>
      </c>
      <c r="H5" s="21">
        <f>D5/D$13</f>
        <v>0.7002661462790236</v>
      </c>
      <c r="I5" s="21">
        <f>E5/E$13</f>
        <v>0.8690265486725663</v>
      </c>
      <c r="J5" s="20">
        <f>IF(E5=0,"Sin resultados",D5/E5)</f>
        <v>9.983299389002037</v>
      </c>
      <c r="K5" s="20">
        <f>IF(F5=0,"",D5/F5*1000)</f>
        <v>24.48708405976651</v>
      </c>
      <c r="L5" s="7"/>
    </row>
    <row r="6">
      <c r="A6" s="5" t="inlineStr">
        <is>
          <t>Campaña Septiembre 2026 (21-ago a 4-oct)</t>
        </is>
      </c>
      <c r="B6" s="6" t="inlineStr">
        <is>
          <t>video sin libros</t>
        </is>
      </c>
      <c r="C6" s="5" t="inlineStr">
        <is>
          <t>Video / Reel</t>
        </is>
      </c>
      <c r="D6" s="11">
        <v>744.5</v>
      </c>
      <c r="E6" s="8">
        <v>39</v>
      </c>
      <c r="F6" s="8">
        <v>15514</v>
      </c>
      <c r="G6" s="8">
        <v>7563</v>
      </c>
      <c r="H6" s="21">
        <f>D6/D$13</f>
        <v>0.10635851032370416</v>
      </c>
      <c r="I6" s="21">
        <f>E6/E$13</f>
        <v>0.06902654867256637</v>
      </c>
      <c r="J6" s="20">
        <f>IF(E6=0,"Sin resultados",D6/E6)</f>
        <v>19.08974358974359</v>
      </c>
      <c r="K6" s="20">
        <f>IF(F6=0,"",D6/F6*1000)</f>
        <v>47.98891323965451</v>
      </c>
      <c r="L6" s="7"/>
    </row>
    <row r="7">
      <c r="A7" s="5" t="inlineStr">
        <is>
          <t>Campaña Septiembre 2026 (21-ago a 4-oct)</t>
        </is>
      </c>
      <c r="B7" s="6" t="inlineStr">
        <is>
          <t>video clases</t>
        </is>
      </c>
      <c r="C7" s="5" t="inlineStr">
        <is>
          <t>Video / Reel</t>
        </is>
      </c>
      <c r="D7" s="11">
        <v>417.57</v>
      </c>
      <c r="E7" s="8">
        <v>7</v>
      </c>
      <c r="F7" s="8">
        <v>6867</v>
      </c>
      <c r="G7" s="8">
        <v>4166</v>
      </c>
      <c r="H7" s="21">
        <f>D7/D$13</f>
        <v>0.05965362411802438</v>
      </c>
      <c r="I7" s="21">
        <f>E7/E$13</f>
        <v>0.012389380530973451</v>
      </c>
      <c r="J7" s="20">
        <f>IF(E7=0,"Sin resultados",D7/E7)</f>
        <v>59.652857142857144</v>
      </c>
      <c r="K7" s="20">
        <f>IF(F7=0,"",D7/F7*1000)</f>
        <v>60.80821319353429</v>
      </c>
      <c r="L7" s="7"/>
    </row>
    <row r="8">
      <c r="A8" s="5" t="inlineStr">
        <is>
          <t>Campaña Septiembre 2026 (21-ago a 4-oct)</t>
        </is>
      </c>
      <c r="B8" s="6" t="inlineStr">
        <is>
          <t>post grupos</t>
        </is>
      </c>
      <c r="C8" s="5" t="inlineStr">
        <is>
          <t>Imagen / Post</t>
        </is>
      </c>
      <c r="D8" s="11">
        <v>402.73</v>
      </c>
      <c r="E8" s="8">
        <v>11</v>
      </c>
      <c r="F8" s="8">
        <v>10004</v>
      </c>
      <c r="G8" s="8">
        <v>5484</v>
      </c>
      <c r="H8" s="21">
        <f>D8/D$13</f>
        <v>0.05753359686053107</v>
      </c>
      <c r="I8" s="21">
        <f>E8/E$13</f>
        <v>0.019469026548672566</v>
      </c>
      <c r="J8" s="20">
        <f>IF(E8=0,"Sin resultados",D8/E8)</f>
        <v>36.61181818181819</v>
      </c>
      <c r="K8" s="20">
        <f>IF(F8=0,"",D8/F8*1000)</f>
        <v>40.25689724110356</v>
      </c>
      <c r="L8" s="7"/>
    </row>
    <row r="9">
      <c r="A9" s="5" t="inlineStr">
        <is>
          <t>Campaña Septiembre 2026 (21-ago a 4-oct)</t>
        </is>
      </c>
      <c r="B9" s="6" t="inlineStr">
        <is>
          <t>video testimoniales</t>
        </is>
      </c>
      <c r="C9" s="5" t="inlineStr">
        <is>
          <t>Video / Reel</t>
        </is>
      </c>
      <c r="D9" s="11">
        <v>309.01</v>
      </c>
      <c r="E9" s="8">
        <v>11</v>
      </c>
      <c r="F9" s="8">
        <v>6168</v>
      </c>
      <c r="G9" s="8">
        <v>3863</v>
      </c>
      <c r="H9" s="21">
        <f>D9/D$13</f>
        <v>0.044144853290970884</v>
      </c>
      <c r="I9" s="21">
        <f>E9/E$13</f>
        <v>0.019469026548672566</v>
      </c>
      <c r="J9" s="20">
        <f>IF(E9=0,"Sin resultados",D9/E9)</f>
        <v>28.09181818181818</v>
      </c>
      <c r="K9" s="20">
        <f>IF(F9=0,"",D9/F9*1000)</f>
        <v>50.098897535667966</v>
      </c>
      <c r="L9" s="7"/>
    </row>
    <row r="10">
      <c r="A10" s="5" t="inlineStr">
        <is>
          <t>Campaña Septiembre 2026 (21-ago a 4-oct)</t>
        </is>
      </c>
      <c r="B10" s="6" t="inlineStr">
        <is>
          <t>carrete</t>
        </is>
      </c>
      <c r="C10" s="5" t="inlineStr">
        <is>
          <t>Carrusel</t>
        </is>
      </c>
      <c r="D10" s="11">
        <v>179.98</v>
      </c>
      <c r="E10" s="8">
        <v>4</v>
      </c>
      <c r="F10" s="8">
        <v>1787</v>
      </c>
      <c r="G10" s="8">
        <v>1063</v>
      </c>
      <c r="H10" s="21">
        <f>D10/D$13</f>
        <v>0.025711759151189086</v>
      </c>
      <c r="I10" s="21">
        <f>E10/E$13</f>
        <v>0.007079646017699115</v>
      </c>
      <c r="J10" s="20">
        <f>IF(E10=0,"Sin resultados",D10/E10)</f>
        <v>44.995</v>
      </c>
      <c r="K10" s="20">
        <f>IF(F10=0,"",D10/F10*1000)</f>
        <v>100.71628427532177</v>
      </c>
      <c r="L10" s="7"/>
    </row>
    <row r="11">
      <c r="A11" s="5" t="inlineStr">
        <is>
          <t>Campaña Septiembre 2026 (21-ago a 4-oct)</t>
        </is>
      </c>
      <c r="B11" s="6" t="inlineStr">
        <is>
          <t>post clase</t>
        </is>
      </c>
      <c r="C11" s="5" t="inlineStr">
        <is>
          <t>Imagen / Post</t>
        </is>
      </c>
      <c r="D11" s="11">
        <v>29.13</v>
      </c>
      <c r="E11" s="8">
        <v>1</v>
      </c>
      <c r="F11" s="8">
        <v>508</v>
      </c>
      <c r="G11" s="8">
        <v>368</v>
      </c>
      <c r="H11" s="21">
        <f>D11/D$13</f>
        <v>0.004161482076198123</v>
      </c>
      <c r="I11" s="21">
        <f>E11/E$13</f>
        <v>0.0017699115044247787</v>
      </c>
      <c r="J11" s="20">
        <f>IF(E11=0,"Sin resultados",D11/E11)</f>
        <v>29.13</v>
      </c>
      <c r="K11" s="20">
        <f>IF(F11=0,"",D11/F11*1000)</f>
        <v>57.34251968503937</v>
      </c>
      <c r="L11" s="7"/>
    </row>
    <row r="12">
      <c r="A12" s="5" t="inlineStr">
        <is>
          <t>Campaña Septiembre 2026 (21-ago a 4-oct)</t>
        </is>
      </c>
      <c r="B12" s="6" t="inlineStr">
        <is>
          <t>video switch</t>
        </is>
      </c>
      <c r="C12" s="5" t="inlineStr">
        <is>
          <t>Video / Reel</t>
        </is>
      </c>
      <c r="D12" s="11">
        <v>15.19</v>
      </c>
      <c r="E12" s="8">
        <v>1</v>
      </c>
      <c r="F12" s="8">
        <v>238</v>
      </c>
      <c r="G12" s="8">
        <v>206</v>
      </c>
      <c r="H12" s="21">
        <f>D12/D$13</f>
        <v>0.0021700279003587187</v>
      </c>
      <c r="I12" s="21">
        <f>E12/E$13</f>
        <v>0.0017699115044247787</v>
      </c>
      <c r="J12" s="20">
        <f>IF(E12=0,"Sin resultados",D12/E12)</f>
        <v>15.19</v>
      </c>
      <c r="K12" s="20">
        <f>IF(F12=0,"",D12/F12*1000)</f>
        <v>63.82352941176471</v>
      </c>
      <c r="L12" s="7"/>
    </row>
    <row r="13">
      <c r="A13" s="24" t="inlineStr">
        <is>
          <t>Total</t>
        </is>
      </c>
      <c r="B13" s="24"/>
      <c r="C13" s="24"/>
      <c r="D13" s="25">
        <f>SUM(D5:D12)</f>
        <v>6999.91</v>
      </c>
      <c r="E13" s="26">
        <f>SUM(E5:E12)</f>
        <v>565</v>
      </c>
      <c r="F13" s="26">
        <f>SUM(F5:F12)</f>
        <v>241265</v>
      </c>
      <c r="G13" s="28" t="inlineStr">
        <is>
          <t>No sumable</t>
        </is>
      </c>
      <c r="H13" s="27">
        <f>SUM(H5:H12)</f>
        <v>1</v>
      </c>
      <c r="I13" s="27">
        <f>SUM(I5:I12)</f>
        <v>1</v>
      </c>
      <c r="J13" s="25">
        <f>D13/E13</f>
        <v>12.389221238938052</v>
      </c>
      <c r="K13" s="25">
        <f>D13/F13*1000</f>
        <v>29.013367044536093</v>
      </c>
      <c r="L13" s="7" t="inlineStr">
        <is>
          <t>El alcance no se suma: una persona puede ver varios anuncios.</t>
        </is>
      </c>
    </row>
    <row r="15">
      <c r="A15" s="5" t="inlineStr">
        <is>
          <t>Octubre 2026 (5 al 19-oct)</t>
        </is>
      </c>
      <c r="B15" s="6" t="inlineStr">
        <is>
          <t>Eres de Pachuca</t>
        </is>
      </c>
      <c r="C15" s="5" t="inlineStr">
        <is>
          <t>Sin dato</t>
        </is>
      </c>
      <c r="D15" s="11">
        <v>2072.22</v>
      </c>
      <c r="E15" s="8">
        <v>270</v>
      </c>
      <c r="F15" s="8">
        <v>73423</v>
      </c>
      <c r="G15" s="8">
        <v>34713</v>
      </c>
      <c r="H15" s="21">
        <f>D15/D$21</f>
        <v>0.8393020599599835</v>
      </c>
      <c r="I15" s="21">
        <f>E15/E$21</f>
        <v>0.9310344827586207</v>
      </c>
      <c r="J15" s="20">
        <f>IF(E15=0,"Sin resultados",D15/E15)</f>
        <v>7.674888888888888</v>
      </c>
      <c r="K15" s="20">
        <f>IF(F15=0,"",D15/F15*1000)</f>
        <v>28.223036378246597</v>
      </c>
      <c r="L15" s="7" t="inlineStr">
        <is>
          <t>Promedio / Por encima del promedio / Por encima del promedio</t>
        </is>
      </c>
    </row>
    <row r="16">
      <c r="A16" s="5" t="inlineStr">
        <is>
          <t>Octubre 2026 (5 al 19-oct)</t>
        </is>
      </c>
      <c r="B16" s="6" t="inlineStr">
        <is>
          <t>Post octubre</t>
        </is>
      </c>
      <c r="C16" s="5" t="inlineStr">
        <is>
          <t>Sin dato</t>
        </is>
      </c>
      <c r="D16" s="11">
        <v>220.23</v>
      </c>
      <c r="E16" s="8">
        <v>15</v>
      </c>
      <c r="F16" s="8">
        <v>7962</v>
      </c>
      <c r="G16" s="8">
        <v>5868</v>
      </c>
      <c r="H16" s="21">
        <f>D16/D$21</f>
        <v>0.08919877844291976</v>
      </c>
      <c r="I16" s="21">
        <f>E16/E$21</f>
        <v>0.05172413793103448</v>
      </c>
      <c r="J16" s="20">
        <f>IF(E16=0,"Sin resultados",D16/E16)</f>
        <v>14.681999999999999</v>
      </c>
      <c r="K16" s="20">
        <f>IF(F16=0,"",D16/F16*1000)</f>
        <v>27.660135644310472</v>
      </c>
      <c r="L16" s="7" t="inlineStr">
        <is>
          <t>- / - / -</t>
        </is>
      </c>
    </row>
    <row r="17">
      <c r="A17" s="5" t="inlineStr">
        <is>
          <t>Octubre 2026 (5 al 19-oct)</t>
        </is>
      </c>
      <c r="B17" s="6" t="inlineStr">
        <is>
          <t>pierde el miedo</t>
        </is>
      </c>
      <c r="C17" s="5" t="inlineStr">
        <is>
          <t>Sin dato</t>
        </is>
      </c>
      <c r="D17" s="11">
        <v>87.79</v>
      </c>
      <c r="E17" s="8">
        <v>3</v>
      </c>
      <c r="F17" s="8">
        <v>2150</v>
      </c>
      <c r="G17" s="8">
        <v>1412</v>
      </c>
      <c r="H17" s="21">
        <f>D17/D$21</f>
        <v>0.035557193658919885</v>
      </c>
      <c r="I17" s="21">
        <f>E17/E$21</f>
        <v>0.010344827586206896</v>
      </c>
      <c r="J17" s="20">
        <f>IF(E17=0,"Sin resultados",D17/E17)</f>
        <v>29.263333333333335</v>
      </c>
      <c r="K17" s="20">
        <f>IF(F17=0,"",D17/F17*1000)</f>
        <v>40.83255813953489</v>
      </c>
      <c r="L17" s="7" t="inlineStr">
        <is>
          <t>Por debajo del promedio - 20% de los anuncios menos relevantes / Por encima del promedio / Por encima del promedio</t>
        </is>
      </c>
    </row>
    <row r="18">
      <c r="A18" s="5" t="inlineStr">
        <is>
          <t>Octubre 2026 (5 al 19-oct)</t>
        </is>
      </c>
      <c r="B18" s="6" t="inlineStr">
        <is>
          <t>Terror</t>
        </is>
      </c>
      <c r="C18" s="5" t="inlineStr">
        <is>
          <t>Sin dato</t>
        </is>
      </c>
      <c r="D18" s="11">
        <v>63.99</v>
      </c>
      <c r="E18" s="8">
        <v>2</v>
      </c>
      <c r="F18" s="8">
        <v>1590</v>
      </c>
      <c r="G18" s="8">
        <v>939</v>
      </c>
      <c r="H18" s="21">
        <f>D18/D$21</f>
        <v>0.02591758539963872</v>
      </c>
      <c r="I18" s="21">
        <f>E18/E$21</f>
        <v>0.006896551724137931</v>
      </c>
      <c r="J18" s="20">
        <f>IF(E18=0,"Sin resultados",D18/E18)</f>
        <v>31.995</v>
      </c>
      <c r="K18" s="20">
        <f>IF(F18=0,"",D18/F18*1000)</f>
        <v>40.24528301886793</v>
      </c>
      <c r="L18" s="7" t="inlineStr">
        <is>
          <t>- / - / -</t>
        </is>
      </c>
    </row>
    <row r="19">
      <c r="A19" s="5" t="inlineStr">
        <is>
          <t>Octubre 2026 (5 al 19-oct)</t>
        </is>
      </c>
      <c r="B19" s="6" t="inlineStr">
        <is>
          <t>Niña Nancy</t>
        </is>
      </c>
      <c r="C19" s="5" t="inlineStr">
        <is>
          <t>Sin dato</t>
        </is>
      </c>
      <c r="D19" s="11">
        <v>19.26</v>
      </c>
      <c r="E19" s="8">
        <v>0</v>
      </c>
      <c r="F19" s="8">
        <v>509</v>
      </c>
      <c r="G19" s="8">
        <v>395</v>
      </c>
      <c r="H19" s="21">
        <f>D19/D$21</f>
        <v>0.007800792229989715</v>
      </c>
      <c r="I19" s="21">
        <f>E19/E$21</f>
        <v>0.0</v>
      </c>
      <c r="J19" s="20" t="str">
        <f>IF(E19=0,"Sin resultados",D19/E19)</f>
        <v>Sin resultados</v>
      </c>
      <c r="K19" s="20">
        <f>IF(F19=0,"",D19/F19*1000)</f>
        <v>37.83889980353635</v>
      </c>
      <c r="L19" s="7" t="inlineStr">
        <is>
          <t>- / - / - · inactivo</t>
        </is>
      </c>
    </row>
    <row r="20">
      <c r="A20" s="5" t="inlineStr">
        <is>
          <t>Octubre 2026 (5 al 19-oct)</t>
        </is>
      </c>
      <c r="B20" s="6" t="inlineStr">
        <is>
          <t>porque elegir kugelman</t>
        </is>
      </c>
      <c r="C20" s="5" t="inlineStr">
        <is>
          <t>Sin dato</t>
        </is>
      </c>
      <c r="D20" s="11">
        <v>5.49</v>
      </c>
      <c r="E20" s="8">
        <v>0</v>
      </c>
      <c r="F20" s="8">
        <v>109</v>
      </c>
      <c r="G20" s="8">
        <v>64</v>
      </c>
      <c r="H20" s="21">
        <f>D20/D$21</f>
        <v>0.00222359030854847</v>
      </c>
      <c r="I20" s="21">
        <f>E20/E$21</f>
        <v>0.0</v>
      </c>
      <c r="J20" s="20" t="str">
        <f>IF(E20=0,"Sin resultados",D20/E20)</f>
        <v>Sin resultados</v>
      </c>
      <c r="K20" s="20">
        <f>IF(F20=0,"",D20/F20*1000)</f>
        <v>50.36697247706422</v>
      </c>
      <c r="L20" s="7" t="inlineStr">
        <is>
          <t>- / - / - · inactivo</t>
        </is>
      </c>
    </row>
    <row r="21">
      <c r="A21" s="24" t="inlineStr">
        <is>
          <t>Total</t>
        </is>
      </c>
      <c r="B21" s="24"/>
      <c r="C21" s="24"/>
      <c r="D21" s="25">
        <f>SUM(D15:D20)</f>
        <v>2468.9799999999996</v>
      </c>
      <c r="E21" s="26">
        <f>SUM(E15:E20)</f>
        <v>290</v>
      </c>
      <c r="F21" s="26">
        <f>SUM(F15:F20)</f>
        <v>85743</v>
      </c>
      <c r="G21" s="28" t="inlineStr">
        <is>
          <t>No sumable</t>
        </is>
      </c>
      <c r="H21" s="27">
        <f>SUM(H15:H20)</f>
        <v>1</v>
      </c>
      <c r="I21" s="27">
        <f>SUM(I15:I20)</f>
        <v>1</v>
      </c>
      <c r="J21" s="25">
        <f>D21/E21</f>
        <v>8.513724137931034</v>
      </c>
      <c r="K21" s="25">
        <f>D21/F21*1000</f>
        <v>28.795120301365703</v>
      </c>
      <c r="L21" s="7" t="inlineStr">
        <is>
          <t>El alcance no se suma: una persona puede ver varios anuncios.</t>
        </is>
      </c>
    </row>
  </sheetData>
  <pageMargins left="0.5" right="0.5" top="0.6" bottom="0.6" header="0.3" footer="0.3"/>
  <pageSetup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E75B6"/>
  </sheetPr>
  <dimension ref="A1:E20"/>
  <sheetViews>
    <sheetView workbookViewId="0" zoomScale="100"/>
  </sheetViews>
  <sheetFormatPr defaultRowHeight="15"/>
  <cols>
    <col min="1" max="1" width="40" customWidth="1"/>
    <col min="2" max="2" width="18" customWidth="1"/>
    <col min="3" max="3" width="18" customWidth="1"/>
    <col min="4" max="4" width="12" customWidth="1"/>
    <col min="5" max="5" width="70" customWidth="1"/>
  </cols>
  <sheetData>
    <row r="1">
      <c r="A1" s="1" t="inlineStr">
        <is>
          <t>Comparativo de periodos: campaña de septiembre vs. octubre</t>
        </is>
      </c>
    </row>
    <row r="2">
      <c r="A2" s="2" t="inlineStr">
        <is>
          <t>Celdas amarillas = datos de origen (editables). Grises = fórmulas. Octubre: pauta 5-19 oct; clases muestra 1-18 oct (control + 3 asistentes de la encuesta).</t>
        </is>
      </c>
    </row>
    <row r="4">
      <c r="A4" s="4" t="inlineStr">
        <is>
          <t>Concepto</t>
        </is>
      </c>
      <c r="B4" s="4" t="inlineStr">
        <is>
          <t>Campaña sept. (21-ago a 4-oct)</t>
        </is>
      </c>
      <c r="C4" s="4" t="inlineStr">
        <is>
          <t>Octubre (al 19-oct)</t>
        </is>
      </c>
      <c r="D4" s="4" t="inlineStr">
        <is>
          <t>Variación</t>
        </is>
      </c>
      <c r="E4" s="4" t="inlineStr">
        <is>
          <t>Fuente / nota</t>
        </is>
      </c>
    </row>
    <row r="5">
      <c r="A5" s="6" t="inlineStr">
        <is>
          <t>Días de pauta</t>
        </is>
      </c>
      <c r="B5" s="14">
        <v>45</v>
      </c>
      <c r="C5" s="14">
        <v>15</v>
      </c>
      <c r="D5" s="21">
        <f>IF(OR(B5="",B5=0),"",C5/B5-1)</f>
        <v>-0.6666666666666667</v>
      </c>
      <c r="E5" s="7" t="inlineStr">
        <is>
          <t>Sept: 21-ago a 4-oct. Oct: reporte 5-19 oct.</t>
        </is>
      </c>
    </row>
    <row r="6">
      <c r="A6" s="6" t="inlineStr">
        <is>
          <t>Gasto en pauta</t>
        </is>
      </c>
      <c r="B6" s="16">
        <v>6999.91</v>
      </c>
      <c r="C6" s="16">
        <v>2468.98</v>
      </c>
      <c r="D6" s="21">
        <f>IF(OR(B6="",B6=0),"",C6/B6-1)</f>
        <v>-0.6472840365090409</v>
      </c>
      <c r="E6" s="7" t="inlineStr">
        <is>
          <t>Meta Ads</t>
        </is>
      </c>
    </row>
    <row r="7">
      <c r="A7" s="6" t="inlineStr">
        <is>
          <t>Conversaciones</t>
        </is>
      </c>
      <c r="B7" s="14">
        <v>565</v>
      </c>
      <c r="C7" s="14">
        <v>290</v>
      </c>
      <c r="D7" s="21">
        <f>IF(OR(B7="",B7=0),"",C7/B7-1)</f>
        <v>-0.48672566371681414</v>
      </c>
      <c r="E7" s="7" t="inlineStr">
        <is>
          <t>Meta Ads</t>
        </is>
      </c>
    </row>
    <row r="8">
      <c r="A8" s="6" t="inlineStr">
        <is>
          <t>Días con clases muestra medidas</t>
        </is>
      </c>
      <c r="B8" s="14">
        <v>45</v>
      </c>
      <c r="C8" s="14">
        <v>18</v>
      </c>
      <c r="D8" s="21">
        <f>IF(OR(B8="",B8=0),"",C8/B8-1)</f>
        <v>-0.6</v>
      </c>
      <c r="E8" s="7" t="inlineStr">
        <is>
          <t>Oct: 1 al 18 (las CM del 19 en adelante aún no ocurren)</t>
        </is>
      </c>
    </row>
    <row r="9">
      <c r="A9" s="6" t="inlineStr">
        <is>
          <t>CM vencidas (prospectos nuevos)</t>
        </is>
      </c>
      <c r="B9" s="14">
        <v>88</v>
      </c>
      <c r="C9" s="14">
        <v>33</v>
      </c>
      <c r="D9" s="21">
        <f>IF(OR(B9="",B9=0),"",C9/B9-1)</f>
        <v>-0.625</v>
      </c>
      <c r="E9" s="7" t="inlineStr">
        <is>
          <t>Sept: 91 agendadas - 3 pendientes al cierre. Oct: 30 del control + 3 de la encuesta</t>
        </is>
      </c>
    </row>
    <row r="10">
      <c r="A10" s="6" t="inlineStr">
        <is>
          <t>CM realizadas</t>
        </is>
      </c>
      <c r="B10" s="14">
        <v>67</v>
      </c>
      <c r="C10" s="14">
        <v>23</v>
      </c>
      <c r="D10" s="21">
        <f>IF(OR(B10="",B10=0),"",C10/B10-1)</f>
        <v>-0.6567164179104478</v>
      </c>
      <c r="E10" s="7"/>
    </row>
    <row r="11">
      <c r="A11" s="6" t="inlineStr">
        <is>
          <t>Inscripciones</t>
        </is>
      </c>
      <c r="B11" s="14">
        <v>30</v>
      </c>
      <c r="C11" s="14">
        <v>12</v>
      </c>
      <c r="D11" s="21">
        <f>IF(OR(B11="",B11=0),"",C11/B11-1)</f>
        <v>-0.6</v>
      </c>
      <c r="E11" s="7" t="inlineStr">
        <is>
          <t>Sept: 30 personas (23 atribuibles a pauta)</t>
        </is>
      </c>
    </row>
    <row r="12">
      <c r="A12" s="6" t="inlineStr">
        <is>
          <t>Gasto por día</t>
        </is>
      </c>
      <c r="B12" s="20">
        <f>B6/B5</f>
        <v>155.55355555555556</v>
      </c>
      <c r="C12" s="20">
        <f>C6/C5</f>
        <v>164.59866666666667</v>
      </c>
      <c r="D12" s="21">
        <f>IF(OR(B12="",B12=0),"",C12/B12-1)</f>
        <v>0.058147890472877606</v>
      </c>
      <c r="E12" s="7">
        <f>Gasto / días de pauta</f>
      </c>
    </row>
    <row r="13">
      <c r="A13" s="6" t="inlineStr">
        <is>
          <t>Conversaciones por día</t>
        </is>
      </c>
      <c r="B13" s="18">
        <f>B7/B5</f>
        <v>12.555555555555555</v>
      </c>
      <c r="C13" s="18">
        <f>C7/C5</f>
        <v>19.333333333333332</v>
      </c>
      <c r="D13" s="21">
        <f>IF(OR(B13="",B13=0),"",C13/B13-1)</f>
        <v>0.5398230088495575</v>
      </c>
      <c r="E13" s="7">
        <f>Conversaciones / días de pauta</f>
      </c>
    </row>
    <row r="14">
      <c r="A14" s="6" t="inlineStr">
        <is>
          <t>Costo por conversación</t>
        </is>
      </c>
      <c r="B14" s="20">
        <f>B6/B7</f>
        <v>12.389221238938052</v>
      </c>
      <c r="C14" s="20">
        <f>C6/C7</f>
        <v>8.513724137931035</v>
      </c>
      <c r="D14" s="21">
        <f>IF(OR(B14="",B14=0),"",C14/B14-1)</f>
        <v>-0.3128120021641656</v>
      </c>
      <c r="E14" s="7">
        <f>Gasto / conversaciones</f>
      </c>
    </row>
    <row r="15">
      <c r="A15" s="6" t="inlineStr">
        <is>
          <t>CM vencidas por día</t>
        </is>
      </c>
      <c r="B15" s="18">
        <f>B9/B8</f>
        <v>1.9555555555555555</v>
      </c>
      <c r="C15" s="18">
        <f>C9/C8</f>
        <v>1.8333333333333333</v>
      </c>
      <c r="D15" s="21">
        <f>IF(OR(B15="",B15=0),"",C15/B15-1)</f>
        <v>-0.0625</v>
      </c>
      <c r="E15" s="7">
        <f>CM vencidas / días con CM medidas</f>
      </c>
    </row>
    <row r="16">
      <c r="A16" s="6" t="inlineStr">
        <is>
          <t>Asistencia</t>
        </is>
      </c>
      <c r="B16" s="21">
        <f>B10/B9</f>
        <v>0.7613636363636364</v>
      </c>
      <c r="C16" s="21">
        <f>C10/C9</f>
        <v>0.696969696969697</v>
      </c>
      <c r="D16" s="21">
        <f>IF(OR(B16="",B16=0),"",C16/B16-1)</f>
        <v>-0.08457711442786064</v>
      </c>
      <c r="E16" s="7">
        <f>Realizadas / vencidas</f>
      </c>
    </row>
    <row r="17">
      <c r="A17" s="6" t="inlineStr">
        <is>
          <t>Cierre tras CM</t>
        </is>
      </c>
      <c r="B17" s="21">
        <f>B11/B10</f>
        <v>0.44776119402985076</v>
      </c>
      <c r="C17" s="21">
        <f>C11/C10</f>
        <v>0.5217391304347826</v>
      </c>
      <c r="D17" s="21">
        <f>IF(OR(B17="",B17=0),"",C17/B17-1)</f>
        <v>0.16521739130434776</v>
      </c>
      <c r="E17" s="7">
        <f>Inscripciones / realizadas. Sept usa 65 personas en el reporte original (46.2%); aquí se divide entre 67 clases.</f>
      </c>
    </row>
    <row r="18">
      <c r="A18" s="6" t="inlineStr">
        <is>
          <t>CM vencida → inscripción</t>
        </is>
      </c>
      <c r="B18" s="21">
        <f>B11/B9</f>
        <v>0.3409090909090909</v>
      </c>
      <c r="C18" s="21">
        <f>C11/C9</f>
        <v>0.36363636363636365</v>
      </c>
      <c r="D18" s="21">
        <f>IF(OR(B18="",B18=0),"",C18/B18-1)</f>
        <v>0.06666666666666687</v>
      </c>
      <c r="E18" s="7">
        <f>Inscripciones / vencidas</f>
      </c>
    </row>
    <row r="20">
      <c r="A20" s="29" t="inlineStr">
        <is>
          <t>Lectura: octubre compra conversaciones 31% más baratas y 54% más numerosas por día, pero las clases muestra por día no crecen. La diferencia se pierde entre la conversación y la cita.</t>
        </is>
      </c>
    </row>
  </sheetData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0AD47"/>
  </sheetPr>
  <dimension ref="A1:F34"/>
  <sheetViews>
    <sheetView workbookViewId="0" zoomScale="100"/>
  </sheetViews>
  <sheetFormatPr defaultRowHeight="15"/>
  <cols>
    <col min="1" max="1" width="36" customWidth="1"/>
    <col min="2" max="2" width="14" customWidth="1"/>
    <col min="3" max="3" width="14" customWidth="1"/>
    <col min="4" max="4" width="14" customWidth="1"/>
    <col min="5" max="5" width="14" customWidth="1"/>
    <col min="6" max="6" width="54" customWidth="1"/>
  </cols>
  <sheetData>
    <row r="1">
      <c r="A1" s="1" t="inlineStr">
        <is>
          <t>Canales de captación</t>
        </is>
      </c>
    </row>
    <row r="2">
      <c r="A2" s="2" t="inlineStr">
        <is>
          <t>Tres fuentes distintas que miden cosas distintas: no sumar entre tablas.</t>
        </is>
      </c>
    </row>
    <row r="4">
      <c r="A4" s="3" t="inlineStr">
        <is>
          <t>A. Base de alumnos: de dónde llegaron (sin curso de verano)</t>
        </is>
      </c>
    </row>
    <row r="5">
      <c r="A5" s="4" t="inlineStr">
        <is>
          <t>Fuente (agrupada)</t>
        </is>
      </c>
      <c r="B5" s="4" t="inlineStr">
        <is>
          <t>Registros históricos</t>
        </is>
      </c>
      <c r="C5" s="4" t="inlineStr">
        <is>
          <t>Activos hoy</t>
        </is>
      </c>
      <c r="D5" s="4" t="inlineStr">
        <is>
          <t>% de los activos</t>
        </is>
      </c>
      <c r="E5" s="4" t="inlineStr">
        <is>
          <t>% que sigue activo</t>
        </is>
      </c>
      <c r="F5" s="4" t="inlineStr">
        <is>
          <t>Nota</t>
        </is>
      </c>
    </row>
    <row r="6">
      <c r="A6" s="6" t="inlineStr">
        <is>
          <t>Facebook</t>
        </is>
      </c>
      <c r="B6" s="14">
        <v>83</v>
      </c>
      <c r="C6" s="14">
        <v>65</v>
      </c>
      <c r="D6" s="21">
        <f>C6/$C$12</f>
        <v>0.5416666666666666</v>
      </c>
      <c r="E6" s="21">
        <f>IF(B6=0,"",C6/B6)</f>
        <v>0.7831325301204819</v>
      </c>
      <c r="F6" s="7" t="inlineStr">
        <is>
          <t>Incluye "Redes sociales (Facebook)". Las altas por Facebook son más recientes: su % activo no compara retención.</t>
        </is>
      </c>
    </row>
    <row r="7">
      <c r="A7" s="6" t="inlineStr">
        <is>
          <t>Recomendación</t>
        </is>
      </c>
      <c r="B7" s="14">
        <v>57</v>
      </c>
      <c r="C7" s="14">
        <v>27</v>
      </c>
      <c r="D7" s="21">
        <f>C7/$C$12</f>
        <v>0.225</v>
      </c>
      <c r="E7" s="21">
        <f>IF(B7=0,"",C7/B7)</f>
        <v>0.47368421052631576</v>
      </c>
      <c r="F7" s="7" t="inlineStr">
        <is>
          <t>Alumnos, "Moni/Mónica", "Freinet", empleada y otros. 15 registros dicen "Recomendado Freinet".</t>
        </is>
      </c>
    </row>
    <row r="8">
      <c r="A8" s="6" t="inlineStr">
        <is>
          <t>Tránsito (pasó por la academia)</t>
        </is>
      </c>
      <c r="B8" s="14">
        <v>40</v>
      </c>
      <c r="C8" s="14">
        <v>16</v>
      </c>
      <c r="D8" s="21">
        <f>C8/$C$12</f>
        <v>0.13333333333333333</v>
      </c>
      <c r="E8" s="21">
        <f>IF(B8=0,"",C8/B8)</f>
        <v>0.4</v>
      </c>
      <c r="F8" s="7" t="inlineStr">
        <is>
          <t>Vio la fachada o pasó por la calle.</t>
        </is>
      </c>
    </row>
    <row r="9">
      <c r="A9" s="6" t="inlineStr">
        <is>
          <t>Escuelas, activaciones y aliados</t>
        </is>
      </c>
      <c r="B9" s="14">
        <v>23</v>
      </c>
      <c r="C9" s="14">
        <v>10</v>
      </c>
      <c r="D9" s="21">
        <f>C9/$C$12</f>
        <v>0.08333333333333333</v>
      </c>
      <c r="E9" s="21">
        <f>IF(B9=0,"",C9/B9)</f>
        <v>0.43478260869565216</v>
      </c>
      <c r="F9" s="7" t="inlineStr">
        <is>
          <t>Activacion Escuela (9), Escuela Florinda Chapa (6), Escuela Tecnica 66 (2), Alumno Iunhi (2), Escuela Cuauhtemoc (2), Stand Chitiva (2)</t>
        </is>
      </c>
    </row>
    <row r="10">
      <c r="A10" s="6" t="inlineStr">
        <is>
          <t>Instagram</t>
        </is>
      </c>
      <c r="B10" s="14">
        <v>2</v>
      </c>
      <c r="C10" s="14">
        <v>2</v>
      </c>
      <c r="D10" s="21">
        <f>C10/$C$12</f>
        <v>0.016666666666666666</v>
      </c>
      <c r="E10" s="21">
        <f>IF(B10=0,"",C10/B10)</f>
        <v>1.0</v>
      </c>
      <c r="F10" s="7"/>
    </row>
    <row r="11">
      <c r="A11" s="6" t="inlineStr">
        <is>
          <t>Sin dato</t>
        </is>
      </c>
      <c r="B11" s="14">
        <v>21</v>
      </c>
      <c r="C11" s="14">
        <v>0</v>
      </c>
      <c r="D11" s="21">
        <f>C11/$C$12</f>
        <v>0.0</v>
      </c>
      <c r="E11" s="21">
        <f>IF(B11=0,"",C11/B11)</f>
        <v>0.0</v>
      </c>
      <c r="F11" s="7" t="inlineStr">
        <is>
          <t>21 registros sin fuente; ninguno activo.</t>
        </is>
      </c>
    </row>
    <row r="12">
      <c r="A12" s="24" t="inlineStr">
        <is>
          <t>Total</t>
        </is>
      </c>
      <c r="B12" s="26">
        <f>SUM(B6:B11)</f>
        <v>226</v>
      </c>
      <c r="C12" s="26">
        <f>SUM(C6:C11)</f>
        <v>120</v>
      </c>
      <c r="D12" s="27">
        <f>SUM(D6:D11)</f>
        <v>1</v>
      </c>
    </row>
    <row r="14">
      <c r="A14" s="3" t="inlineStr">
        <is>
          <t>B. Octubre: clases muestra de prospectos nuevos por canal de origen (1 al 18-oct)</t>
        </is>
      </c>
    </row>
    <row r="15">
      <c r="A15" s="4" t="inlineStr">
        <is>
          <t>Canal de origen</t>
        </is>
      </c>
      <c r="B15" s="4" t="inlineStr">
        <is>
          <t>CM vencidas</t>
        </is>
      </c>
      <c r="C15" s="4" t="inlineStr">
        <is>
          <t>Realizadas</t>
        </is>
      </c>
      <c r="D15" s="4" t="inlineStr">
        <is>
          <t>Inscritos</t>
        </is>
      </c>
      <c r="E15" s="4" t="inlineStr">
        <is>
          <t>Cierre tras CM</t>
        </is>
      </c>
      <c r="F15" s="4" t="inlineStr">
        <is>
          <t>Nota</t>
        </is>
      </c>
    </row>
    <row r="16">
      <c r="A16" s="6" t="inlineStr">
        <is>
          <t>Facebook</t>
        </is>
      </c>
      <c r="B16" s="14">
        <v>19</v>
      </c>
      <c r="C16" s="14">
        <v>15</v>
      </c>
      <c r="D16" s="14">
        <v>12</v>
      </c>
      <c r="E16" s="21">
        <f>IF(C16=0,"",D16/C16)</f>
        <v>0.8</v>
      </c>
      <c r="F16" s="7" t="inlineStr">
        <is>
          <t>Incluye a Mía Vázquez (encuesta).</t>
        </is>
      </c>
    </row>
    <row r="17">
      <c r="A17" s="6" t="inlineStr">
        <is>
          <t>WhatsApp</t>
        </is>
      </c>
      <c r="B17" s="14">
        <v>7</v>
      </c>
      <c r="C17" s="14">
        <v>4</v>
      </c>
      <c r="D17" s="14">
        <v>0</v>
      </c>
      <c r="E17" s="21">
        <f>IF(C17=0,"",D17/C17)</f>
        <v>0.0</v>
      </c>
      <c r="F17" s="7" t="inlineStr">
        <is>
          <t>Origen por validar: el anuncio de Meta también abre WhatsApp. 4 asistieron y siguen sin decidir.</t>
        </is>
      </c>
    </row>
    <row r="18">
      <c r="A18" s="6" t="inlineStr">
        <is>
          <t>Instagram</t>
        </is>
      </c>
      <c r="B18" s="14">
        <v>5</v>
      </c>
      <c r="C18" s="14">
        <v>2</v>
      </c>
      <c r="D18" s="14">
        <v>0</v>
      </c>
      <c r="E18" s="21">
        <f>IF(C18=0,"",D18/C18)</f>
        <v>0.0</v>
      </c>
      <c r="F18" s="7" t="inlineStr">
        <is>
          <t>3 de 5 no asistieron.</t>
        </is>
      </c>
    </row>
    <row r="19">
      <c r="A19" s="6" t="inlineStr">
        <is>
          <t>Promoción en calle</t>
        </is>
      </c>
      <c r="B19" s="14">
        <v>2</v>
      </c>
      <c r="C19" s="14">
        <v>2</v>
      </c>
      <c r="D19" s="14">
        <v>0</v>
      </c>
      <c r="E19" s="21">
        <f>IF(C19=0,"",D19/C19)</f>
        <v>0.0</v>
      </c>
      <c r="F19" s="7" t="inlineStr">
        <is>
          <t>Hermanos Villalba: no estaban en el control (encuesta). Barreras: horarios, inversión, ubicación.</t>
        </is>
      </c>
    </row>
    <row r="21">
      <c r="A21" s="3" t="inlineStr">
        <is>
          <t>C. Campaña septiembre: canal por el que se agendó la CM (Reporte, tabla 12)</t>
        </is>
      </c>
    </row>
    <row r="22">
      <c r="A22" s="4" t="inlineStr">
        <is>
          <t>Canal de agenda</t>
        </is>
      </c>
      <c r="B22" s="4" t="inlineStr">
        <is>
          <t>Clases muestra</t>
        </is>
      </c>
      <c r="C22" s="4" t="inlineStr">
        <is>
          <t>Inscripciones</t>
        </is>
      </c>
      <c r="D22" s="4" t="inlineStr">
        <is>
          <t>Cierre</t>
        </is>
      </c>
      <c r="E22" s="4"/>
      <c r="F22" s="4" t="inlineStr">
        <is>
          <t>Nota</t>
        </is>
      </c>
    </row>
    <row r="23">
      <c r="A23" s="6" t="inlineStr">
        <is>
          <t>WhatsApp</t>
        </is>
      </c>
      <c r="B23" s="14">
        <v>71</v>
      </c>
      <c r="C23" s="14">
        <v>19</v>
      </c>
      <c r="D23" s="21">
        <f>IF(B23=0,"",C23/B23)</f>
        <v>0.2676056338028169</v>
      </c>
      <c r="F23" s="7" t="inlineStr">
        <is>
          <t>Es el medio de agenda, no el origen. 78% de las CM se agendaron por WhatsApp porque ahí lleva la pauta.</t>
        </is>
      </c>
    </row>
    <row r="24">
      <c r="A24" s="6" t="inlineStr">
        <is>
          <t>Facebook</t>
        </is>
      </c>
      <c r="B24" s="14">
        <v>11</v>
      </c>
      <c r="C24" s="14">
        <v>8</v>
      </c>
      <c r="D24" s="21">
        <f>IF(B24=0,"",C24/B24)</f>
        <v>0.7272727272727273</v>
      </c>
      <c r="F24" s="7"/>
    </row>
    <row r="25">
      <c r="A25" s="6" t="inlineStr">
        <is>
          <t>Sitio</t>
        </is>
      </c>
      <c r="B25" s="14">
        <v>4</v>
      </c>
      <c r="C25" s="14">
        <v>2</v>
      </c>
      <c r="D25" s="21">
        <f>IF(B25=0,"",C25/B25)</f>
        <v>0.5</v>
      </c>
      <c r="F25" s="7"/>
    </row>
    <row r="26">
      <c r="A26" s="6" t="inlineStr">
        <is>
          <t>Instagram</t>
        </is>
      </c>
      <c r="B26" s="14">
        <v>4</v>
      </c>
      <c r="C26" s="14">
        <v>2</v>
      </c>
      <c r="D26" s="21">
        <f>IF(B26=0,"",C26/B26)</f>
        <v>0.5</v>
      </c>
      <c r="F26" s="7"/>
    </row>
    <row r="27">
      <c r="A27" s="6" t="inlineStr">
        <is>
          <t>Recomendación</t>
        </is>
      </c>
      <c r="B27" s="14">
        <v>1</v>
      </c>
      <c r="C27" s="14">
        <v>1</v>
      </c>
      <c r="D27" s="21">
        <f>IF(B27=0,"",C27/B27)</f>
        <v>1.0</v>
      </c>
      <c r="F27" s="7"/>
    </row>
    <row r="29">
      <c r="A29" s="3" t="inlineStr">
        <is>
          <t>D. Campaña septiembre: medio de contacto de los leads del CRM (Reporte, tabla 16)</t>
        </is>
      </c>
    </row>
    <row r="30">
      <c r="A30" s="4" t="inlineStr">
        <is>
          <t>Medio</t>
        </is>
      </c>
      <c r="B30" s="4" t="inlineStr">
        <is>
          <t>Registros</t>
        </is>
      </c>
      <c r="C30" s="4" t="inlineStr">
        <is>
          <t>% del total</t>
        </is>
      </c>
      <c r="D30" s="4"/>
      <c r="E30" s="4"/>
      <c r="F30" s="4"/>
    </row>
    <row r="31">
      <c r="A31" s="6" t="inlineStr">
        <is>
          <t>Facebook (Messenger/comentarios)</t>
        </is>
      </c>
      <c r="B31" s="14">
        <v>239</v>
      </c>
      <c r="C31" s="21">
        <f>B31/SUM($B$31:$B$34)</f>
        <v>0.4789579158316633</v>
      </c>
    </row>
    <row r="32">
      <c r="A32" s="6" t="inlineStr">
        <is>
          <t>WhatsApp</t>
        </is>
      </c>
      <c r="B32" s="14">
        <v>218</v>
      </c>
      <c r="C32" s="21">
        <f>B32/SUM($B$31:$B$34)</f>
        <v>0.43687374749499</v>
      </c>
    </row>
    <row r="33">
      <c r="A33" s="6" t="inlineStr">
        <is>
          <t>Instagram Direct</t>
        </is>
      </c>
      <c r="B33" s="14">
        <v>40</v>
      </c>
      <c r="C33" s="21">
        <f>B33/SUM($B$31:$B$34)</f>
        <v>0.08016032064128256</v>
      </c>
    </row>
    <row r="34">
      <c r="A34" s="6" t="inlineStr">
        <is>
          <t>Sin información</t>
        </is>
      </c>
      <c r="B34" s="14">
        <v>2</v>
      </c>
      <c r="C34" s="21">
        <f>B34/SUM($B$31:$B$34)</f>
        <v>0.004008016032064128</v>
      </c>
    </row>
  </sheetData>
  <pageMargins left="0.5" right="0.5" top="0.6" bottom="0.6" header="0.3" footer="0.3"/>
  <pageSetup orientation="landscape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C000"/>
  </sheetPr>
  <dimension ref="A1:C33"/>
  <sheetViews>
    <sheetView workbookViewId="0" zoomScale="100"/>
  </sheetViews>
  <sheetFormatPr defaultRowHeight="15"/>
  <cols>
    <col min="1" max="1" width="52" customWidth="1"/>
    <col min="2" max="2" width="16" customWidth="1"/>
    <col min="3" max="3" width="70" customWidth="1"/>
  </cols>
  <sheetData>
    <row r="1">
      <c r="A1" s="1" t="inlineStr">
        <is>
          <t>Economía de un alumno y de un grupo</t>
        </is>
      </c>
    </row>
    <row r="2">
      <c r="A2" s="2" t="inlineStr">
        <is>
          <t>Solo considera costo docente y pauta. Los costos fijos (renta, servicios, administración) los debe aportar Finanzas en la celda amarilla vacía.</t>
        </is>
      </c>
    </row>
    <row r="4">
      <c r="A4" s="4" t="inlineStr">
        <is>
          <t>Supuesto</t>
        </is>
      </c>
      <c r="B4" s="4" t="inlineStr">
        <is>
          <t>Valor</t>
        </is>
      </c>
      <c r="C4" s="4" t="inlineStr">
        <is>
          <t>Fuente</t>
        </is>
      </c>
    </row>
    <row r="5">
      <c r="A5" s="6" t="inlineStr">
        <is>
          <t>Precio de lista mensual</t>
        </is>
      </c>
      <c r="B5" s="17">
        <v>800</v>
      </c>
      <c r="C5" s="7" t="inlineStr">
        <is>
          <t>Dato de la academia</t>
        </is>
      </c>
    </row>
    <row r="6">
      <c r="A6" s="6" t="inlineStr">
        <is>
          <t>Mensualidad promedio cobrada (activos)</t>
        </is>
      </c>
      <c r="B6" s="17">
        <v>698</v>
      </c>
      <c r="C6" s="7" t="inlineStr">
        <is>
          <t>Base 19-oct: $83,050 / 119 activos con mensualidad</t>
        </is>
      </c>
    </row>
    <row r="7">
      <c r="A7" s="6" t="inlineStr">
        <is>
          <t>Costo docente por clase de 50 min</t>
        </is>
      </c>
      <c r="B7" s="17">
        <v>200</v>
      </c>
      <c r="C7" s="7" t="inlineStr">
        <is>
          <t>Dato de la academia</t>
        </is>
      </c>
    </row>
    <row r="8">
      <c r="A8" s="6" t="inlineStr">
        <is>
          <t>Clases por semana por grupo</t>
        </is>
      </c>
      <c r="B8" s="14">
        <v>2</v>
      </c>
      <c r="C8" s="7" t="inlineStr">
        <is>
          <t>Programa regular</t>
        </is>
      </c>
    </row>
    <row r="9">
      <c r="A9" s="6" t="inlineStr">
        <is>
          <t>Semanas por mes</t>
        </is>
      </c>
      <c r="B9" s="13">
        <f>52/12</f>
        <v>4.333</v>
      </c>
      <c r="C9" s="7" t="inlineStr">
        <is>
          <t>52 / 12</t>
        </is>
      </c>
    </row>
    <row r="10">
      <c r="A10" s="6" t="inlineStr">
        <is>
          <t>Capacidad máxima por grupo</t>
        </is>
      </c>
      <c r="B10" s="14">
        <v>12</v>
      </c>
      <c r="C10" s="7" t="inlineStr">
        <is>
          <t>Dato de la academia</t>
        </is>
      </c>
    </row>
    <row r="11">
      <c r="A11" s="6" t="inlineStr">
        <is>
          <t>Costo de adquisición por pauta (CAC atribuible)</t>
        </is>
      </c>
      <c r="B11" s="16">
        <v>304.34</v>
      </c>
      <c r="C11" s="7" t="inlineStr">
        <is>
          <t>Campaña sept.: $6,999.91 / 23 inscripciones atribuibles</t>
        </is>
      </c>
    </row>
    <row r="12">
      <c r="A12" s="6" t="inlineStr">
        <is>
          <t>Costos fijos mensuales de la academia</t>
        </is>
      </c>
      <c r="B12" s="17"/>
      <c r="C12" s="7" t="inlineStr">
        <is>
          <t>PENDIENTE: Finanzas</t>
        </is>
      </c>
    </row>
    <row r="13">
      <c r="A13" s="6" t="inlineStr">
        <is>
          <t>Número de grupos activos</t>
        </is>
      </c>
      <c r="B13" s="14">
        <v>24</v>
      </c>
      <c r="C13" s="7" t="inlineStr">
        <is>
          <t>PDF de horarios (24 grupos, 23 con número de alumnos)</t>
        </is>
      </c>
    </row>
    <row r="15">
      <c r="A15" s="4" t="inlineStr">
        <is>
          <t>Resultado</t>
        </is>
      </c>
      <c r="B15" s="4" t="inlineStr">
        <is>
          <t>Valor</t>
        </is>
      </c>
      <c r="C15" s="4" t="inlineStr">
        <is>
          <t>Cómo leerlo</t>
        </is>
      </c>
    </row>
    <row r="16">
      <c r="A16" s="6" t="inlineStr">
        <is>
          <t>Costo docente de un grupo al mes</t>
        </is>
      </c>
      <c r="B16" s="19">
        <f>B7*B8*B9</f>
        <v>1733.33</v>
      </c>
      <c r="C16" s="7" t="inlineStr">
        <is>
          <t>Lo que cuesta sostener un grupo regular, tenga 1 o 12 alumnos.</t>
        </is>
      </c>
    </row>
    <row r="17">
      <c r="A17" s="6" t="inlineStr">
        <is>
          <t>Alumnos para cubrir el costo docente</t>
        </is>
      </c>
      <c r="B17" s="22">
        <f>ROUNDUP(B16/B6,0)</f>
        <v>3</v>
      </c>
      <c r="C17" s="7" t="inlineStr">
        <is>
          <t>Con 3 alumnos el grupo paga a su maestro. Grupos con 1 o 2 alumnos no lo cubren.</t>
        </is>
      </c>
    </row>
    <row r="18">
      <c r="A18" s="6" t="inlineStr">
        <is>
          <t>Costo docente por alumno con grupo lleno</t>
        </is>
      </c>
      <c r="B18" s="19">
        <f>B16/B10</f>
        <v>144.44</v>
      </c>
      <c r="C18" s="7" t="inlineStr">
        <is>
          <t>18% del precio de lista.</t>
        </is>
      </c>
    </row>
    <row r="19">
      <c r="A19" s="6" t="inlineStr">
        <is>
          <t>Margen sobre costo docente de un alumno extra en grupo existente</t>
        </is>
      </c>
      <c r="B19" s="19">
        <f>B6</f>
        <v>698</v>
      </c>
      <c r="C19" s="7" t="inlineStr">
        <is>
          <t>El maestro ya está pagado: toda la mensualidad contribuye a costos fijos y utilidad.</t>
        </is>
      </c>
    </row>
    <row r="20">
      <c r="A20" s="6" t="inlineStr">
        <is>
          <t>Meses para recuperar el CAC (alumno en grupo existente)</t>
        </is>
      </c>
      <c r="B20" s="18">
        <f>B11/B19</f>
        <v>0.44</v>
      </c>
      <c r="C20" s="7" t="inlineStr">
        <is>
          <t>Menos de un mes.</t>
        </is>
      </c>
    </row>
    <row r="21">
      <c r="A21" s="6" t="inlineStr">
        <is>
          <t>Margen sobre costo docente de un grupo lleno al mes</t>
        </is>
      </c>
      <c r="B21" s="19">
        <f>B6*B10-B16</f>
        <v>6642.67</v>
      </c>
      <c r="C21" s="7" t="inlineStr">
        <is>
          <t>Antes de costos fijos.</t>
        </is>
      </c>
    </row>
    <row r="22">
      <c r="A22" s="6" t="inlineStr">
        <is>
          <t>Costos fijos por grupo al mes</t>
        </is>
      </c>
      <c r="B22" s="19" t="str">
        <f>IF(B12="","Pendiente Finanzas",B12/B13)</f>
        <v>Pendiente Finanzas</v>
      </c>
      <c r="C22" s="7" t="inlineStr">
        <is>
          <t>Se calcula cuando Finanzas capture los costos fijos.</t>
        </is>
      </c>
    </row>
    <row r="23">
      <c r="A23" s="6" t="inlineStr">
        <is>
          <t>Alumnos por grupo para cubrir docente + costos fijos</t>
        </is>
      </c>
      <c r="B23" s="22" t="str">
        <f>IF(B12="","Pendiente Finanzas",ROUNDUP((B16+B22)/B6,0))</f>
        <v>Pendiente Finanzas</v>
      </c>
      <c r="C23" s="7" t="inlineStr">
        <is>
          <t>Punto de equilibrio completo por grupo.</t>
        </is>
      </c>
    </row>
    <row r="26">
      <c r="A26" s="4" t="inlineStr">
        <is>
          <t>Valor de un alumno según cuántos meses se queda (margen sobre docente - CAC)</t>
        </is>
      </c>
      <c r="B26" s="4" t="inlineStr">
        <is>
          <t>Valor</t>
        </is>
      </c>
      <c r="C26" s="4" t="inlineStr">
        <is>
          <t>Lectura</t>
        </is>
      </c>
    </row>
    <row r="27">
      <c r="A27" s="6" t="inlineStr">
        <is>
          <t>Se va antes de terminar el primer mes (pagó 1 mensualidad)</t>
        </is>
      </c>
      <c r="B27" s="19">
        <f>B6*1-B11</f>
        <v>393.66</v>
      </c>
      <c r="C27" s="7" t="inlineStr">
        <is>
          <t>La pauta se recupera, pero se pierde el lugar, la clase muestra y el tiempo de atención. Fue el caso de 4 alumnos College en octubre.</t>
        </is>
      </c>
    </row>
    <row r="28">
      <c r="A28" s="6" t="inlineStr">
        <is>
          <t>1 mes(es) de permanencia</t>
        </is>
      </c>
      <c r="B28" s="19">
        <f>B6*1-B11</f>
        <v>393.66</v>
      </c>
      <c r="C28" s="7"/>
    </row>
    <row r="29">
      <c r="A29" s="6" t="inlineStr">
        <is>
          <t>3 mes(es) de permanencia</t>
        </is>
      </c>
      <c r="B29" s="19">
        <f>B6*3-B11</f>
        <v>1789.66</v>
      </c>
      <c r="C29" s="7"/>
    </row>
    <row r="30">
      <c r="A30" s="6" t="inlineStr">
        <is>
          <t>6 mes(es) de permanencia</t>
        </is>
      </c>
      <c r="B30" s="19">
        <f>B6*6-B11</f>
        <v>3883.66</v>
      </c>
      <c r="C30" s="7"/>
    </row>
    <row r="31">
      <c r="A31" s="6" t="inlineStr">
        <is>
          <t>12 mes(es) de permanencia</t>
        </is>
      </c>
      <c r="B31" s="19">
        <f>B6*12-B11</f>
        <v>8071.66</v>
      </c>
      <c r="C31" s="7" t="inlineStr">
        <is>
          <t>Por eso la retención pesa más que el costo de adquisición.</t>
        </is>
      </c>
    </row>
    <row r="33">
      <c r="A33" s="30" t="inlineStr">
        <is>
          <t>Supuesto: alumno en grupo con lugar libre (sin costo docente adicional). Con alumnos que obligan a abrir grupo, restar el costo docente del grupo hasta tener 3 alumnos.</t>
        </is>
      </c>
    </row>
  </sheetData>
  <pageMargins left="0.5" right="0.5" top="0.6" bottom="0.6" header="0.3" footer="0.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55A11"/>
  </sheetPr>
  <dimension ref="A1:O27"/>
  <sheetViews>
    <sheetView workbookViewId="0" zoomScale="100"/>
  </sheetViews>
  <sheetFormatPr defaultRowHeight="15"/>
  <cols>
    <col min="1" max="1" width="40" customWidth="1"/>
    <col min="2" max="2" width="13" customWidth="1"/>
    <col min="3" max="3" width="12" customWidth="1"/>
    <col min="4" max="4" width="11" customWidth="1"/>
    <col min="5" max="5" width="11" customWidth="1"/>
    <col min="6" max="6" width="11" customWidth="1"/>
    <col min="7" max="7" width="12" customWidth="1"/>
    <col min="8" max="8" width="12" customWidth="1"/>
    <col min="9" max="9" width="11" customWidth="1"/>
    <col min="10" max="10" width="12" customWidth="1"/>
    <col min="11" max="11" width="13" customWidth="1"/>
    <col min="12" max="12" width="13" customWidth="1"/>
    <col min="13" max="13" width="12" customWidth="1"/>
    <col min="14" max="14" width="12" customWidth="1"/>
    <col min="15" max="15" width="70" customWidth="1"/>
  </cols>
  <sheetData>
    <row r="1">
      <c r="A1" s="1" t="inlineStr">
        <is>
          <t>Escenarios de inscripciones por semana y por mes</t>
        </is>
      </c>
    </row>
    <row r="2">
      <c r="A2" s="2" t="inlineStr">
        <is>
          <t>Son escenarios, no pronósticos: aplican tasas observadas o propuestas a un volumen de conversaciones. Celdas amarillas editables.</t>
        </is>
      </c>
    </row>
    <row r="3">
      <c r="L3" s="32" t="inlineStr">
        <is>
          <t>Semanas por mes:</t>
        </is>
      </c>
      <c r="M3" s="13">
        <f>52/12</f>
        <v>4.333</v>
      </c>
    </row>
    <row r="4" ht="42" customHeight="1">
      <c r="A4" s="4" t="inlineStr">
        <is>
          <t>Escenario</t>
        </is>
      </c>
      <c r="B4" s="4" t="inlineStr">
        <is>
          <t>Conversaciones por semana</t>
        </is>
      </c>
      <c r="C4" s="4" t="inlineStr">
        <is>
          <t>Personas por conversación</t>
        </is>
      </c>
      <c r="D4" s="4" t="inlineStr">
        <is>
          <t>Prospecto → CM</t>
        </is>
      </c>
      <c r="E4" s="4" t="inlineStr">
        <is>
          <t>Asistencia</t>
        </is>
      </c>
      <c r="F4" s="4" t="inlineStr">
        <is>
          <t>Cierre tras CM</t>
        </is>
      </c>
      <c r="G4" s="4" t="inlineStr">
        <is>
          <t>Gasto por semana</t>
        </is>
      </c>
      <c r="H4" s="31" t="inlineStr">
        <is>
          <t>Prospectos por semana</t>
        </is>
      </c>
      <c r="I4" s="31" t="inlineStr">
        <is>
          <t>CM por semana</t>
        </is>
      </c>
      <c r="J4" s="31" t="inlineStr">
        <is>
          <t>Realizadas por semana</t>
        </is>
      </c>
      <c r="K4" s="31" t="inlineStr">
        <is>
          <t>Inscripciones por semana</t>
        </is>
      </c>
      <c r="L4" s="31" t="inlineStr">
        <is>
          <t>Inscripciones por mes</t>
        </is>
      </c>
      <c r="M4" s="31" t="inlineStr">
        <is>
          <t>Gasto por mes</t>
        </is>
      </c>
      <c r="N4" s="31" t="inlineStr">
        <is>
          <t>Costo por inscripción</t>
        </is>
      </c>
      <c r="O4" s="4" t="inlineStr">
        <is>
          <t>Supuestos</t>
        </is>
      </c>
    </row>
    <row r="5" ht="30" customHeight="1">
      <c r="A5" s="6" t="inlineStr">
        <is>
          <t>A. Ritmo actual de octubre</t>
        </is>
      </c>
      <c r="B5" s="13">
        <v>135.3</v>
      </c>
      <c r="C5" s="13">
        <v>0.844</v>
      </c>
      <c r="D5" s="15">
        <v>0.12</v>
      </c>
      <c r="E5" s="15">
        <v>0.697</v>
      </c>
      <c r="F5" s="15">
        <v>0.522</v>
      </c>
      <c r="G5" s="16">
        <v>1152.19</v>
      </c>
      <c r="H5" s="18">
        <f>B5*C5</f>
        <v>114.25486725663716</v>
      </c>
      <c r="I5" s="18">
        <f>H5*D5</f>
        <v>13.710584070796457</v>
      </c>
      <c r="J5" s="18">
        <f>I5*E5</f>
        <v>9.55627709734513</v>
      </c>
      <c r="K5" s="18">
        <f>J5*F5</f>
        <v>4.988376644814158</v>
      </c>
      <c r="L5" s="18">
        <f>K5*$M$3</f>
        <v>21.616298794194684</v>
      </c>
      <c r="M5" s="19">
        <f>G5*$M$3</f>
        <v>4992.826222222222</v>
      </c>
      <c r="N5" s="19">
        <f>IF(K5=0,"",G5/K5)</f>
        <v>230.9750743990967</v>
      </c>
      <c r="O5" s="7" t="inlineStr">
        <is>
          <t>Prospecto → CM estimado en 12%: es la tasa que reproduce las ~13 CM por semana observadas en octubre. Asistencia y cierre: octubre real.</t>
        </is>
      </c>
    </row>
    <row r="6" ht="30" customHeight="1">
      <c r="A6" s="6" t="inlineStr">
        <is>
          <t>B. Campaña de septiembre</t>
        </is>
      </c>
      <c r="B6" s="13">
        <v>87.9</v>
      </c>
      <c r="C6" s="13">
        <v>0.844</v>
      </c>
      <c r="D6" s="15">
        <v>0.191</v>
      </c>
      <c r="E6" s="15">
        <v>0.736</v>
      </c>
      <c r="F6" s="15">
        <v>0.462</v>
      </c>
      <c r="G6" s="16">
        <v>1088.87</v>
      </c>
      <c r="H6" s="18">
        <f>B6*C6</f>
        <v>74.2</v>
      </c>
      <c r="I6" s="18">
        <f>H6*D6</f>
        <v>14.1722</v>
      </c>
      <c r="J6" s="18">
        <f>I6*E6</f>
        <v>10.4307392</v>
      </c>
      <c r="K6" s="18">
        <f>J6*F6</f>
        <v>4.8190015104</v>
      </c>
      <c r="L6" s="18">
        <f>K6*$M$3</f>
        <v>20.882339878399996</v>
      </c>
      <c r="M6" s="19">
        <f>G6*$M$3</f>
        <v>4718.457851851852</v>
      </c>
      <c r="N6" s="19">
        <f>IF(K6=0,"",G6/K6)</f>
        <v>225.95446101001684</v>
      </c>
      <c r="O6" s="7" t="inlineStr">
        <is>
          <t>Tasas reales de la campaña 21-ago a 4-oct.</t>
        </is>
      </c>
    </row>
    <row r="7" ht="30" customHeight="1">
      <c r="A7" s="6" t="inlineStr">
        <is>
          <t>C. Pauta de octubre + agendamiento de septiembre</t>
        </is>
      </c>
      <c r="B7" s="13">
        <v>135.3</v>
      </c>
      <c r="C7" s="13">
        <v>0.844</v>
      </c>
      <c r="D7" s="15">
        <v>0.191</v>
      </c>
      <c r="E7" s="15">
        <v>0.697</v>
      </c>
      <c r="F7" s="15">
        <v>0.522</v>
      </c>
      <c r="G7" s="16">
        <v>1152.19</v>
      </c>
      <c r="H7" s="18">
        <f>B7*C7</f>
        <v>114.25486725663716</v>
      </c>
      <c r="I7" s="18">
        <f>H7*D7</f>
        <v>21.822679646017697</v>
      </c>
      <c r="J7" s="18">
        <f>I7*E7</f>
        <v>15.210407713274334</v>
      </c>
      <c r="K7" s="18">
        <f>J7*F7</f>
        <v>7.939832826329202</v>
      </c>
      <c r="L7" s="18">
        <f>K7*$M$3</f>
        <v>34.405942247426545</v>
      </c>
      <c r="M7" s="19">
        <f>G7*$M$3</f>
        <v>4992.826222222222</v>
      </c>
      <c r="N7" s="19">
        <f>IF(K7=0,"",G7/K7)</f>
        <v>145.11522998896126</v>
      </c>
      <c r="O7" s="7" t="inlineStr">
        <is>
          <t>Mismo gasto que octubre, recuperando el 19.1% de agendamiento que ya se logró en septiembre.</t>
        </is>
      </c>
    </row>
    <row r="8" ht="30" customHeight="1">
      <c r="A8" s="6" t="inlineStr">
        <is>
          <t>D. Metas propuestas</t>
        </is>
      </c>
      <c r="B8" s="13">
        <v>135.3</v>
      </c>
      <c r="C8" s="13">
        <v>0.844</v>
      </c>
      <c r="D8" s="15">
        <v>0.2</v>
      </c>
      <c r="E8" s="15">
        <v>0.75</v>
      </c>
      <c r="F8" s="15">
        <v>0.5</v>
      </c>
      <c r="G8" s="16">
        <v>1152.19</v>
      </c>
      <c r="H8" s="18">
        <f>B8*C8</f>
        <v>114.25486725663716</v>
      </c>
      <c r="I8" s="18">
        <f>H8*D8</f>
        <v>22.850973451327434</v>
      </c>
      <c r="J8" s="18">
        <f>I8*E8</f>
        <v>17.138230088495575</v>
      </c>
      <c r="K8" s="18">
        <f>J8*F8</f>
        <v>8.569115044247788</v>
      </c>
      <c r="L8" s="18">
        <f>K8*$M$3</f>
        <v>37.13283185840708</v>
      </c>
      <c r="M8" s="19">
        <f>G8*$M$3</f>
        <v>4992.826222222222</v>
      </c>
      <c r="N8" s="19">
        <f>IF(K8=0,"",G8/K8)</f>
        <v>134.4585363502735</v>
      </c>
      <c r="O8" s="7" t="inlineStr">
        <is>
          <t>Mismo gasto que octubre con las metas propuestas del tablero (20% / 75% / 50%).</t>
        </is>
      </c>
    </row>
    <row r="10" ht="30" customHeight="1">
      <c r="A10" s="33" t="inlineStr">
        <is>
          <t>Lectura: con el mismo gasto que hoy (A vs. C), recuperar el agendamiento de septiembre sube las inscripciones de ~22 a ~34 al mes. Ninguna mejora de pauta da ese efecto.</t>
        </is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2">
      <c r="A12" s="3" t="inlineStr">
        <is>
          <t>Proyección mensual nov-2026 a mar-2027 (escenario elegido)</t>
        </is>
      </c>
    </row>
    <row r="13">
      <c r="A13" s="6" t="inlineStr">
        <is>
          <t>Escenario elegido (lista en A19):</t>
        </is>
      </c>
    </row>
    <row r="14">
      <c r="A14" s="7" t="inlineStr">
        <is>
          <t>El factor de temporada queda en 1.0 porque no hay datos de temporada con pauta. Ajustarlo cuando existan.</t>
        </is>
      </c>
      <c r="B14" s="7"/>
      <c r="C14" s="7"/>
      <c r="D14" s="7"/>
      <c r="E14" s="7"/>
      <c r="F14" s="7"/>
      <c r="G14" s="7"/>
      <c r="H14" s="7"/>
    </row>
    <row r="18" ht="32" customHeight="1">
      <c r="A18" s="4" t="inlineStr">
        <is>
          <t>Escenario</t>
        </is>
      </c>
      <c r="B18" s="4" t="inlineStr">
        <is>
          <t>Mes</t>
        </is>
      </c>
      <c r="C18" s="4" t="inlineStr">
        <is>
          <t>Semanas del mes</t>
        </is>
      </c>
      <c r="D18" s="4" t="inlineStr">
        <is>
          <t>Factor de temporada</t>
        </is>
      </c>
      <c r="E18" s="4" t="inlineStr">
        <is>
          <t>Inscripciones por semana</t>
        </is>
      </c>
      <c r="F18" s="4" t="inlineStr">
        <is>
          <t>Inscripciones esperadas</t>
        </is>
      </c>
      <c r="G18" s="4" t="inlineStr">
        <is>
          <t>Gasto esperado</t>
        </is>
      </c>
      <c r="H18" s="4" t="inlineStr">
        <is>
          <t>Lugares libres hoy (referencia)</t>
        </is>
      </c>
      <c r="I18" s="4" t="inlineStr">
        <is>
          <t>Notas del calendario</t>
        </is>
      </c>
    </row>
    <row r="19">
      <c r="A19" s="34" t="inlineStr">
        <is>
          <t>C. Pauta de octubre + agendamiento de septiembre</t>
        </is>
      </c>
    </row>
    <row r="20">
      <c r="A20" s="5"/>
      <c r="B20" s="6" t="inlineStr">
        <is>
          <t>nov-26</t>
        </is>
      </c>
      <c r="C20" s="13">
        <v>4.29</v>
      </c>
      <c r="D20" s="13">
        <v>1.0</v>
      </c>
      <c r="E20" s="18">
        <f>INDEX($K$5:$K$8,MATCH($A$19,$A$5:$A$8,0))</f>
        <v>7.939832826329202</v>
      </c>
      <c r="F20" s="18">
        <f>E20*C20*D20</f>
        <v>34.02785496998229</v>
      </c>
      <c r="G20" s="19">
        <f>INDEX($G$5:$G$8,MATCH($A$19,$A$5:$A$8,0))*C20</f>
        <v>4937.96</v>
      </c>
      <c r="H20" s="14">
        <v>147</v>
      </c>
      <c r="I20" s="7" t="inlineStr">
        <is>
          <t>Fin de campaña Meta de octubre: 2-nov. Buen Fin 13-17 nov. Asueto 16-nov.</t>
        </is>
      </c>
    </row>
    <row r="21">
      <c r="A21" s="5"/>
      <c r="B21" s="6" t="inlineStr">
        <is>
          <t>dic-26</t>
        </is>
      </c>
      <c r="C21" s="13">
        <v>4.43</v>
      </c>
      <c r="D21" s="13">
        <v>1.0</v>
      </c>
      <c r="E21" s="18">
        <f>INDEX($K$5:$K$8,MATCH($A$19,$A$5:$A$8,0))</f>
        <v>7.939832826329202</v>
      </c>
      <c r="F21" s="18">
        <f>E21*C21*D21</f>
        <v>35.16211680231504</v>
      </c>
      <c r="G21" s="19">
        <f>INDEX($G$5:$G$8,MATCH($A$19,$A$5:$A$8,0))*C21</f>
        <v>5102.558666666667</v>
      </c>
      <c r="H21" s="5"/>
      <c r="I21" s="7" t="inlineStr">
        <is>
          <t>Vacaciones SEP desde 21-dic.</t>
        </is>
      </c>
    </row>
    <row r="22">
      <c r="A22" s="5"/>
      <c r="B22" s="6" t="inlineStr">
        <is>
          <t>ene-27</t>
        </is>
      </c>
      <c r="C22" s="13">
        <v>4.43</v>
      </c>
      <c r="D22" s="13">
        <v>1.0</v>
      </c>
      <c r="E22" s="18">
        <f>INDEX($K$5:$K$8,MATCH($A$19,$A$5:$A$8,0))</f>
        <v>7.939832826329202</v>
      </c>
      <c r="F22" s="18">
        <f>E22*C22*D22</f>
        <v>35.16211680231504</v>
      </c>
      <c r="G22" s="19">
        <f>INDEX($G$5:$G$8,MATCH($A$19,$A$5:$A$8,0))*C22</f>
        <v>5102.558666666667</v>
      </c>
      <c r="H22" s="5"/>
      <c r="I22" s="7" t="inlineStr">
        <is>
          <t>Vacaciones SEP hasta 6-ene. Regreso a clases.</t>
        </is>
      </c>
    </row>
    <row r="23">
      <c r="A23" s="5"/>
      <c r="B23" s="6" t="inlineStr">
        <is>
          <t>feb-27</t>
        </is>
      </c>
      <c r="C23" s="13">
        <v>4.0</v>
      </c>
      <c r="D23" s="13">
        <v>1.0</v>
      </c>
      <c r="E23" s="18">
        <f>INDEX($K$5:$K$8,MATCH($A$19,$A$5:$A$8,0))</f>
        <v>7.939832826329202</v>
      </c>
      <c r="F23" s="18">
        <f>E23*C23*D23</f>
        <v>31.75933130531681</v>
      </c>
      <c r="G23" s="19">
        <f>INDEX($G$5:$G$8,MATCH($A$19,$A$5:$A$8,0))*C23</f>
        <v>4608.7626666666665</v>
      </c>
      <c r="H23" s="5"/>
      <c r="I23" s="7" t="inlineStr">
        <is>
          <t>Asueto 1-feb.</t>
        </is>
      </c>
    </row>
    <row r="24">
      <c r="A24" s="5"/>
      <c r="B24" s="6" t="inlineStr">
        <is>
          <t>mar-27</t>
        </is>
      </c>
      <c r="C24" s="13">
        <v>4.43</v>
      </c>
      <c r="D24" s="13">
        <v>1.0</v>
      </c>
      <c r="E24" s="18">
        <f>INDEX($K$5:$K$8,MATCH($A$19,$A$5:$A$8,0))</f>
        <v>7.939832826329202</v>
      </c>
      <c r="F24" s="18">
        <f>E24*C24*D24</f>
        <v>35.16211680231504</v>
      </c>
      <c r="G24" s="19">
        <f>INDEX($G$5:$G$8,MATCH($A$19,$A$5:$A$8,0))*C24</f>
        <v>5102.558666666667</v>
      </c>
      <c r="H24" s="5"/>
      <c r="I24" s="7" t="inlineStr">
        <is>
          <t>Asueto 15-mar. Vacaciones de Semana Santa 22-mar a 2-abr.</t>
        </is>
      </c>
    </row>
    <row r="25">
      <c r="B25" s="24" t="inlineStr">
        <is>
          <t>Total</t>
        </is>
      </c>
      <c r="F25" s="26">
        <f>SUM(F20:F24)</f>
        <v>171.2735366822442</v>
      </c>
      <c r="G25" s="35">
        <f>SUM(G20:G24)</f>
        <v>24854.398666666668</v>
      </c>
    </row>
    <row r="26" ht="30" customHeight="1">
      <c r="A26" s="7" t="inlineStr">
        <is>
          <t>Lugares libres hoy: 147 en 23 grupos con dato (PDF de horarios sin fecha). En la tarde de Kids/Junior quedan 6. Si el escenario supera los lugares en el horario que piden las familias, hay que abrir grupo (mínimo 3 alumnos).</t>
        </is>
      </c>
      <c r="B26" s="7"/>
      <c r="C26" s="7"/>
      <c r="D26" s="7"/>
      <c r="E26" s="7"/>
      <c r="F26" s="7"/>
      <c r="G26" s="7"/>
      <c r="H26" s="7"/>
      <c r="I26" s="7"/>
    </row>
    <row r="27">
      <c r="A27" s="7" t="inlineStr">
        <is>
          <t>Fechas: calendario escolar SEP 2026-2027 (vacaciones de invierno 21-dic a 6-ene; Semana Santa 22-mar a 2-abr) y Buen Fin 2026 (13 al 17 de noviembre), según publicaciones de prensa nacional de 2026.</t>
        </is>
      </c>
      <c r="B27" s="7"/>
      <c r="C27" s="7"/>
      <c r="D27" s="7"/>
      <c r="E27" s="7"/>
      <c r="F27" s="7"/>
      <c r="G27" s="7"/>
      <c r="H27" s="7"/>
      <c r="I27" s="7"/>
    </row>
  </sheetData>
  <mergeCells count="4">
    <mergeCell ref="A10:O10"/>
    <mergeCell ref="A14:H14"/>
    <mergeCell ref="A26:I26"/>
    <mergeCell ref="A27:I27"/>
  </mergeCells>
  <dataValidations count="1">
    <dataValidation type="list" allowBlank="1" showErrorMessage="1" errorStyle="warning" errorTitle="Valor fuera de catálogo" error="Usa un valor de la lista para que el tablero lo cuente." showInputMessage="1" promptTitle="Selecciona" prompt="Elige el escenario para la proyección mensual" sqref="A19">
      <formula1>$A$5:$A$8</formula1>
    </dataValidation>
  </dataValidations>
  <pageMargins left="0.5" right="0.5" top="0.6" bottom="0.6" header="0.3" footer="0.3"/>
  <pageSetup orientation="landscape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F7F7F"/>
  </sheetPr>
  <dimension ref="A1:F11"/>
  <sheetViews>
    <sheetView workbookViewId="0" zoomScale="100"/>
  </sheetViews>
  <sheetFormatPr defaultRowHeight="15"/>
  <cols>
    <col min="1" max="1" width="4" customWidth="1"/>
    <col min="2" max="2" width="26" customWidth="1"/>
    <col min="3" max="3" width="60" customWidth="1"/>
    <col min="4" max="4" width="60" customWidth="1"/>
    <col min="5" max="5" width="16" customWidth="1"/>
    <col min="6" max="6" width="14" customWidth="1"/>
  </cols>
  <sheetData>
    <row r="1">
      <c r="A1" s="1" t="inlineStr">
        <is>
          <t>Puntos a revisar con Finanzas antes de autorizar o modificar el presupuesto</t>
        </is>
      </c>
    </row>
    <row r="3">
      <c r="A3" s="4" t="inlineStr">
        <is>
          <t>#</t>
        </is>
      </c>
      <c r="B3" s="4" t="inlineStr">
        <is>
          <t>Tema</t>
        </is>
      </c>
      <c r="C3" s="4" t="inlineStr">
        <is>
          <t>Pregunta concreta</t>
        </is>
      </c>
      <c r="D3" s="4" t="inlineStr">
        <is>
          <t>Por qué importa</t>
        </is>
      </c>
      <c r="E3" s="4" t="inlineStr">
        <is>
          <t>Responsable</t>
        </is>
      </c>
      <c r="F3" s="4" t="inlineStr">
        <is>
          <t>Estatus</t>
        </is>
      </c>
    </row>
    <row r="4" ht="34" customHeight="1">
      <c r="A4" s="5">
        <v>1</v>
      </c>
      <c r="B4" s="6" t="inlineStr">
        <is>
          <t>Costos fijos</t>
        </is>
      </c>
      <c r="C4" s="5" t="inlineStr">
        <is>
          <t>¿Cuál es el costo fijo mensual (renta, servicios, administración, nómina no docente)?</t>
        </is>
      </c>
      <c r="D4" s="7" t="inlineStr">
        <is>
          <t>Sin él no se conoce el punto de equilibrio por grupo ni la utilidad por alumno.</t>
        </is>
      </c>
      <c r="E4" s="5" t="inlineStr">
        <is>
          <t>Finanzas</t>
        </is>
      </c>
      <c r="F4" s="36" t="inlineStr">
        <is>
          <t>Pendiente</t>
        </is>
      </c>
    </row>
    <row r="5" ht="34" customHeight="1">
      <c r="A5" s="5">
        <v>2</v>
      </c>
      <c r="B5" s="6" t="inlineStr">
        <is>
          <t>Presupuesto de pauta nov-mar</t>
        </is>
      </c>
      <c r="C5" s="5" t="inlineStr">
        <is>
          <t>¿Qué monto mensual está aprobado? ¿Se puede sostener ~$4,700-5,000 por mes?</t>
        </is>
      </c>
      <c r="D5" s="7" t="inlineStr">
        <is>
          <t>La propuesta es mantener el gasto diario actual; Finanzas confirma si cabe en flujo.</t>
        </is>
      </c>
      <c r="E5" s="5" t="inlineStr">
        <is>
          <t>Finanzas</t>
        </is>
      </c>
      <c r="F5" s="36" t="inlineStr">
        <is>
          <t>Pendiente</t>
        </is>
      </c>
    </row>
    <row r="6" ht="34" customHeight="1">
      <c r="A6" s="5">
        <v>3</v>
      </c>
      <c r="B6" s="6" t="inlineStr">
        <is>
          <t>IVA y forma de pago</t>
        </is>
      </c>
      <c r="C6" s="5" t="inlineStr">
        <is>
          <t>¿El monto de Meta incluye IVA? ¿Con qué tarjeta y fecha de corte se paga?</t>
        </is>
      </c>
      <c r="D6" s="7" t="inlineStr">
        <is>
          <t>Para que el costo por inscripción use el costo real.</t>
        </is>
      </c>
      <c r="E6" s="5" t="inlineStr">
        <is>
          <t>Finanzas</t>
        </is>
      </c>
      <c r="F6" s="36" t="inlineStr">
        <is>
          <t>Pendiente</t>
        </is>
      </c>
    </row>
    <row r="7" ht="34" customHeight="1">
      <c r="A7" s="5">
        <v>4</v>
      </c>
      <c r="B7" s="6" t="inlineStr">
        <is>
          <t>Política de descuentos</t>
        </is>
      </c>
      <c r="C7" s="5" t="inlineStr">
        <is>
          <t>¿Qué descuentos existen (hermanos, pago anticipado, una clase, becas), cuánto son y quién los autoriza? ¿Qué explica los pagos de $200?</t>
        </is>
      </c>
      <c r="D7" s="7" t="inlineStr">
        <is>
          <t>La mensualidad promedio cobrada es 87% del precio de lista: unos $12,000 al mes por debajo de lista.</t>
        </is>
      </c>
      <c r="E7" s="5" t="inlineStr">
        <is>
          <t>Finanzas</t>
        </is>
      </c>
      <c r="F7" s="36" t="inlineStr">
        <is>
          <t>Pendiente</t>
        </is>
      </c>
    </row>
    <row r="8" ht="34" customHeight="1">
      <c r="A8" s="5">
        <v>5</v>
      </c>
      <c r="B8" s="6" t="inlineStr">
        <is>
          <t>Incentivo de recomendación</t>
        </is>
      </c>
      <c r="C8" s="5" t="inlineStr">
        <is>
          <t>¿Se aprueba un beneficio para quien recomienda (propuesta: $200 de descuento al pagar el referido su segundo mes)?</t>
        </is>
      </c>
      <c r="D8" s="7" t="inlineStr">
        <is>
          <t>El canal de recomendación produce 27 de los 120 activos sin costo de pauta.</t>
        </is>
      </c>
      <c r="E8" s="5" t="inlineStr">
        <is>
          <t>Finanzas</t>
        </is>
      </c>
      <c r="F8" s="36" t="inlineStr">
        <is>
          <t>Pendiente</t>
        </is>
      </c>
    </row>
    <row r="9" ht="34" customHeight="1">
      <c r="A9" s="5">
        <v>6</v>
      </c>
      <c r="B9" s="6" t="inlineStr">
        <is>
          <t>Talleres y clases abiertas</t>
        </is>
      </c>
      <c r="C9" s="5" t="inlineStr">
        <is>
          <t>¿Se aprueba el costo docente de talleres en escuelas y clases abiertas ($200 por sesión de 50 min)?</t>
        </is>
      </c>
      <c r="D9" s="7" t="inlineStr">
        <is>
          <t>Costo directo de las estrategias fuera de redes.</t>
        </is>
      </c>
      <c r="E9" s="5" t="inlineStr">
        <is>
          <t>Finanzas</t>
        </is>
      </c>
      <c r="F9" s="36" t="inlineStr">
        <is>
          <t>Pendiente</t>
        </is>
      </c>
    </row>
    <row r="10" ht="34" customHeight="1">
      <c r="A10" s="5">
        <v>7</v>
      </c>
      <c r="B10" s="6" t="inlineStr">
        <is>
          <t>Cobranza real</t>
        </is>
      </c>
      <c r="C10" s="5" t="inlineStr">
        <is>
          <t>¿Cuánto se cobró realmente en septiembre y octubre frente a lo registrado en la base?</t>
        </is>
      </c>
      <c r="D10" s="7" t="inlineStr">
        <is>
          <t>La base registra mensualidad acordada, no pagada.</t>
        </is>
      </c>
      <c r="E10" s="5" t="inlineStr">
        <is>
          <t>Finanzas</t>
        </is>
      </c>
      <c r="F10" s="36" t="inlineStr">
        <is>
          <t>Pendiente</t>
        </is>
      </c>
    </row>
    <row r="11" ht="34" customHeight="1">
      <c r="A11" s="5">
        <v>8</v>
      </c>
      <c r="B11" s="6" t="inlineStr">
        <is>
          <t>Grupos de 1 a 2 alumnos</t>
        </is>
      </c>
      <c r="C11" s="5" t="inlineStr">
        <is>
          <t>¿Cuánto cuesta realmente cada grupo pequeño (docente, salón)?</t>
        </is>
      </c>
      <c r="D11" s="7" t="inlineStr">
        <is>
          <t>Seis grupos no cubren el costo docente; la decisión de fusionarlos es de Dirección y Académico.</t>
        </is>
      </c>
      <c r="E11" s="5" t="inlineStr">
        <is>
          <t>Finanzas</t>
        </is>
      </c>
      <c r="F11" s="36" t="inlineStr">
        <is>
          <t>Pendiente</t>
        </is>
      </c>
    </row>
  </sheetData>
  <dataValidations count="1">
    <dataValidation type="list" allowBlank="1" showErrorMessage="1" errorStyle="warning" errorTitle="Valor fuera de catálogo" error="Usa un valor de la lista para que el tablero lo cuente." sqref="F4:F11">
      <formula1>"Pendiente,En revisión,Resuelto"</formula1>
    </dataValidation>
  </dataValidation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Kugelman Academy</dc:title>
  <dc:creator>Marketing y Comercial - Kugelman Academy</dc:creator>
  <dcterms:created xsi:type="dcterms:W3CDTF">2026-10-19T18:00:00Z</dcterms:created>
  <dcterms:modified xsi:type="dcterms:W3CDTF">2026-10-19T18:00:00Z</dcterms:modified>
</cp:coreProperties>
</file>