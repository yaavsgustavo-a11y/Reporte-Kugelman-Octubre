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8800" windowHeight="15000" activeTab="0"/>
  </bookViews>
  <sheets>
    <sheet name="Cómo usar" sheetId="1" r:id="rId1"/>
    <sheet name="Prospectos" sheetId="2" r:id="rId2"/>
    <sheet name="Alumnos nuevos" sheetId="3" r:id="rId3"/>
    <sheet name="Bajas" sheetId="4" r:id="rId4"/>
    <sheet name="Ocupacion" sheetId="5" r:id="rId5"/>
    <sheet name="Catalogos" sheetId="6" r:id="rId6"/>
  </sheets>
  <definedNames>
    <definedName name="L_Tipo">Catalogos!$A$2:$A$4</definedName>
    <definedName name="L_Canal">Catalogos!$B$2:$B$19</definedName>
    <definedName name="L_Medio">Catalogos!$C$2:$C$7</definedName>
    <definedName name="L_Programa">Catalogos!$D$2:$D$6</definedName>
    <definedName name="L_Idioma">Catalogos!$E$2:$E$3</definedName>
    <definedName name="L_Horario">Catalogos!$F$2:$F$7</definedName>
    <definedName name="L_Etapa">Catalogos!$G$2:$G$8</definedName>
    <definedName name="L_SiNo">Catalogos!$H$2:$H$4</definedName>
    <definedName name="L_ResultadoCM">Catalogos!$I$2:$I$6</definedName>
    <definedName name="L_Motivo">Catalogos!$J$2:$J$21</definedName>
    <definedName name="L_Accion">Catalogos!$K$2:$K$16</definedName>
    <definedName name="L_Resultado">Catalogos!$L$2:$L$4</definedName>
    <definedName name="L_Perdida">Catalogos!$M$2:$M$16</definedName>
    <definedName name="L_Responsable">Catalogos!$N$2:$N$11</definedName>
    <definedName name="L_MotivoBaja">Catalogos!$O$2:$O$14</definedName>
    <definedName name="L_EstatusBaja">Catalogos!$P$2:$P$6</definedName>
    <definedName name="L_Retorno">Catalogos!$Q$2:$Q$5</definedName>
    <definedName name="L_HorarioBaja">Catalogos!$R$2:$R$7</definedName>
    <definedName name="L_Franja">Catalogos!$S$2:$S$6</definedName>
    <definedName name="_xlnm._FilterDatabase" localSheetId="1" hidden="1">'Prospectos'!$A$1:$AJ$1001</definedName>
    <definedName name="_xlnm._FilterDatabase" localSheetId="2" hidden="1">'Alumnos nuevos'!$A$4:$R$304</definedName>
    <definedName name="_xlnm._FilterDatabase" localSheetId="3" hidden="1">'Bajas'!$A$4:$S$304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dd/mm/yyyy"/>
    <numFmt numFmtId="166" formatCode="mmm-yy"/>
  </numFmts>
  <fonts count="7">
    <font>
      <sz val="10"/>
      <color rgb="FF262626"/>
      <name val="Calibri"/>
      <family val="2"/>
    </font>
    <font>
      <b/>
      <sz val="16"/>
      <color rgb="FF1F3864"/>
      <name val="Calibri"/>
      <family val="2"/>
    </font>
    <font>
      <i/>
      <sz val="10"/>
      <color rgb="FF595959"/>
      <name val="Calibri"/>
      <family val="2"/>
    </font>
    <font>
      <b/>
      <sz val="12"/>
      <color rgb="FF2E75B6"/>
      <name val="Calibri"/>
      <family val="2"/>
    </font>
    <font>
      <b/>
      <sz val="10"/>
      <color rgb="FF262626"/>
      <name val="Calibri"/>
      <family val="2"/>
    </font>
    <font>
      <b/>
      <sz val="10"/>
      <color rgb="FFFFFFFF"/>
      <name val="Calibri"/>
      <family val="2"/>
    </font>
    <font>
      <i/>
      <sz val="10"/>
      <color rgb="FF7F7F7F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top" wrapText="1"/>
    </xf>
    <xf numFmtId="0" fontId="4" fillId="0" borderId="0" xfId="0" applyFont="1" applyAlignment="1">
      <alignment vertical="top" wrapText="1"/>
    </xf>
    <xf numFmtId="0" fontId="5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0" fillId="3" borderId="1" xfId="0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9" fontId="0" fillId="4" borderId="1" xfId="0" applyNumberForma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0" fontId="5" fillId="2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5" fillId="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6" fontId="0" fillId="4" borderId="1" xfId="0" applyNumberForma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8" borderId="1" xfId="0" applyFont="1" applyFill="1" applyBorder="1" applyAlignment="1">
      <alignment vertical="center"/>
    </xf>
    <xf numFmtId="0" fontId="4" fillId="8" borderId="1" xfId="0" applyFont="1" applyFill="1" applyBorder="1" applyAlignment="1">
      <alignment horizontal="center" vertical="center"/>
    </xf>
    <xf numFmtId="9" fontId="4" fillId="8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5" fillId="7" borderId="1" xfId="0" applyFont="1" applyFill="1" applyBorder="1" applyAlignment="1">
      <alignment vertical="center"/>
    </xf>
  </cellXfs>
  <cellStyles count="1">
    <cellStyle name="Normal" xfId="0" builtinId="0"/>
  </cellStyles>
  <dxfs count="9">
    <dxf>
      <font>
        <b/>
        <color rgb="FF9C0006"/>
      </font>
      <fill>
        <patternFill patternType="solid">
          <fgColor rgb="FFF8CBAD"/>
          <bgColor rgb="FFF8CBAD"/>
        </patternFill>
      </fill>
    </dxf>
    <dxf>
      <font>
        <b/>
        <color rgb="FF7F6000"/>
      </font>
      <fill>
        <patternFill patternType="solid">
          <fgColor rgb="FFFFE699"/>
          <bgColor rgb="FFFFE699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E2EFDA"/>
          <bgColor rgb="FFE2EFDA"/>
        </patternFill>
      </fill>
    </dxf>
    <dxf>
      <font>
        <color rgb="FF7F7F7F"/>
      </font>
      <fill>
        <patternFill patternType="solid">
          <fgColor rgb="FFEDEDED"/>
          <bgColor rgb="FFEDEDED"/>
        </patternFill>
      </fill>
    </dxf>
    <dxf>
      <font>
        <b/>
        <color rgb="FF9C0006"/>
      </font>
      <fill>
        <patternFill patternType="solid">
          <fgColor rgb="FFF8CBAD"/>
          <bgColor rgb="FFF8CBAD"/>
        </patternFill>
      </fill>
    </dxf>
    <dxf>
      <font>
        <color rgb="FF7F6000"/>
      </font>
      <fill>
        <patternFill patternType="solid">
          <fgColor rgb="FFFFE699"/>
          <bgColor rgb="FFFFE699"/>
        </patternFill>
      </fill>
    </dxf>
    <dxf>
      <font>
        <color rgb="FF9C0006"/>
      </font>
      <fill>
        <patternFill patternType="solid">
          <fgColor rgb="FFF8CBAD"/>
          <bgColor rgb="FFF8CBAD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</dxfs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1F3864"/>
  </sheetPr>
  <dimension ref="A1:D43"/>
  <sheetViews>
    <sheetView workbookViewId="0" zoomScale="100" showGridLines="0" tabSelected="1"/>
  </sheetViews>
  <sheetFormatPr defaultRowHeight="15"/>
  <cols>
    <col min="1" max="1" width="3" customWidth="1"/>
    <col min="2" max="2" width="30" customWidth="1"/>
    <col min="3" max="3" width="62" customWidth="1"/>
    <col min="4" max="4" width="46" customWidth="1"/>
  </cols>
  <sheetData>
    <row r="1">
      <c r="B1" s="1" t="inlineStr">
        <is>
          <t>Sistema de seguimiento del embudo comercial</t>
        </is>
      </c>
    </row>
    <row r="2">
      <c r="B2" s="2" t="inlineStr">
        <is>
          <t>Kugelman Academy · Marketing y Comercial · versión 2, corte 23 de octubre de 2026</t>
        </is>
      </c>
    </row>
    <row r="4">
      <c r="B4" s="3" t="inlineStr">
        <is>
          <t>Para qué sirve</t>
        </is>
      </c>
    </row>
    <row r="5" ht="48" customHeight="1">
      <c r="B5" s="4" t="inlineStr">
        <is>
          <t>Registrar a cada prospecto desde el primer mensaje hasta que se inscribe o se descarta, y a cada alumno nuevo durante sus primeros 60 días. Hoy la información vive en cuatro archivos que no se pueden cruzar (CRM de leads, control de clases muestra, base de alumnos y registro de deserción). Este libro los une con una sola regla: una fila por persona y el teléfono como llave.</t>
        </is>
      </c>
      <c r="C5" s="4"/>
      <c r="D5" s="4"/>
    </row>
    <row r="7">
      <c r="B7" s="3" t="inlineStr">
        <is>
          <t>Reglas de captura (obligatorias)</t>
        </is>
      </c>
    </row>
    <row r="8" ht="32" customHeight="1">
      <c r="B8" s="8" t="inlineStr">
        <is>
          <t>1. Una fila por persona</t>
        </is>
      </c>
      <c r="C8" s="7" t="inlineStr">
        <is>
          <t>Si una mamá inscribe a dos hijos, son dos filas con el mismo teléfono. Nunca se borra una fila: si se pierde, se marca "Perdido" con su motivo.</t>
        </is>
      </c>
      <c r="D8" s="7"/>
    </row>
    <row r="9" ht="32" customHeight="1">
      <c r="B9" s="8" t="inlineStr">
        <is>
          <t>2. Teléfono a 10 dígitos</t>
        </is>
      </c>
      <c r="C9" s="7" t="inlineStr">
        <is>
          <t>Sin espacios ni guiones. Es lo que une este registro con la base de alumnos. En septiembre, 49.5% de los leads del CRM no tenía teléfono.</t>
        </is>
      </c>
      <c r="D9" s="7"/>
    </row>
    <row r="10" ht="32" customHeight="1">
      <c r="B10" s="8" t="inlineStr">
        <is>
          <t>3. Canal de origen ≠ medio de contacto</t>
        </is>
      </c>
      <c r="C10" s="7" t="inlineStr">
        <is>
          <t>Canal = dónde nos conoció (Facebook, recomendación, escuela...). Medio = por dónde escribió (WhatsApp, Messenger...). Un anuncio de Facebook que abre WhatsApp se registra como canal "Facebook" y medio "WhatsApp".</t>
        </is>
      </c>
      <c r="D10" s="7"/>
    </row>
    <row r="11" ht="32" customHeight="1">
      <c r="B11" s="8" t="inlineStr">
        <is>
          <t>4. Toda fila abierta lleva siguiente acción y fecha</t>
        </is>
      </c>
      <c r="C11" s="7" t="inlineStr">
        <is>
          <t>Si la columna "Alerta" dice "Sin siguiente acción" o "Vencido", ese prospecto no se está trabajando.</t>
        </is>
      </c>
      <c r="D11" s="7"/>
    </row>
    <row r="12" ht="32" customHeight="1">
      <c r="B12" s="8" t="inlineStr">
        <is>
          <t>5. Usar solo los valores de las listas</t>
        </is>
      </c>
      <c r="C12" s="7" t="inlineStr">
        <is>
          <t>Las listas desplegables existen para que el tablero cuente bien. Si falta una opción, se agrega en la hoja Catalogos con acuerdo del equipo.</t>
        </is>
      </c>
      <c r="D12" s="7"/>
    </row>
    <row r="13" ht="32" customHeight="1">
      <c r="B13" s="8" t="inlineStr">
        <is>
          <t>6. Registrar el mismo día</t>
        </is>
      </c>
      <c r="C13" s="7" t="inlineStr">
        <is>
          <t>Cada conversación, confirmación y resultado de clase muestra se captura el día que ocurre.</t>
        </is>
      </c>
      <c r="D13" s="7"/>
    </row>
    <row r="15">
      <c r="B15" s="3" t="inlineStr">
        <is>
          <t>Etapas del prospecto</t>
        </is>
      </c>
    </row>
    <row r="16">
      <c r="B16" s="6" t="inlineStr">
        <is>
          <t>Etapa</t>
        </is>
      </c>
      <c r="C16" s="6" t="inlineStr">
        <is>
          <t>Cuándo se usa</t>
        </is>
      </c>
      <c r="D16" s="6" t="inlineStr">
        <is>
          <t>Qué debe estar lleno</t>
        </is>
      </c>
    </row>
    <row r="17" ht="30" customHeight="1">
      <c r="B17" s="8" t="inlineStr">
        <is>
          <t>1. Nuevo (sin respuesta)</t>
        </is>
      </c>
      <c r="C17" s="7" t="inlineStr">
        <is>
          <t>Escribió o llamó y todavía no le respondemos.</t>
        </is>
      </c>
      <c r="D17" s="7" t="inlineStr">
        <is>
          <t>Fecha primer contacto, canal, medio, teléfono si lo dio.</t>
        </is>
      </c>
    </row>
    <row r="18" ht="30" customHeight="1">
      <c r="B18" s="8" t="inlineStr">
        <is>
          <t>2. En conversación</t>
        </is>
      </c>
      <c r="C18" s="7" t="inlineStr">
        <is>
          <t>Ya le respondimos, todavía no agenda. También aplica si no asistió y hay que reagendar.</t>
        </is>
      </c>
      <c r="D18" s="7" t="inlineStr">
        <is>
          <t>Programa, edad, horario preferido, siguiente acción y fecha.</t>
        </is>
      </c>
    </row>
    <row r="19" ht="30" customHeight="1">
      <c r="B19" s="8" t="inlineStr">
        <is>
          <t>3. CM agendada</t>
        </is>
      </c>
      <c r="C19" s="7" t="inlineStr">
        <is>
          <t>Tiene fecha y hora de clase muestra.</t>
        </is>
      </c>
      <c r="D19" s="7" t="inlineStr">
        <is>
          <t>Fecha CM, hora CM, grupo ofrecido.</t>
        </is>
      </c>
    </row>
    <row r="20" ht="30" customHeight="1">
      <c r="B20" s="8" t="inlineStr">
        <is>
          <t>4. CM confirmada</t>
        </is>
      </c>
      <c r="C20" s="7" t="inlineStr">
        <is>
          <t>Confirmó asistencia un día antes o el mismo día.</t>
        </is>
      </c>
      <c r="D20" s="7" t="inlineStr">
        <is>
          <t>CM confirmada = Sí.</t>
        </is>
      </c>
    </row>
    <row r="21" ht="30" customHeight="1">
      <c r="B21" s="8" t="inlineStr">
        <is>
          <t>5. CM realizada (en decisión)</t>
        </is>
      </c>
      <c r="C21" s="7" t="inlineStr">
        <is>
          <t>Asistió y aún no paga.</t>
        </is>
      </c>
      <c r="D21" s="7" t="inlineStr">
        <is>
          <t>Resultado CM = Asistió, motivo si no se inscribió, siguiente acción.</t>
        </is>
      </c>
    </row>
    <row r="22" ht="30" customHeight="1">
      <c r="B22" s="8" t="inlineStr">
        <is>
          <t>6. Inscrito (pagó 1er mes)</t>
        </is>
      </c>
      <c r="C22" s="7" t="inlineStr">
        <is>
          <t>Pagó la primera mensualidad (la academia no cobra inscripción).</t>
        </is>
      </c>
      <c r="D22" s="7" t="inlineStr">
        <is>
          <t>Fecha de inscripción, mensualidad acordada, resultado final = Inscrito.</t>
        </is>
      </c>
    </row>
    <row r="23" ht="30" customHeight="1">
      <c r="B23" s="8" t="inlineStr">
        <is>
          <t>7. Perdido / descartado</t>
        </is>
      </c>
      <c r="C23" s="7" t="inlineStr">
        <is>
          <t>Dijo que no, o 3 intentos de contacto sin respuesta.</t>
        </is>
      </c>
      <c r="D23" s="7" t="inlineStr">
        <is>
          <t>Resultado final = Perdido y motivo de pérdida.</t>
        </is>
      </c>
    </row>
    <row r="25">
      <c r="B25" s="3" t="inlineStr">
        <is>
          <t>Rutina diaria sugerida</t>
        </is>
      </c>
    </row>
    <row r="26" ht="30" customHeight="1">
      <c r="B26" s="8" t="inlineStr">
        <is>
          <t>Al iniciar el día</t>
        </is>
      </c>
      <c r="C26" s="7" t="inlineStr">
        <is>
          <t>Filtrar "Alerta de seguimiento" = Vencido y Hoy. Esa es la lista de trabajo.</t>
        </is>
      </c>
      <c r="D26" s="7"/>
    </row>
    <row r="27" ht="30" customHeight="1">
      <c r="B27" s="8" t="inlineStr">
        <is>
          <t>Durante el día</t>
        </is>
      </c>
      <c r="C27" s="7" t="inlineStr">
        <is>
          <t>Registrar cada conversación nueva. Proponer dos horarios concretos de clase muestra, empezando por los grupos con lugares libres (hoja Ocupacion).</t>
        </is>
      </c>
      <c r="D27" s="7"/>
    </row>
    <row r="28" ht="30" customHeight="1">
      <c r="B28" s="8" t="inlineStr">
        <is>
          <t>Un día antes de cada CM</t>
        </is>
      </c>
      <c r="C28" s="7" t="inlineStr">
        <is>
          <t>Confirmar y marcar "CM confirmada". Si no responde, segundo intento el mismo día de la clase.</t>
        </is>
      </c>
      <c r="D28" s="7"/>
    </row>
    <row r="29" ht="30" customHeight="1">
      <c r="B29" s="8" t="inlineStr">
        <is>
          <t>Después de cada CM</t>
        </is>
      </c>
      <c r="C29" s="7" t="inlineStr">
        <is>
          <t>Registrar resultado y motivo en menos de 24 horas. Si no se inscribió: siguiente acción "Llamada de cierre" con fecha.</t>
        </is>
      </c>
      <c r="D29" s="7"/>
    </row>
    <row r="30" ht="30" customHeight="1">
      <c r="B30" s="8" t="inlineStr">
        <is>
          <t>Alumnos nuevos</t>
        </is>
      </c>
      <c r="C30" s="7" t="inlineStr">
        <is>
          <t>Hacer check-in en la semana 1 y la semana 3 (hoja Alumnos nuevos). En octubre, 4 de las 9 bajas fueron de alumnos con menos de 17 días.</t>
        </is>
      </c>
      <c r="D30" s="7"/>
    </row>
    <row r="31" ht="30" customHeight="1">
      <c r="B31" s="8" t="inlineStr">
        <is>
          <t>Cada lunes</t>
        </is>
      </c>
      <c r="C31" s="7" t="inlineStr">
        <is>
          <t>Copiar las hojas Prospectos y Bajas al Tablero de indicadores (Entregable 3) y revisar la semana.</t>
        </is>
      </c>
      <c r="D31" s="7"/>
    </row>
    <row r="33">
      <c r="B33" s="3" t="inlineStr">
        <is>
          <t>Datos precargados</t>
        </is>
      </c>
    </row>
    <row r="34" ht="44" customHeight="1">
      <c r="B34" s="8" t="inlineStr">
        <is>
          <t>Prospectos</t>
        </is>
      </c>
      <c r="C34" s="7" t="inlineStr">
        <is>
          <t>Control de clases muestra al 23-oct: registros de octubre y la agenda de noviembre, más una asistente que solo aparece en la encuesta (Mía Vázquez). El control no registraba fecha de primer contacto ni confirmación: esas columnas quedan vacías y así se reflejará en el tablero hasta que se capturen.</t>
        </is>
      </c>
      <c r="D34" s="7"/>
    </row>
    <row r="35" ht="44" customHeight="1">
      <c r="B35" s="8" t="inlineStr">
        <is>
          <t>Alumnos nuevos</t>
        </is>
      </c>
      <c r="C35" s="7" t="inlineStr">
        <is>
          <t>Altas de septiembre y octubre de 2026 tomadas de la base de alumnos del 19 de octubre, con las bajas del registro de deserción.</t>
        </is>
      </c>
      <c r="D35" s="7"/>
    </row>
    <row r="36" ht="44" customHeight="1">
      <c r="B36" s="8" t="inlineStr">
        <is>
          <t>Bajas</t>
        </is>
      </c>
      <c r="C36" s="7" t="inlineStr">
        <is>
          <t>Los 9 casos del registro de deserción (1 al 16 de octubre), con mensualidad tomada de la base de alumnos.</t>
        </is>
      </c>
      <c r="D36" s="7"/>
    </row>
    <row r="37" ht="44" customHeight="1">
      <c r="B37" s="8" t="inlineStr">
        <is>
          <t>Ocupacion</t>
        </is>
      </c>
      <c r="C37" s="7" t="inlineStr">
        <is>
          <t>Grupos y número de alumnos del PDF de horarios. El PDF no tiene fecha y no indica con claridad el día de cada grupo: Administración debe validar.</t>
        </is>
      </c>
      <c r="D37" s="7"/>
    </row>
    <row r="39">
      <c r="B39" s="3" t="inlineStr">
        <is>
          <t>Colores</t>
        </is>
      </c>
    </row>
    <row r="40">
      <c r="B40" s="17" t="inlineStr">
        <is>
          <t>Encabezado azul</t>
        </is>
      </c>
      <c r="C40" s="7" t="inlineStr">
        <is>
          <t>Columna de captura.</t>
        </is>
      </c>
      <c r="D40" s="7"/>
    </row>
    <row r="41">
      <c r="B41" s="18" t="inlineStr">
        <is>
          <t>Encabezado gris</t>
        </is>
      </c>
      <c r="C41" s="7" t="inlineStr">
        <is>
          <t>Columna calculada con fórmula. No escribir encima.</t>
        </is>
      </c>
      <c r="D41" s="7"/>
    </row>
    <row r="42">
      <c r="B42" s="9" t="inlineStr">
        <is>
          <t>Celda amarilla</t>
        </is>
      </c>
      <c r="C42" s="7" t="inlineStr">
        <is>
          <t>Supuesto o dato editable.</t>
        </is>
      </c>
      <c r="D42" s="7"/>
    </row>
    <row r="43">
      <c r="B43" s="19" t="inlineStr">
        <is>
          <t>Fila verde / gris</t>
        </is>
      </c>
      <c r="C43" s="7" t="inlineStr">
        <is>
          <t>Prospecto inscrito / perdido.</t>
        </is>
      </c>
      <c r="D43" s="7"/>
    </row>
  </sheetData>
  <mergeCells count="21">
    <mergeCell ref="B5:D5"/>
    <mergeCell ref="C8:D8"/>
    <mergeCell ref="C9:D9"/>
    <mergeCell ref="C10:D10"/>
    <mergeCell ref="C11:D11"/>
    <mergeCell ref="C12:D12"/>
    <mergeCell ref="C13:D13"/>
    <mergeCell ref="C26:D26"/>
    <mergeCell ref="C27:D27"/>
    <mergeCell ref="C28:D28"/>
    <mergeCell ref="C29:D29"/>
    <mergeCell ref="C30:D30"/>
    <mergeCell ref="C31:D31"/>
    <mergeCell ref="C34:D34"/>
    <mergeCell ref="C35:D35"/>
    <mergeCell ref="C36:D36"/>
    <mergeCell ref="C37:D37"/>
    <mergeCell ref="C40:D40"/>
    <mergeCell ref="C41:D41"/>
    <mergeCell ref="C42:D42"/>
    <mergeCell ref="C43:D43"/>
  </mergeCells>
  <pageMargins left="0.5" right="0.5" top="0.6" bottom="0.6" header="0.3" footer="0.3"/>
  <pageSetup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2E75B6"/>
  </sheetPr>
  <dimension ref="A1:AJ1001"/>
  <sheetViews>
    <sheetView workbookViewId="0" zoomScale="100">
      <pane xSplit="4" ySplit="1" topLeftCell="E2" activePane="bottomRight" state="frozen"/>
      <selection pane="bottomRight" activeCell="E2" sqref="E2"/>
    </sheetView>
  </sheetViews>
  <sheetFormatPr defaultRowHeight="15"/>
  <cols>
    <col min="1" max="1" width="10" customWidth="1"/>
    <col min="2" max="2" width="12" customWidth="1"/>
    <col min="3" max="3" width="18" customWidth="1"/>
    <col min="4" max="4" width="28" customWidth="1"/>
    <col min="5" max="5" width="14" customWidth="1"/>
    <col min="6" max="6" width="20" customWidth="1"/>
    <col min="7" max="7" width="18" customWidth="1"/>
    <col min="8" max="8" width="20" customWidth="1"/>
    <col min="9" max="9" width="14" customWidth="1"/>
    <col min="10" max="10" width="13" customWidth="1"/>
    <col min="11" max="11" width="6" customWidth="1"/>
    <col min="12" max="12" width="9" customWidth="1"/>
    <col min="13" max="13" width="16" customWidth="1"/>
    <col min="14" max="14" width="14" customWidth="1"/>
    <col min="15" max="15" width="24" customWidth="1"/>
    <col min="16" max="16" width="11" customWidth="1"/>
    <col min="17" max="17" width="9" customWidth="1"/>
    <col min="18" max="18" width="14" customWidth="1"/>
    <col min="19" max="19" width="11" customWidth="1"/>
    <col min="20" max="20" width="13" customWidth="1"/>
    <col min="21" max="21" width="34" customWidth="1"/>
    <col min="22" max="22" width="13" customWidth="1"/>
    <col min="23" max="23" width="11" customWidth="1"/>
    <col min="24" max="24" width="12" customWidth="1"/>
    <col min="25" max="25" width="11" customWidth="1"/>
    <col min="26" max="26" width="11" customWidth="1"/>
    <col min="27" max="27" width="24" customWidth="1"/>
    <col min="28" max="28" width="12" customWidth="1"/>
    <col min="29" max="29" width="11" customWidth="1"/>
    <col min="30" max="30" width="26" customWidth="1"/>
    <col min="31" max="31" width="48" customWidth="1"/>
    <col min="32" max="32" width="9" customWidth="1"/>
    <col min="33" max="33" width="18" customWidth="1"/>
    <col min="34" max="34" width="9" customWidth="1"/>
    <col min="35" max="35" width="11" customWidth="1"/>
    <col min="36" max="36" width="9" customWidth="1"/>
  </cols>
  <sheetData>
    <row r="1" ht="45" customHeight="1">
      <c r="A1" s="6" t="inlineStr">
        <is>
          <t>ID</t>
        </is>
      </c>
      <c r="B1" s="6" t="inlineStr">
        <is>
          <t>Fecha primer contacto</t>
        </is>
      </c>
      <c r="C1" s="6" t="inlineStr">
        <is>
          <t>Tipo de prospecto</t>
        </is>
      </c>
      <c r="D1" s="6" t="inlineStr">
        <is>
          <t>Nombre del prospecto</t>
        </is>
      </c>
      <c r="E1" s="6" t="inlineStr">
        <is>
          <t>Teléfono (10 dígitos)</t>
        </is>
      </c>
      <c r="F1" s="6" t="inlineStr">
        <is>
          <t>Nombre del tutor</t>
        </is>
      </c>
      <c r="G1" s="6" t="inlineStr">
        <is>
          <t>Canal de origen</t>
        </is>
      </c>
      <c r="H1" s="6" t="inlineStr">
        <is>
          <t>Anuncio / referidor / lugar</t>
        </is>
      </c>
      <c r="I1" s="6" t="inlineStr">
        <is>
          <t>Medio de contacto</t>
        </is>
      </c>
      <c r="J1" s="6" t="inlineStr">
        <is>
          <t>Programa</t>
        </is>
      </c>
      <c r="K1" s="6" t="inlineStr">
        <is>
          <t>Edad</t>
        </is>
      </c>
      <c r="L1" s="6" t="inlineStr">
        <is>
          <t>Idioma</t>
        </is>
      </c>
      <c r="M1" s="6" t="inlineStr">
        <is>
          <t>Horario preferido</t>
        </is>
      </c>
      <c r="N1" s="6" t="inlineStr">
        <is>
          <t>Responsable</t>
        </is>
      </c>
      <c r="O1" s="6" t="inlineStr">
        <is>
          <t>Etapa</t>
        </is>
      </c>
      <c r="P1" s="6" t="inlineStr">
        <is>
          <t>Fecha CM</t>
        </is>
      </c>
      <c r="Q1" s="6" t="inlineStr">
        <is>
          <t>Hora CM</t>
        </is>
      </c>
      <c r="R1" s="6" t="inlineStr">
        <is>
          <t>Grupo ofrecido</t>
        </is>
      </c>
      <c r="S1" s="6" t="inlineStr">
        <is>
          <t>CM confirmada</t>
        </is>
      </c>
      <c r="T1" s="6" t="inlineStr">
        <is>
          <t>Resultado CM</t>
        </is>
      </c>
      <c r="U1" s="6" t="inlineStr">
        <is>
          <t>Motivo (inasistencia / reprogramación / no inscripción)</t>
        </is>
      </c>
      <c r="V1" s="6" t="inlineStr">
        <is>
          <t>Fecha de inscripción (pagó 1er mes)</t>
        </is>
      </c>
      <c r="W1" s="6" t="inlineStr">
        <is>
          <t>Mensualidad acordada</t>
        </is>
      </c>
      <c r="X1" s="6" t="inlineStr">
        <is>
          <t>Fecha de baja (si aplica)</t>
        </is>
      </c>
      <c r="Y1" s="20" t="inlineStr">
        <is>
          <t>Activo a 30 días</t>
        </is>
      </c>
      <c r="Z1" s="6" t="inlineStr">
        <is>
          <t>Último contacto</t>
        </is>
      </c>
      <c r="AA1" s="6" t="inlineStr">
        <is>
          <t>Siguiente acción</t>
        </is>
      </c>
      <c r="AB1" s="6" t="inlineStr">
        <is>
          <t>Fecha siguiente acción</t>
        </is>
      </c>
      <c r="AC1" s="6" t="inlineStr">
        <is>
          <t>Resultado final</t>
        </is>
      </c>
      <c r="AD1" s="6" t="inlineStr">
        <is>
          <t>Motivo de pérdida</t>
        </is>
      </c>
      <c r="AE1" s="6" t="inlineStr">
        <is>
          <t>Observaciones</t>
        </is>
      </c>
      <c r="AF1" s="20" t="inlineStr">
        <is>
          <t>Días sin contacto</t>
        </is>
      </c>
      <c r="AG1" s="20" t="inlineStr">
        <is>
          <t>Alerta de seguimiento</t>
        </is>
      </c>
      <c r="AH1" s="20" t="inlineStr">
        <is>
          <t>Días a inscripción</t>
        </is>
      </c>
      <c r="AI1" s="20" t="inlineStr">
        <is>
          <t>Semana CM (lunes)</t>
        </is>
      </c>
      <c r="AJ1" s="20" t="inlineStr">
        <is>
          <t>Mes CM</t>
        </is>
      </c>
    </row>
    <row r="2">
      <c r="A2" s="21" t="inlineStr">
        <is>
          <t>P-0001</t>
        </is>
      </c>
      <c r="B2" s="14"/>
      <c r="C2" s="21" t="inlineStr">
        <is>
          <t>Nuevo</t>
        </is>
      </c>
      <c r="D2" s="21" t="inlineStr">
        <is>
          <t>Claudia Perez</t>
        </is>
      </c>
      <c r="E2" s="21" t="inlineStr">
        <is>
          <t>7711518732</t>
        </is>
      </c>
      <c r="F2" s="21"/>
      <c r="G2" s="21" t="inlineStr">
        <is>
          <t>Facebook</t>
        </is>
      </c>
      <c r="H2" s="21"/>
      <c r="I2" s="21"/>
      <c r="J2" s="21" t="inlineStr">
        <is>
          <t>College</t>
        </is>
      </c>
      <c r="K2" s="21">
        <v>29</v>
      </c>
      <c r="L2" s="21" t="inlineStr">
        <is>
          <t>Inglés</t>
        </is>
      </c>
      <c r="M2" s="21"/>
      <c r="N2" s="21"/>
      <c r="O2" s="21" t="inlineStr">
        <is>
          <t>5. CM realizada (en decisión)</t>
        </is>
      </c>
      <c r="P2" s="14">
        <v>46296</v>
      </c>
      <c r="Q2" s="21" t="inlineStr">
        <is>
          <t>6:00 pm</t>
        </is>
      </c>
      <c r="R2" s="21"/>
      <c r="S2" s="21"/>
      <c r="T2" s="21" t="inlineStr">
        <is>
          <t>Asistió</t>
        </is>
      </c>
      <c r="U2" s="21" t="inlineStr">
        <is>
          <t>No inscripción - No responde después de la clase</t>
        </is>
      </c>
      <c r="V2" s="14"/>
      <c r="W2" s="22"/>
      <c r="X2" s="14"/>
      <c r="Y2" s="11" t="str">
        <f>IF(V2="","",IF(X2&lt;&gt;"",IF(X2-V2&lt;30,"No","Sí"),IF(TODAY()-V2&gt;=30,"Sí","En curso")))</f>
        <v/>
      </c>
      <c r="Z2" s="14"/>
      <c r="AA2" s="21"/>
      <c r="AB2" s="14"/>
      <c r="AC2" s="21" t="inlineStr">
        <is>
          <t>Abierto</t>
        </is>
      </c>
      <c r="AD2" s="21"/>
      <c r="AE2" s="7"/>
      <c r="AF2" s="11" t="str">
        <f>IF(OR(AC2&lt;&gt;"Abierto",Z2=""),"",TODAY()-Z2)</f>
        <v/>
      </c>
      <c r="AG2" s="11" t="str">
        <f>IF(AC2&lt;&gt;"Abierto","",IF(AB2="","Sin siguiente acción",IF(AB2&lt;TODAY(),"Vencido",IF(AB2=TODAY(),"Hoy","En tiempo"))))</f>
        <v>Sin siguiente acción</v>
      </c>
      <c r="AH2" s="11" t="str">
        <f>IF(OR(B2="",V2=""),"",V2-B2)</f>
        <v/>
      </c>
      <c r="AI2" s="16">
        <f>IF(P2="","",P2-WEEKDAY(P2,3))</f>
        <v>46293</v>
      </c>
      <c r="AJ2" s="23">
        <f>IF(P2="","",DATE(YEAR(P2),MONTH(P2),1))</f>
        <v>46296</v>
      </c>
    </row>
    <row r="3">
      <c r="A3" s="21" t="inlineStr">
        <is>
          <t>P-0002</t>
        </is>
      </c>
      <c r="B3" s="14"/>
      <c r="C3" s="21" t="inlineStr">
        <is>
          <t>Nuevo</t>
        </is>
      </c>
      <c r="D3" s="21" t="inlineStr">
        <is>
          <t>Irma Luna Lira</t>
        </is>
      </c>
      <c r="E3" s="21" t="inlineStr">
        <is>
          <t>7711859473</t>
        </is>
      </c>
      <c r="F3" s="21"/>
      <c r="G3" s="21" t="inlineStr">
        <is>
          <t>Facebook</t>
        </is>
      </c>
      <c r="H3" s="21"/>
      <c r="I3" s="21"/>
      <c r="J3" s="21" t="inlineStr">
        <is>
          <t>College</t>
        </is>
      </c>
      <c r="K3" s="21">
        <v>77</v>
      </c>
      <c r="L3" s="21" t="inlineStr">
        <is>
          <t>Inglés</t>
        </is>
      </c>
      <c r="M3" s="21"/>
      <c r="N3" s="21"/>
      <c r="O3" s="21" t="inlineStr">
        <is>
          <t>6. Inscrito (pagó 1er mes)</t>
        </is>
      </c>
      <c r="P3" s="14">
        <v>46297</v>
      </c>
      <c r="Q3" s="21" t="inlineStr">
        <is>
          <t>10:00 am</t>
        </is>
      </c>
      <c r="R3" s="21"/>
      <c r="S3" s="21"/>
      <c r="T3" s="21" t="inlineStr">
        <is>
          <t>Asistió</t>
        </is>
      </c>
      <c r="U3" s="21"/>
      <c r="V3" s="14">
        <v>46297</v>
      </c>
      <c r="W3" s="22">
        <v>800</v>
      </c>
      <c r="X3" s="14">
        <v>46311</v>
      </c>
      <c r="Y3" s="11" t="str">
        <f>IF(V3="","",IF(X3&lt;&gt;"",IF(X3-V3&lt;30,"No","Sí"),IF(TODAY()-V3&gt;=30,"Sí","En curso")))</f>
        <v>No</v>
      </c>
      <c r="Z3" s="14"/>
      <c r="AA3" s="21" t="inlineStr">
        <is>
          <t>Ninguna (caso cerrado)</t>
        </is>
      </c>
      <c r="AB3" s="14"/>
      <c r="AC3" s="21" t="inlineStr">
        <is>
          <t>Inscrito</t>
        </is>
      </c>
      <c r="AD3" s="21"/>
      <c r="AE3" s="7" t="inlineStr">
        <is>
          <t>Baja definitiva 16-oct (Horarios)</t>
        </is>
      </c>
      <c r="AF3" s="11" t="str">
        <f>IF(OR(AC3&lt;&gt;"Abierto",Z3=""),"",TODAY()-Z3)</f>
        <v/>
      </c>
      <c r="AG3" s="11" t="str">
        <f>IF(AC3&lt;&gt;"Abierto","",IF(AB3="","Sin siguiente acción",IF(AB3&lt;TODAY(),"Vencido",IF(AB3=TODAY(),"Hoy","En tiempo"))))</f>
        <v/>
      </c>
      <c r="AH3" s="11" t="str">
        <f>IF(OR(B3="",V3=""),"",V3-B3)</f>
        <v/>
      </c>
      <c r="AI3" s="16">
        <f>IF(P3="","",P3-WEEKDAY(P3,3))</f>
        <v>46293</v>
      </c>
      <c r="AJ3" s="23">
        <f>IF(P3="","",DATE(YEAR(P3),MONTH(P3),1))</f>
        <v>46296</v>
      </c>
    </row>
    <row r="4">
      <c r="A4" s="21" t="inlineStr">
        <is>
          <t>P-0003</t>
        </is>
      </c>
      <c r="B4" s="14"/>
      <c r="C4" s="21" t="inlineStr">
        <is>
          <t>Nuevo</t>
        </is>
      </c>
      <c r="D4" s="21" t="inlineStr">
        <is>
          <t>Carlos Torres Marín</t>
        </is>
      </c>
      <c r="E4" s="21" t="inlineStr">
        <is>
          <t>7713976155</t>
        </is>
      </c>
      <c r="F4" s="21"/>
      <c r="G4" s="21" t="inlineStr">
        <is>
          <t>Facebook</t>
        </is>
      </c>
      <c r="H4" s="21"/>
      <c r="I4" s="21"/>
      <c r="J4" s="21" t="inlineStr">
        <is>
          <t>Junior</t>
        </is>
      </c>
      <c r="K4" s="21">
        <v>12</v>
      </c>
      <c r="L4" s="21" t="inlineStr">
        <is>
          <t>Inglés</t>
        </is>
      </c>
      <c r="M4" s="21"/>
      <c r="N4" s="21"/>
      <c r="O4" s="21" t="inlineStr">
        <is>
          <t>6. Inscrito (pagó 1er mes)</t>
        </is>
      </c>
      <c r="P4" s="14">
        <v>46298</v>
      </c>
      <c r="Q4" s="21" t="inlineStr">
        <is>
          <t>9:00 am</t>
        </is>
      </c>
      <c r="R4" s="21"/>
      <c r="S4" s="21"/>
      <c r="T4" s="21" t="inlineStr">
        <is>
          <t>Asistió</t>
        </is>
      </c>
      <c r="U4" s="21"/>
      <c r="V4" s="14">
        <v>46305</v>
      </c>
      <c r="W4" s="22">
        <v>800</v>
      </c>
      <c r="X4" s="14"/>
      <c r="Y4" s="11" t="str">
        <f>IF(V4="","",IF(X4&lt;&gt;"",IF(X4-V4&lt;30,"No","Sí"),IF(TODAY()-V4&gt;=30,"Sí","En curso")))</f>
        <v>En curso</v>
      </c>
      <c r="Z4" s="14"/>
      <c r="AA4" s="21" t="inlineStr">
        <is>
          <t>Ninguna (caso cerrado)</t>
        </is>
      </c>
      <c r="AB4" s="14"/>
      <c r="AC4" s="21" t="inlineStr">
        <is>
          <t>Inscrito</t>
        </is>
      </c>
      <c r="AD4" s="21"/>
      <c r="AE4" s="7"/>
      <c r="AF4" s="11" t="str">
        <f>IF(OR(AC4&lt;&gt;"Abierto",Z4=""),"",TODAY()-Z4)</f>
        <v/>
      </c>
      <c r="AG4" s="11" t="str">
        <f>IF(AC4&lt;&gt;"Abierto","",IF(AB4="","Sin siguiente acción",IF(AB4&lt;TODAY(),"Vencido",IF(AB4=TODAY(),"Hoy","En tiempo"))))</f>
        <v/>
      </c>
      <c r="AH4" s="11" t="str">
        <f>IF(OR(B4="",V4=""),"",V4-B4)</f>
        <v/>
      </c>
      <c r="AI4" s="16">
        <f>IF(P4="","",P4-WEEKDAY(P4,3))</f>
        <v>46293</v>
      </c>
      <c r="AJ4" s="23">
        <f>IF(P4="","",DATE(YEAR(P4),MONTH(P4),1))</f>
        <v>46296</v>
      </c>
    </row>
    <row r="5">
      <c r="A5" s="21" t="inlineStr">
        <is>
          <t>P-0004</t>
        </is>
      </c>
      <c r="B5" s="14"/>
      <c r="C5" s="21" t="inlineStr">
        <is>
          <t>Nuevo</t>
        </is>
      </c>
      <c r="D5" s="21" t="inlineStr">
        <is>
          <t>Emily Camacho Bello</t>
        </is>
      </c>
      <c r="E5" s="21" t="inlineStr">
        <is>
          <t>7712931010</t>
        </is>
      </c>
      <c r="F5" s="21"/>
      <c r="G5" s="21" t="inlineStr">
        <is>
          <t>Facebook</t>
        </is>
      </c>
      <c r="H5" s="21"/>
      <c r="I5" s="21"/>
      <c r="J5" s="21" t="inlineStr">
        <is>
          <t>Junior</t>
        </is>
      </c>
      <c r="K5" s="21">
        <v>15</v>
      </c>
      <c r="L5" s="21" t="inlineStr">
        <is>
          <t>Inglés</t>
        </is>
      </c>
      <c r="M5" s="21"/>
      <c r="N5" s="21"/>
      <c r="O5" s="21" t="inlineStr">
        <is>
          <t>6. Inscrito (pagó 1er mes)</t>
        </is>
      </c>
      <c r="P5" s="14">
        <v>46300</v>
      </c>
      <c r="Q5" s="21" t="inlineStr">
        <is>
          <t>4:00pm</t>
        </is>
      </c>
      <c r="R5" s="21"/>
      <c r="S5" s="21"/>
      <c r="T5" s="21" t="inlineStr">
        <is>
          <t>Asistió</t>
        </is>
      </c>
      <c r="U5" s="21"/>
      <c r="V5" s="14">
        <v>46307</v>
      </c>
      <c r="W5" s="22">
        <v>400</v>
      </c>
      <c r="X5" s="14"/>
      <c r="Y5" s="11" t="str">
        <f>IF(V5="","",IF(X5&lt;&gt;"",IF(X5-V5&lt;30,"No","Sí"),IF(TODAY()-V5&gt;=30,"Sí","En curso")))</f>
        <v>En curso</v>
      </c>
      <c r="Z5" s="14"/>
      <c r="AA5" s="21" t="inlineStr">
        <is>
          <t>Ninguna (caso cerrado)</t>
        </is>
      </c>
      <c r="AB5" s="14"/>
      <c r="AC5" s="21" t="inlineStr">
        <is>
          <t>Inscrito</t>
        </is>
      </c>
      <c r="AD5" s="21"/>
      <c r="AE5" s="7"/>
      <c r="AF5" s="11" t="str">
        <f>IF(OR(AC5&lt;&gt;"Abierto",Z5=""),"",TODAY()-Z5)</f>
        <v/>
      </c>
      <c r="AG5" s="11" t="str">
        <f>IF(AC5&lt;&gt;"Abierto","",IF(AB5="","Sin siguiente acción",IF(AB5&lt;TODAY(),"Vencido",IF(AB5=TODAY(),"Hoy","En tiempo"))))</f>
        <v/>
      </c>
      <c r="AH5" s="11" t="str">
        <f>IF(OR(B5="",V5=""),"",V5-B5)</f>
        <v/>
      </c>
      <c r="AI5" s="16">
        <f>IF(P5="","",P5-WEEKDAY(P5,3))</f>
        <v>46300</v>
      </c>
      <c r="AJ5" s="23">
        <f>IF(P5="","",DATE(YEAR(P5),MONTH(P5),1))</f>
        <v>46296</v>
      </c>
    </row>
    <row r="6">
      <c r="A6" s="21" t="inlineStr">
        <is>
          <t>P-0005</t>
        </is>
      </c>
      <c r="B6" s="14"/>
      <c r="C6" s="21" t="inlineStr">
        <is>
          <t>Nuevo</t>
        </is>
      </c>
      <c r="D6" s="21" t="inlineStr">
        <is>
          <t>Nidia Lizbeth</t>
        </is>
      </c>
      <c r="E6" s="21" t="inlineStr">
        <is>
          <t>7711566420</t>
        </is>
      </c>
      <c r="F6" s="21"/>
      <c r="G6" s="21" t="inlineStr">
        <is>
          <t>Facebook</t>
        </is>
      </c>
      <c r="H6" s="21"/>
      <c r="I6" s="21"/>
      <c r="J6" s="21" t="inlineStr">
        <is>
          <t>College</t>
        </is>
      </c>
      <c r="K6" s="21">
        <v>24</v>
      </c>
      <c r="L6" s="21" t="inlineStr">
        <is>
          <t>Inglés</t>
        </is>
      </c>
      <c r="M6" s="21"/>
      <c r="N6" s="21"/>
      <c r="O6" s="21" t="inlineStr">
        <is>
          <t>6. Inscrito (pagó 1er mes)</t>
        </is>
      </c>
      <c r="P6" s="14">
        <v>46300</v>
      </c>
      <c r="Q6" s="21" t="inlineStr">
        <is>
          <t>4:00 pm</t>
        </is>
      </c>
      <c r="R6" s="21"/>
      <c r="S6" s="21"/>
      <c r="T6" s="21" t="inlineStr">
        <is>
          <t>Asistió</t>
        </is>
      </c>
      <c r="U6" s="21"/>
      <c r="V6" s="14">
        <v>46304</v>
      </c>
      <c r="W6" s="22">
        <v>800</v>
      </c>
      <c r="X6" s="14"/>
      <c r="Y6" s="11" t="str">
        <f>IF(V6="","",IF(X6&lt;&gt;"",IF(X6-V6&lt;30,"No","Sí"),IF(TODAY()-V6&gt;=30,"Sí","En curso")))</f>
        <v>En curso</v>
      </c>
      <c r="Z6" s="14"/>
      <c r="AA6" s="21" t="inlineStr">
        <is>
          <t>Ninguna (caso cerrado)</t>
        </is>
      </c>
      <c r="AB6" s="14"/>
      <c r="AC6" s="21" t="inlineStr">
        <is>
          <t>Inscrito</t>
        </is>
      </c>
      <c r="AD6" s="21"/>
      <c r="AE6" s="7"/>
      <c r="AF6" s="11" t="str">
        <f>IF(OR(AC6&lt;&gt;"Abierto",Z6=""),"",TODAY()-Z6)</f>
        <v/>
      </c>
      <c r="AG6" s="11" t="str">
        <f>IF(AC6&lt;&gt;"Abierto","",IF(AB6="","Sin siguiente acción",IF(AB6&lt;TODAY(),"Vencido",IF(AB6=TODAY(),"Hoy","En tiempo"))))</f>
        <v/>
      </c>
      <c r="AH6" s="11" t="str">
        <f>IF(OR(B6="",V6=""),"",V6-B6)</f>
        <v/>
      </c>
      <c r="AI6" s="16">
        <f>IF(P6="","",P6-WEEKDAY(P6,3))</f>
        <v>46300</v>
      </c>
      <c r="AJ6" s="23">
        <f>IF(P6="","",DATE(YEAR(P6),MONTH(P6),1))</f>
        <v>46296</v>
      </c>
    </row>
    <row r="7">
      <c r="A7" s="21" t="inlineStr">
        <is>
          <t>P-0006</t>
        </is>
      </c>
      <c r="B7" s="14"/>
      <c r="C7" s="21" t="inlineStr">
        <is>
          <t>Nuevo</t>
        </is>
      </c>
      <c r="D7" s="21" t="inlineStr">
        <is>
          <t>Pía Bello Martínez</t>
        </is>
      </c>
      <c r="E7" s="21" t="inlineStr">
        <is>
          <t>7712931010</t>
        </is>
      </c>
      <c r="F7" s="21"/>
      <c r="G7" s="21" t="inlineStr">
        <is>
          <t>Facebook</t>
        </is>
      </c>
      <c r="H7" s="21"/>
      <c r="I7" s="21"/>
      <c r="J7" s="21" t="inlineStr">
        <is>
          <t>Kids</t>
        </is>
      </c>
      <c r="K7" s="21">
        <v>7</v>
      </c>
      <c r="L7" s="21" t="inlineStr">
        <is>
          <t>Inglés</t>
        </is>
      </c>
      <c r="M7" s="21"/>
      <c r="N7" s="21"/>
      <c r="O7" s="21" t="inlineStr">
        <is>
          <t>6. Inscrito (pagó 1er mes)</t>
        </is>
      </c>
      <c r="P7" s="14">
        <v>46300</v>
      </c>
      <c r="Q7" s="21" t="inlineStr">
        <is>
          <t>4:00pm</t>
        </is>
      </c>
      <c r="R7" s="21"/>
      <c r="S7" s="21"/>
      <c r="T7" s="21" t="inlineStr">
        <is>
          <t>Asistió</t>
        </is>
      </c>
      <c r="U7" s="21"/>
      <c r="V7" s="14"/>
      <c r="W7" s="22">
        <v>800</v>
      </c>
      <c r="X7" s="14"/>
      <c r="Y7" s="11" t="str">
        <f>IF(V7="","",IF(X7&lt;&gt;"",IF(X7-V7&lt;30,"No","Sí"),IF(TODAY()-V7&gt;=30,"Sí","En curso")))</f>
        <v/>
      </c>
      <c r="Z7" s="14"/>
      <c r="AA7" s="21" t="inlineStr">
        <is>
          <t>Ninguna (caso cerrado)</t>
        </is>
      </c>
      <c r="AB7" s="14"/>
      <c r="AC7" s="21" t="inlineStr">
        <is>
          <t>Inscrito</t>
        </is>
      </c>
      <c r="AD7" s="21"/>
      <c r="AE7" s="7" t="inlineStr">
        <is>
          <t>Fecha de inscripción en la base: 09-10-2010 (error de captura, corregir)</t>
        </is>
      </c>
      <c r="AF7" s="11" t="str">
        <f>IF(OR(AC7&lt;&gt;"Abierto",Z7=""),"",TODAY()-Z7)</f>
        <v/>
      </c>
      <c r="AG7" s="11" t="str">
        <f>IF(AC7&lt;&gt;"Abierto","",IF(AB7="","Sin siguiente acción",IF(AB7&lt;TODAY(),"Vencido",IF(AB7=TODAY(),"Hoy","En tiempo"))))</f>
        <v/>
      </c>
      <c r="AH7" s="11" t="str">
        <f>IF(OR(B7="",V7=""),"",V7-B7)</f>
        <v/>
      </c>
      <c r="AI7" s="16">
        <f>IF(P7="","",P7-WEEKDAY(P7,3))</f>
        <v>46300</v>
      </c>
      <c r="AJ7" s="23">
        <f>IF(P7="","",DATE(YEAR(P7),MONTH(P7),1))</f>
        <v>46296</v>
      </c>
    </row>
    <row r="8">
      <c r="A8" s="21" t="inlineStr">
        <is>
          <t>P-0007</t>
        </is>
      </c>
      <c r="B8" s="14"/>
      <c r="C8" s="21" t="inlineStr">
        <is>
          <t>Nuevo</t>
        </is>
      </c>
      <c r="D8" s="21" t="inlineStr">
        <is>
          <t>Aline Gutierrez</t>
        </is>
      </c>
      <c r="E8" s="21" t="inlineStr">
        <is>
          <t>7711231297</t>
        </is>
      </c>
      <c r="F8" s="21"/>
      <c r="G8" s="21" t="inlineStr">
        <is>
          <t>Instagram</t>
        </is>
      </c>
      <c r="H8" s="21"/>
      <c r="I8" s="21"/>
      <c r="J8" s="21" t="inlineStr">
        <is>
          <t>College</t>
        </is>
      </c>
      <c r="K8" s="21">
        <v>22</v>
      </c>
      <c r="L8" s="21" t="inlineStr">
        <is>
          <t>Inglés</t>
        </is>
      </c>
      <c r="M8" s="21"/>
      <c r="N8" s="21"/>
      <c r="O8" s="21" t="inlineStr">
        <is>
          <t>2. En conversación</t>
        </is>
      </c>
      <c r="P8" s="14">
        <v>46301</v>
      </c>
      <c r="Q8" s="21" t="inlineStr">
        <is>
          <t>12:00 pm</t>
        </is>
      </c>
      <c r="R8" s="21"/>
      <c r="S8" s="21"/>
      <c r="T8" s="21" t="inlineStr">
        <is>
          <t>No asistió</t>
        </is>
      </c>
      <c r="U8" s="21" t="inlineStr">
        <is>
          <t>Inasistencia - Sin motivo registrado</t>
        </is>
      </c>
      <c r="V8" s="14"/>
      <c r="W8" s="22"/>
      <c r="X8" s="14"/>
      <c r="Y8" s="11" t="str">
        <f>IF(V8="","",IF(X8&lt;&gt;"",IF(X8-V8&lt;30,"No","Sí"),IF(TODAY()-V8&gt;=30,"Sí","En curso")))</f>
        <v/>
      </c>
      <c r="Z8" s="14"/>
      <c r="AA8" s="21"/>
      <c r="AB8" s="14"/>
      <c r="AC8" s="21" t="inlineStr">
        <is>
          <t>Abierto</t>
        </is>
      </c>
      <c r="AD8" s="21"/>
      <c r="AE8" s="7"/>
      <c r="AF8" s="11" t="str">
        <f>IF(OR(AC8&lt;&gt;"Abierto",Z8=""),"",TODAY()-Z8)</f>
        <v/>
      </c>
      <c r="AG8" s="11" t="str">
        <f>IF(AC8&lt;&gt;"Abierto","",IF(AB8="","Sin siguiente acción",IF(AB8&lt;TODAY(),"Vencido",IF(AB8=TODAY(),"Hoy","En tiempo"))))</f>
        <v>Sin siguiente acción</v>
      </c>
      <c r="AH8" s="11" t="str">
        <f>IF(OR(B8="",V8=""),"",V8-B8)</f>
        <v/>
      </c>
      <c r="AI8" s="16">
        <f>IF(P8="","",P8-WEEKDAY(P8,3))</f>
        <v>46300</v>
      </c>
      <c r="AJ8" s="23">
        <f>IF(P8="","",DATE(YEAR(P8),MONTH(P8),1))</f>
        <v>46296</v>
      </c>
    </row>
    <row r="9">
      <c r="A9" s="21" t="inlineStr">
        <is>
          <t>P-0008</t>
        </is>
      </c>
      <c r="B9" s="14"/>
      <c r="C9" s="21" t="inlineStr">
        <is>
          <t>Nuevo</t>
        </is>
      </c>
      <c r="D9" s="21" t="inlineStr">
        <is>
          <t>Beatriz Narváez</t>
        </is>
      </c>
      <c r="E9" s="21" t="inlineStr">
        <is>
          <t>7711367215</t>
        </is>
      </c>
      <c r="F9" s="21"/>
      <c r="G9" s="21" t="inlineStr">
        <is>
          <t>Facebook</t>
        </is>
      </c>
      <c r="H9" s="21"/>
      <c r="I9" s="21"/>
      <c r="J9" s="21" t="inlineStr">
        <is>
          <t>College</t>
        </is>
      </c>
      <c r="K9" s="21">
        <v>32</v>
      </c>
      <c r="L9" s="21" t="inlineStr">
        <is>
          <t>Inglés</t>
        </is>
      </c>
      <c r="M9" s="21"/>
      <c r="N9" s="21"/>
      <c r="O9" s="21" t="inlineStr">
        <is>
          <t>6. Inscrito (pagó 1er mes)</t>
        </is>
      </c>
      <c r="P9" s="14">
        <v>46301</v>
      </c>
      <c r="Q9" s="21" t="inlineStr">
        <is>
          <t>3:00 pm</t>
        </is>
      </c>
      <c r="R9" s="21"/>
      <c r="S9" s="21"/>
      <c r="T9" s="21" t="inlineStr">
        <is>
          <t>Asistió</t>
        </is>
      </c>
      <c r="U9" s="21"/>
      <c r="V9" s="14">
        <v>46302</v>
      </c>
      <c r="W9" s="22">
        <v>800</v>
      </c>
      <c r="X9" s="14"/>
      <c r="Y9" s="11" t="str">
        <f>IF(V9="","",IF(X9&lt;&gt;"",IF(X9-V9&lt;30,"No","Sí"),IF(TODAY()-V9&gt;=30,"Sí","En curso")))</f>
        <v>En curso</v>
      </c>
      <c r="Z9" s="14"/>
      <c r="AA9" s="21" t="inlineStr">
        <is>
          <t>Ninguna (caso cerrado)</t>
        </is>
      </c>
      <c r="AB9" s="14"/>
      <c r="AC9" s="21" t="inlineStr">
        <is>
          <t>Inscrito</t>
        </is>
      </c>
      <c r="AD9" s="21"/>
      <c r="AE9" s="7"/>
      <c r="AF9" s="11" t="str">
        <f>IF(OR(AC9&lt;&gt;"Abierto",Z9=""),"",TODAY()-Z9)</f>
        <v/>
      </c>
      <c r="AG9" s="11" t="str">
        <f>IF(AC9&lt;&gt;"Abierto","",IF(AB9="","Sin siguiente acción",IF(AB9&lt;TODAY(),"Vencido",IF(AB9=TODAY(),"Hoy","En tiempo"))))</f>
        <v/>
      </c>
      <c r="AH9" s="11" t="str">
        <f>IF(OR(B9="",V9=""),"",V9-B9)</f>
        <v/>
      </c>
      <c r="AI9" s="16">
        <f>IF(P9="","",P9-WEEKDAY(P9,3))</f>
        <v>46300</v>
      </c>
      <c r="AJ9" s="23">
        <f>IF(P9="","",DATE(YEAR(P9),MONTH(P9),1))</f>
        <v>46296</v>
      </c>
    </row>
    <row r="10">
      <c r="A10" s="21" t="inlineStr">
        <is>
          <t>P-0009</t>
        </is>
      </c>
      <c r="B10" s="14"/>
      <c r="C10" s="21" t="inlineStr">
        <is>
          <t>Nuevo</t>
        </is>
      </c>
      <c r="D10" s="21" t="inlineStr">
        <is>
          <t>Heiden Slim</t>
        </is>
      </c>
      <c r="E10" s="21" t="inlineStr">
        <is>
          <t>5543168832</t>
        </is>
      </c>
      <c r="F10" s="21"/>
      <c r="G10" s="21" t="inlineStr">
        <is>
          <t>Instagram</t>
        </is>
      </c>
      <c r="H10" s="21"/>
      <c r="I10" s="21"/>
      <c r="J10" s="21" t="inlineStr">
        <is>
          <t>College</t>
        </is>
      </c>
      <c r="K10" s="21">
        <v>24</v>
      </c>
      <c r="L10" s="21" t="inlineStr">
        <is>
          <t>Inglés</t>
        </is>
      </c>
      <c r="M10" s="21"/>
      <c r="N10" s="21"/>
      <c r="O10" s="21" t="inlineStr">
        <is>
          <t>2. En conversación</t>
        </is>
      </c>
      <c r="P10" s="14">
        <v>46301</v>
      </c>
      <c r="Q10" s="21" t="inlineStr">
        <is>
          <t>3:00 pm</t>
        </is>
      </c>
      <c r="R10" s="21"/>
      <c r="S10" s="21"/>
      <c r="T10" s="21" t="inlineStr">
        <is>
          <t>No asistió</t>
        </is>
      </c>
      <c r="U10" s="21" t="inlineStr">
        <is>
          <t>Inasistencia - Sin motivo registrado</t>
        </is>
      </c>
      <c r="V10" s="14"/>
      <c r="W10" s="22"/>
      <c r="X10" s="14"/>
      <c r="Y10" s="11" t="str">
        <f>IF(V10="","",IF(X10&lt;&gt;"",IF(X10-V10&lt;30,"No","Sí"),IF(TODAY()-V10&gt;=30,"Sí","En curso")))</f>
        <v/>
      </c>
      <c r="Z10" s="14"/>
      <c r="AA10" s="21"/>
      <c r="AB10" s="14"/>
      <c r="AC10" s="21" t="inlineStr">
        <is>
          <t>Abierto</t>
        </is>
      </c>
      <c r="AD10" s="21"/>
      <c r="AE10" s="7"/>
      <c r="AF10" s="11" t="str">
        <f>IF(OR(AC10&lt;&gt;"Abierto",Z10=""),"",TODAY()-Z10)</f>
        <v/>
      </c>
      <c r="AG10" s="11" t="str">
        <f>IF(AC10&lt;&gt;"Abierto","",IF(AB10="","Sin siguiente acción",IF(AB10&lt;TODAY(),"Vencido",IF(AB10=TODAY(),"Hoy","En tiempo"))))</f>
        <v>Sin siguiente acción</v>
      </c>
      <c r="AH10" s="11" t="str">
        <f>IF(OR(B10="",V10=""),"",V10-B10)</f>
        <v/>
      </c>
      <c r="AI10" s="16">
        <f>IF(P10="","",P10-WEEKDAY(P10,3))</f>
        <v>46300</v>
      </c>
      <c r="AJ10" s="23">
        <f>IF(P10="","",DATE(YEAR(P10),MONTH(P10),1))</f>
        <v>46296</v>
      </c>
    </row>
    <row r="11">
      <c r="A11" s="21" t="inlineStr">
        <is>
          <t>P-0010</t>
        </is>
      </c>
      <c r="B11" s="14"/>
      <c r="C11" s="21" t="inlineStr">
        <is>
          <t>Nuevo</t>
        </is>
      </c>
      <c r="D11" s="21" t="inlineStr">
        <is>
          <t>Jorge Orozco</t>
        </is>
      </c>
      <c r="E11" s="21" t="inlineStr">
        <is>
          <t>7711095087</t>
        </is>
      </c>
      <c r="F11" s="21"/>
      <c r="G11" s="21" t="inlineStr">
        <is>
          <t>Instagram</t>
        </is>
      </c>
      <c r="H11" s="21"/>
      <c r="I11" s="21"/>
      <c r="J11" s="21" t="inlineStr">
        <is>
          <t>College</t>
        </is>
      </c>
      <c r="K11" s="21">
        <v>40</v>
      </c>
      <c r="L11" s="21" t="inlineStr">
        <is>
          <t>Inglés</t>
        </is>
      </c>
      <c r="M11" s="21"/>
      <c r="N11" s="21"/>
      <c r="O11" s="21" t="inlineStr">
        <is>
          <t>2. En conversación</t>
        </is>
      </c>
      <c r="P11" s="14">
        <v>46301</v>
      </c>
      <c r="Q11" s="21" t="inlineStr">
        <is>
          <t>9:00 am</t>
        </is>
      </c>
      <c r="R11" s="21"/>
      <c r="S11" s="21"/>
      <c r="T11" s="21" t="inlineStr">
        <is>
          <t>No asistió</t>
        </is>
      </c>
      <c r="U11" s="21" t="inlineStr">
        <is>
          <t>Inasistencia - Sin motivo registrado</t>
        </is>
      </c>
      <c r="V11" s="14"/>
      <c r="W11" s="22"/>
      <c r="X11" s="14"/>
      <c r="Y11" s="11" t="str">
        <f>IF(V11="","",IF(X11&lt;&gt;"",IF(X11-V11&lt;30,"No","Sí"),IF(TODAY()-V11&gt;=30,"Sí","En curso")))</f>
        <v/>
      </c>
      <c r="Z11" s="14"/>
      <c r="AA11" s="21"/>
      <c r="AB11" s="14"/>
      <c r="AC11" s="21" t="inlineStr">
        <is>
          <t>Abierto</t>
        </is>
      </c>
      <c r="AD11" s="21"/>
      <c r="AE11" s="7"/>
      <c r="AF11" s="11" t="str">
        <f>IF(OR(AC11&lt;&gt;"Abierto",Z11=""),"",TODAY()-Z11)</f>
        <v/>
      </c>
      <c r="AG11" s="11" t="str">
        <f>IF(AC11&lt;&gt;"Abierto","",IF(AB11="","Sin siguiente acción",IF(AB11&lt;TODAY(),"Vencido",IF(AB11=TODAY(),"Hoy","En tiempo"))))</f>
        <v>Sin siguiente acción</v>
      </c>
      <c r="AH11" s="11" t="str">
        <f>IF(OR(B11="",V11=""),"",V11-B11)</f>
        <v/>
      </c>
      <c r="AI11" s="16">
        <f>IF(P11="","",P11-WEEKDAY(P11,3))</f>
        <v>46300</v>
      </c>
      <c r="AJ11" s="23">
        <f>IF(P11="","",DATE(YEAR(P11),MONTH(P11),1))</f>
        <v>46296</v>
      </c>
    </row>
    <row r="12">
      <c r="A12" s="21" t="inlineStr">
        <is>
          <t>P-0011</t>
        </is>
      </c>
      <c r="B12" s="14"/>
      <c r="C12" s="21" t="inlineStr">
        <is>
          <t>Nuevo</t>
        </is>
      </c>
      <c r="D12" s="21" t="inlineStr">
        <is>
          <t>Ximena Sanchez Bautista</t>
        </is>
      </c>
      <c r="E12" s="21" t="inlineStr">
        <is>
          <t>7711914489</t>
        </is>
      </c>
      <c r="F12" s="21"/>
      <c r="G12" s="21" t="inlineStr">
        <is>
          <t>WhatsApp</t>
        </is>
      </c>
      <c r="H12" s="21"/>
      <c r="I12" s="21"/>
      <c r="J12" s="21" t="inlineStr">
        <is>
          <t>College</t>
        </is>
      </c>
      <c r="K12" s="21">
        <v>35</v>
      </c>
      <c r="L12" s="21" t="inlineStr">
        <is>
          <t>Inglés</t>
        </is>
      </c>
      <c r="M12" s="21"/>
      <c r="N12" s="21"/>
      <c r="O12" s="21" t="inlineStr">
        <is>
          <t>5. CM realizada (en decisión)</t>
        </is>
      </c>
      <c r="P12" s="14">
        <v>46301</v>
      </c>
      <c r="Q12" s="21" t="inlineStr">
        <is>
          <t>12:00 pm</t>
        </is>
      </c>
      <c r="R12" s="21"/>
      <c r="S12" s="21"/>
      <c r="T12" s="21" t="inlineStr">
        <is>
          <t>Asistió</t>
        </is>
      </c>
      <c r="U12" s="21" t="inlineStr">
        <is>
          <t>No inscripción - Pospone el inicio</t>
        </is>
      </c>
      <c r="V12" s="14"/>
      <c r="W12" s="22"/>
      <c r="X12" s="14"/>
      <c r="Y12" s="11" t="str">
        <f>IF(V12="","",IF(X12&lt;&gt;"",IF(X12-V12&lt;30,"No","Sí"),IF(TODAY()-V12&gt;=30,"Sí","En curso")))</f>
        <v/>
      </c>
      <c r="Z12" s="14"/>
      <c r="AA12" s="21"/>
      <c r="AB12" s="14"/>
      <c r="AC12" s="21" t="inlineStr">
        <is>
          <t>Abierto</t>
        </is>
      </c>
      <c r="AD12" s="21"/>
      <c r="AE12" s="7" t="inlineStr">
        <is>
          <t>Origen por validar: los anuncios de Meta también llevan a WhatsApp.</t>
        </is>
      </c>
      <c r="AF12" s="11" t="str">
        <f>IF(OR(AC12&lt;&gt;"Abierto",Z12=""),"",TODAY()-Z12)</f>
        <v/>
      </c>
      <c r="AG12" s="11" t="str">
        <f>IF(AC12&lt;&gt;"Abierto","",IF(AB12="","Sin siguiente acción",IF(AB12&lt;TODAY(),"Vencido",IF(AB12=TODAY(),"Hoy","En tiempo"))))</f>
        <v>Sin siguiente acción</v>
      </c>
      <c r="AH12" s="11" t="str">
        <f>IF(OR(B12="",V12=""),"",V12-B12)</f>
        <v/>
      </c>
      <c r="AI12" s="16">
        <f>IF(P12="","",P12-WEEKDAY(P12,3))</f>
        <v>46300</v>
      </c>
      <c r="AJ12" s="23">
        <f>IF(P12="","",DATE(YEAR(P12),MONTH(P12),1))</f>
        <v>46296</v>
      </c>
    </row>
    <row r="13">
      <c r="A13" s="21" t="inlineStr">
        <is>
          <t>P-0012</t>
        </is>
      </c>
      <c r="B13" s="14"/>
      <c r="C13" s="21" t="inlineStr">
        <is>
          <t>Nuevo</t>
        </is>
      </c>
      <c r="D13" s="21" t="inlineStr">
        <is>
          <t>Andy</t>
        </is>
      </c>
      <c r="E13" s="21" t="inlineStr">
        <is>
          <t>6631105777</t>
        </is>
      </c>
      <c r="F13" s="21"/>
      <c r="G13" s="21" t="inlineStr">
        <is>
          <t>Facebook</t>
        </is>
      </c>
      <c r="H13" s="21"/>
      <c r="I13" s="21"/>
      <c r="J13" s="21" t="inlineStr">
        <is>
          <t>College</t>
        </is>
      </c>
      <c r="K13" s="21">
        <v>18</v>
      </c>
      <c r="L13" s="21" t="inlineStr">
        <is>
          <t>Inglés</t>
        </is>
      </c>
      <c r="M13" s="21"/>
      <c r="N13" s="21"/>
      <c r="O13" s="21" t="inlineStr">
        <is>
          <t>2. En conversación</t>
        </is>
      </c>
      <c r="P13" s="14">
        <v>46303</v>
      </c>
      <c r="Q13" s="21" t="inlineStr">
        <is>
          <t>6:00 pm</t>
        </is>
      </c>
      <c r="R13" s="21"/>
      <c r="S13" s="21"/>
      <c r="T13" s="21" t="inlineStr">
        <is>
          <t>No asistió</t>
        </is>
      </c>
      <c r="U13" s="21" t="inlineStr">
        <is>
          <t>Inasistencia - Sin motivo registrado</t>
        </is>
      </c>
      <c r="V13" s="14"/>
      <c r="W13" s="22"/>
      <c r="X13" s="14"/>
      <c r="Y13" s="11" t="str">
        <f>IF(V13="","",IF(X13&lt;&gt;"",IF(X13-V13&lt;30,"No","Sí"),IF(TODAY()-V13&gt;=30,"Sí","En curso")))</f>
        <v/>
      </c>
      <c r="Z13" s="14"/>
      <c r="AA13" s="21"/>
      <c r="AB13" s="14"/>
      <c r="AC13" s="21" t="inlineStr">
        <is>
          <t>Abierto</t>
        </is>
      </c>
      <c r="AD13" s="21"/>
      <c r="AE13" s="7"/>
      <c r="AF13" s="11" t="str">
        <f>IF(OR(AC13&lt;&gt;"Abierto",Z13=""),"",TODAY()-Z13)</f>
        <v/>
      </c>
      <c r="AG13" s="11" t="str">
        <f>IF(AC13&lt;&gt;"Abierto","",IF(AB13="","Sin siguiente acción",IF(AB13&lt;TODAY(),"Vencido",IF(AB13=TODAY(),"Hoy","En tiempo"))))</f>
        <v>Sin siguiente acción</v>
      </c>
      <c r="AH13" s="11" t="str">
        <f>IF(OR(B13="",V13=""),"",V13-B13)</f>
        <v/>
      </c>
      <c r="AI13" s="16">
        <f>IF(P13="","",P13-WEEKDAY(P13,3))</f>
        <v>46300</v>
      </c>
      <c r="AJ13" s="23">
        <f>IF(P13="","",DATE(YEAR(P13),MONTH(P13),1))</f>
        <v>46296</v>
      </c>
    </row>
    <row r="14">
      <c r="A14" s="21" t="inlineStr">
        <is>
          <t>P-0013</t>
        </is>
      </c>
      <c r="B14" s="14"/>
      <c r="C14" s="21" t="inlineStr">
        <is>
          <t>Nuevo</t>
        </is>
      </c>
      <c r="D14" s="21" t="inlineStr">
        <is>
          <t>Camila García romero</t>
        </is>
      </c>
      <c r="E14" s="21" t="inlineStr">
        <is>
          <t>7711279246</t>
        </is>
      </c>
      <c r="F14" s="21"/>
      <c r="G14" s="21" t="inlineStr">
        <is>
          <t>Facebook</t>
        </is>
      </c>
      <c r="H14" s="21"/>
      <c r="I14" s="21"/>
      <c r="J14" s="21" t="inlineStr">
        <is>
          <t>Kids</t>
        </is>
      </c>
      <c r="K14" s="21">
        <v>11</v>
      </c>
      <c r="L14" s="21" t="inlineStr">
        <is>
          <t>Inglés</t>
        </is>
      </c>
      <c r="M14" s="21"/>
      <c r="N14" s="21"/>
      <c r="O14" s="21" t="inlineStr">
        <is>
          <t>6. Inscrito (pagó 1er mes)</t>
        </is>
      </c>
      <c r="P14" s="14">
        <v>46303</v>
      </c>
      <c r="Q14" s="21" t="inlineStr">
        <is>
          <t>4:00 pm</t>
        </is>
      </c>
      <c r="R14" s="21"/>
      <c r="S14" s="21"/>
      <c r="T14" s="21" t="inlineStr">
        <is>
          <t>Asistió</t>
        </is>
      </c>
      <c r="U14" s="21"/>
      <c r="V14" s="14">
        <v>46308</v>
      </c>
      <c r="W14" s="22">
        <v>750</v>
      </c>
      <c r="X14" s="14"/>
      <c r="Y14" s="11" t="str">
        <f>IF(V14="","",IF(X14&lt;&gt;"",IF(X14-V14&lt;30,"No","Sí"),IF(TODAY()-V14&gt;=30,"Sí","En curso")))</f>
        <v>En curso</v>
      </c>
      <c r="Z14" s="14"/>
      <c r="AA14" s="21" t="inlineStr">
        <is>
          <t>Ninguna (caso cerrado)</t>
        </is>
      </c>
      <c r="AB14" s="14"/>
      <c r="AC14" s="21" t="inlineStr">
        <is>
          <t>Inscrito</t>
        </is>
      </c>
      <c r="AD14" s="21"/>
      <c r="AE14" s="7"/>
      <c r="AF14" s="11" t="str">
        <f>IF(OR(AC14&lt;&gt;"Abierto",Z14=""),"",TODAY()-Z14)</f>
        <v/>
      </c>
      <c r="AG14" s="11" t="str">
        <f>IF(AC14&lt;&gt;"Abierto","",IF(AB14="","Sin siguiente acción",IF(AB14&lt;TODAY(),"Vencido",IF(AB14=TODAY(),"Hoy","En tiempo"))))</f>
        <v/>
      </c>
      <c r="AH14" s="11" t="str">
        <f>IF(OR(B14="",V14=""),"",V14-B14)</f>
        <v/>
      </c>
      <c r="AI14" s="16">
        <f>IF(P14="","",P14-WEEKDAY(P14,3))</f>
        <v>46300</v>
      </c>
      <c r="AJ14" s="23">
        <f>IF(P14="","",DATE(YEAR(P14),MONTH(P14),1))</f>
        <v>46296</v>
      </c>
    </row>
    <row r="15">
      <c r="A15" s="21" t="inlineStr">
        <is>
          <t>P-0014</t>
        </is>
      </c>
      <c r="B15" s="14"/>
      <c r="C15" s="21" t="inlineStr">
        <is>
          <t>Nuevo</t>
        </is>
      </c>
      <c r="D15" s="21" t="inlineStr">
        <is>
          <t>Emilia García romero</t>
        </is>
      </c>
      <c r="E15" s="21" t="inlineStr">
        <is>
          <t>7711279246</t>
        </is>
      </c>
      <c r="F15" s="21"/>
      <c r="G15" s="21" t="inlineStr">
        <is>
          <t>Facebook</t>
        </is>
      </c>
      <c r="H15" s="21"/>
      <c r="I15" s="21"/>
      <c r="J15" s="21" t="inlineStr">
        <is>
          <t>Kids</t>
        </is>
      </c>
      <c r="K15" s="21">
        <v>12</v>
      </c>
      <c r="L15" s="21" t="inlineStr">
        <is>
          <t>Inglés</t>
        </is>
      </c>
      <c r="M15" s="21"/>
      <c r="N15" s="21"/>
      <c r="O15" s="21" t="inlineStr">
        <is>
          <t>6. Inscrito (pagó 1er mes)</t>
        </is>
      </c>
      <c r="P15" s="14">
        <v>46303</v>
      </c>
      <c r="Q15" s="21" t="inlineStr">
        <is>
          <t>4:00 pm</t>
        </is>
      </c>
      <c r="R15" s="21"/>
      <c r="S15" s="21"/>
      <c r="T15" s="21" t="inlineStr">
        <is>
          <t>Asistió</t>
        </is>
      </c>
      <c r="U15" s="21"/>
      <c r="V15" s="14">
        <v>46308</v>
      </c>
      <c r="W15" s="22">
        <v>750</v>
      </c>
      <c r="X15" s="14"/>
      <c r="Y15" s="11" t="str">
        <f>IF(V15="","",IF(X15&lt;&gt;"",IF(X15-V15&lt;30,"No","Sí"),IF(TODAY()-V15&gt;=30,"Sí","En curso")))</f>
        <v>En curso</v>
      </c>
      <c r="Z15" s="14"/>
      <c r="AA15" s="21" t="inlineStr">
        <is>
          <t>Ninguna (caso cerrado)</t>
        </is>
      </c>
      <c r="AB15" s="14"/>
      <c r="AC15" s="21" t="inlineStr">
        <is>
          <t>Inscrito</t>
        </is>
      </c>
      <c r="AD15" s="21"/>
      <c r="AE15" s="7"/>
      <c r="AF15" s="11" t="str">
        <f>IF(OR(AC15&lt;&gt;"Abierto",Z15=""),"",TODAY()-Z15)</f>
        <v/>
      </c>
      <c r="AG15" s="11" t="str">
        <f>IF(AC15&lt;&gt;"Abierto","",IF(AB15="","Sin siguiente acción",IF(AB15&lt;TODAY(),"Vencido",IF(AB15=TODAY(),"Hoy","En tiempo"))))</f>
        <v/>
      </c>
      <c r="AH15" s="11" t="str">
        <f>IF(OR(B15="",V15=""),"",V15-B15)</f>
        <v/>
      </c>
      <c r="AI15" s="16">
        <f>IF(P15="","",P15-WEEKDAY(P15,3))</f>
        <v>46300</v>
      </c>
      <c r="AJ15" s="23">
        <f>IF(P15="","",DATE(YEAR(P15),MONTH(P15),1))</f>
        <v>46296</v>
      </c>
    </row>
    <row r="16">
      <c r="A16" s="21" t="inlineStr">
        <is>
          <t>P-0015</t>
        </is>
      </c>
      <c r="B16" s="14"/>
      <c r="C16" s="21" t="inlineStr">
        <is>
          <t>Nuevo</t>
        </is>
      </c>
      <c r="D16" s="21" t="inlineStr">
        <is>
          <t>Jorge</t>
        </is>
      </c>
      <c r="E16" s="21" t="inlineStr">
        <is>
          <t>6631105777</t>
        </is>
      </c>
      <c r="F16" s="21"/>
      <c r="G16" s="21" t="inlineStr">
        <is>
          <t>Facebook</t>
        </is>
      </c>
      <c r="H16" s="21"/>
      <c r="I16" s="21"/>
      <c r="J16" s="21" t="inlineStr">
        <is>
          <t>College</t>
        </is>
      </c>
      <c r="K16" s="21">
        <v>35</v>
      </c>
      <c r="L16" s="21" t="inlineStr">
        <is>
          <t>Inglés</t>
        </is>
      </c>
      <c r="M16" s="21"/>
      <c r="N16" s="21"/>
      <c r="O16" s="21" t="inlineStr">
        <is>
          <t>2. En conversación</t>
        </is>
      </c>
      <c r="P16" s="14">
        <v>46303</v>
      </c>
      <c r="Q16" s="21" t="inlineStr">
        <is>
          <t>6:00 pm</t>
        </is>
      </c>
      <c r="R16" s="21"/>
      <c r="S16" s="21"/>
      <c r="T16" s="21" t="inlineStr">
        <is>
          <t>No asistió</t>
        </is>
      </c>
      <c r="U16" s="21" t="inlineStr">
        <is>
          <t>Inasistencia - Sin motivo registrado</t>
        </is>
      </c>
      <c r="V16" s="14"/>
      <c r="W16" s="22"/>
      <c r="X16" s="14"/>
      <c r="Y16" s="11" t="str">
        <f>IF(V16="","",IF(X16&lt;&gt;"",IF(X16-V16&lt;30,"No","Sí"),IF(TODAY()-V16&gt;=30,"Sí","En curso")))</f>
        <v/>
      </c>
      <c r="Z16" s="14"/>
      <c r="AA16" s="21"/>
      <c r="AB16" s="14"/>
      <c r="AC16" s="21" t="inlineStr">
        <is>
          <t>Abierto</t>
        </is>
      </c>
      <c r="AD16" s="21"/>
      <c r="AE16" s="7"/>
      <c r="AF16" s="11" t="str">
        <f>IF(OR(AC16&lt;&gt;"Abierto",Z16=""),"",TODAY()-Z16)</f>
        <v/>
      </c>
      <c r="AG16" s="11" t="str">
        <f>IF(AC16&lt;&gt;"Abierto","",IF(AB16="","Sin siguiente acción",IF(AB16&lt;TODAY(),"Vencido",IF(AB16=TODAY(),"Hoy","En tiempo"))))</f>
        <v>Sin siguiente acción</v>
      </c>
      <c r="AH16" s="11" t="str">
        <f>IF(OR(B16="",V16=""),"",V16-B16)</f>
        <v/>
      </c>
      <c r="AI16" s="16">
        <f>IF(P16="","",P16-WEEKDAY(P16,3))</f>
        <v>46300</v>
      </c>
      <c r="AJ16" s="23">
        <f>IF(P16="","",DATE(YEAR(P16),MONTH(P16),1))</f>
        <v>46296</v>
      </c>
    </row>
    <row r="17">
      <c r="A17" s="21" t="inlineStr">
        <is>
          <t>P-0016</t>
        </is>
      </c>
      <c r="B17" s="14"/>
      <c r="C17" s="21" t="inlineStr">
        <is>
          <t>Nuevo</t>
        </is>
      </c>
      <c r="D17" s="21" t="inlineStr">
        <is>
          <t>Vicenta Aragon</t>
        </is>
      </c>
      <c r="E17" s="21" t="inlineStr">
        <is>
          <t>7717427010</t>
        </is>
      </c>
      <c r="F17" s="21"/>
      <c r="G17" s="21" t="inlineStr">
        <is>
          <t>Facebook</t>
        </is>
      </c>
      <c r="H17" s="21"/>
      <c r="I17" s="21"/>
      <c r="J17" s="21" t="inlineStr">
        <is>
          <t>College</t>
        </is>
      </c>
      <c r="K17" s="21">
        <v>49</v>
      </c>
      <c r="L17" s="21" t="inlineStr">
        <is>
          <t>Inglés</t>
        </is>
      </c>
      <c r="M17" s="21"/>
      <c r="N17" s="21"/>
      <c r="O17" s="21" t="inlineStr">
        <is>
          <t>2. En conversación</t>
        </is>
      </c>
      <c r="P17" s="14">
        <v>46303</v>
      </c>
      <c r="Q17" s="21" t="inlineStr">
        <is>
          <t>6:00 pm</t>
        </is>
      </c>
      <c r="R17" s="21"/>
      <c r="S17" s="21"/>
      <c r="T17" s="21" t="inlineStr">
        <is>
          <t>No asistió</t>
        </is>
      </c>
      <c r="U17" s="21" t="inlineStr">
        <is>
          <t>Inasistencia - Sin motivo registrado</t>
        </is>
      </c>
      <c r="V17" s="14"/>
      <c r="W17" s="22"/>
      <c r="X17" s="14"/>
      <c r="Y17" s="11" t="str">
        <f>IF(V17="","",IF(X17&lt;&gt;"",IF(X17-V17&lt;30,"No","Sí"),IF(TODAY()-V17&gt;=30,"Sí","En curso")))</f>
        <v/>
      </c>
      <c r="Z17" s="14"/>
      <c r="AA17" s="21"/>
      <c r="AB17" s="14"/>
      <c r="AC17" s="21" t="inlineStr">
        <is>
          <t>Abierto</t>
        </is>
      </c>
      <c r="AD17" s="21"/>
      <c r="AE17" s="7"/>
      <c r="AF17" s="11" t="str">
        <f>IF(OR(AC17&lt;&gt;"Abierto",Z17=""),"",TODAY()-Z17)</f>
        <v/>
      </c>
      <c r="AG17" s="11" t="str">
        <f>IF(AC17&lt;&gt;"Abierto","",IF(AB17="","Sin siguiente acción",IF(AB17&lt;TODAY(),"Vencido",IF(AB17=TODAY(),"Hoy","En tiempo"))))</f>
        <v>Sin siguiente acción</v>
      </c>
      <c r="AH17" s="11" t="str">
        <f>IF(OR(B17="",V17=""),"",V17-B17)</f>
        <v/>
      </c>
      <c r="AI17" s="16">
        <f>IF(P17="","",P17-WEEKDAY(P17,3))</f>
        <v>46300</v>
      </c>
      <c r="AJ17" s="23">
        <f>IF(P17="","",DATE(YEAR(P17),MONTH(P17),1))</f>
        <v>46296</v>
      </c>
    </row>
    <row r="18">
      <c r="A18" s="21" t="inlineStr">
        <is>
          <t>P-0017</t>
        </is>
      </c>
      <c r="B18" s="14"/>
      <c r="C18" s="21" t="inlineStr">
        <is>
          <t>Nuevo</t>
        </is>
      </c>
      <c r="D18" s="21" t="inlineStr">
        <is>
          <t>Said Emmanuel Hernandez</t>
        </is>
      </c>
      <c r="E18" s="21" t="inlineStr">
        <is>
          <t>7713229658</t>
        </is>
      </c>
      <c r="F18" s="21"/>
      <c r="G18" s="21" t="inlineStr">
        <is>
          <t>Instagram</t>
        </is>
      </c>
      <c r="H18" s="21"/>
      <c r="I18" s="21"/>
      <c r="J18" s="21" t="inlineStr">
        <is>
          <t>College</t>
        </is>
      </c>
      <c r="K18" s="21">
        <v>22</v>
      </c>
      <c r="L18" s="21" t="inlineStr">
        <is>
          <t>Inglés</t>
        </is>
      </c>
      <c r="M18" s="21"/>
      <c r="N18" s="21"/>
      <c r="O18" s="21" t="inlineStr">
        <is>
          <t>5. CM realizada (en decisión)</t>
        </is>
      </c>
      <c r="P18" s="14">
        <v>46304</v>
      </c>
      <c r="Q18" s="21" t="inlineStr">
        <is>
          <t>4:00 pm</t>
        </is>
      </c>
      <c r="R18" s="21"/>
      <c r="S18" s="21"/>
      <c r="T18" s="21" t="inlineStr">
        <is>
          <t>Asistió</t>
        </is>
      </c>
      <c r="U18" s="21" t="inlineStr">
        <is>
          <t>No inscripción - Pospone el inicio</t>
        </is>
      </c>
      <c r="V18" s="14"/>
      <c r="W18" s="22"/>
      <c r="X18" s="14"/>
      <c r="Y18" s="11" t="str">
        <f>IF(V18="","",IF(X18&lt;&gt;"",IF(X18-V18&lt;30,"No","Sí"),IF(TODAY()-V18&gt;=30,"Sí","En curso")))</f>
        <v/>
      </c>
      <c r="Z18" s="14"/>
      <c r="AA18" s="21"/>
      <c r="AB18" s="14"/>
      <c r="AC18" s="21" t="inlineStr">
        <is>
          <t>Abierto</t>
        </is>
      </c>
      <c r="AD18" s="21"/>
      <c r="AE18" s="7" t="inlineStr">
        <is>
          <t>Encuesta: "Interesado", se inscribiría "Más adelante".</t>
        </is>
      </c>
      <c r="AF18" s="11" t="str">
        <f>IF(OR(AC18&lt;&gt;"Abierto",Z18=""),"",TODAY()-Z18)</f>
        <v/>
      </c>
      <c r="AG18" s="11" t="str">
        <f>IF(AC18&lt;&gt;"Abierto","",IF(AB18="","Sin siguiente acción",IF(AB18&lt;TODAY(),"Vencido",IF(AB18=TODAY(),"Hoy","En tiempo"))))</f>
        <v>Sin siguiente acción</v>
      </c>
      <c r="AH18" s="11" t="str">
        <f>IF(OR(B18="",V18=""),"",V18-B18)</f>
        <v/>
      </c>
      <c r="AI18" s="16">
        <f>IF(P18="","",P18-WEEKDAY(P18,3))</f>
        <v>46300</v>
      </c>
      <c r="AJ18" s="23">
        <f>IF(P18="","",DATE(YEAR(P18),MONTH(P18),1))</f>
        <v>46296</v>
      </c>
    </row>
    <row r="19">
      <c r="A19" s="21" t="inlineStr">
        <is>
          <t>P-0018</t>
        </is>
      </c>
      <c r="B19" s="14"/>
      <c r="C19" s="21" t="inlineStr">
        <is>
          <t>Nuevo</t>
        </is>
      </c>
      <c r="D19" s="21" t="inlineStr">
        <is>
          <t>Herlinda Guadalupe Zapataq Molina</t>
        </is>
      </c>
      <c r="E19" s="21" t="inlineStr">
        <is>
          <t>5644941722</t>
        </is>
      </c>
      <c r="F19" s="21"/>
      <c r="G19" s="21" t="inlineStr">
        <is>
          <t>Facebook</t>
        </is>
      </c>
      <c r="H19" s="21"/>
      <c r="I19" s="21"/>
      <c r="J19" s="21" t="inlineStr">
        <is>
          <t>Kids</t>
        </is>
      </c>
      <c r="K19" s="21">
        <v>9</v>
      </c>
      <c r="L19" s="21" t="inlineStr">
        <is>
          <t>Inglés</t>
        </is>
      </c>
      <c r="M19" s="21"/>
      <c r="N19" s="21"/>
      <c r="O19" s="21" t="inlineStr">
        <is>
          <t>5. CM realizada (en decisión)</t>
        </is>
      </c>
      <c r="P19" s="14">
        <v>46307</v>
      </c>
      <c r="Q19" s="21" t="inlineStr">
        <is>
          <t>6:00 pm</t>
        </is>
      </c>
      <c r="R19" s="21"/>
      <c r="S19" s="21"/>
      <c r="T19" s="21" t="inlineStr">
        <is>
          <t>Asistió</t>
        </is>
      </c>
      <c r="U19" s="21" t="inlineStr">
        <is>
          <t>No inscripción - Horario no le acomoda</t>
        </is>
      </c>
      <c r="V19" s="14"/>
      <c r="W19" s="22"/>
      <c r="X19" s="14"/>
      <c r="Y19" s="11" t="str">
        <f>IF(V19="","",IF(X19&lt;&gt;"",IF(X19-V19&lt;30,"No","Sí"),IF(TODAY()-V19&gt;=30,"Sí","En curso")))</f>
        <v/>
      </c>
      <c r="Z19" s="14"/>
      <c r="AA19" s="21"/>
      <c r="AB19" s="14"/>
      <c r="AC19" s="21" t="inlineStr">
        <is>
          <t>Abierto</t>
        </is>
      </c>
      <c r="AD19" s="21"/>
      <c r="AE19" s="7"/>
      <c r="AF19" s="11" t="str">
        <f>IF(OR(AC19&lt;&gt;"Abierto",Z19=""),"",TODAY()-Z19)</f>
        <v/>
      </c>
      <c r="AG19" s="11" t="str">
        <f>IF(AC19&lt;&gt;"Abierto","",IF(AB19="","Sin siguiente acción",IF(AB19&lt;TODAY(),"Vencido",IF(AB19=TODAY(),"Hoy","En tiempo"))))</f>
        <v>Sin siguiente acción</v>
      </c>
      <c r="AH19" s="11" t="str">
        <f>IF(OR(B19="",V19=""),"",V19-B19)</f>
        <v/>
      </c>
      <c r="AI19" s="16">
        <f>IF(P19="","",P19-WEEKDAY(P19,3))</f>
        <v>46307</v>
      </c>
      <c r="AJ19" s="23">
        <f>IF(P19="","",DATE(YEAR(P19),MONTH(P19),1))</f>
        <v>46296</v>
      </c>
    </row>
    <row r="20">
      <c r="A20" s="21" t="inlineStr">
        <is>
          <t>P-0019</t>
        </is>
      </c>
      <c r="B20" s="14"/>
      <c r="C20" s="21" t="inlineStr">
        <is>
          <t>Nuevo</t>
        </is>
      </c>
      <c r="D20" s="21" t="inlineStr">
        <is>
          <t>Mía Ayelen Vázquez Zapata</t>
        </is>
      </c>
      <c r="E20" s="21"/>
      <c r="F20" s="21"/>
      <c r="G20" s="21" t="inlineStr">
        <is>
          <t>Facebook</t>
        </is>
      </c>
      <c r="H20" s="21"/>
      <c r="I20" s="21"/>
      <c r="J20" s="21" t="inlineStr">
        <is>
          <t>Kids</t>
        </is>
      </c>
      <c r="K20" s="21">
        <v>9</v>
      </c>
      <c r="L20" s="21" t="inlineStr">
        <is>
          <t>Inglés</t>
        </is>
      </c>
      <c r="M20" s="21"/>
      <c r="N20" s="21"/>
      <c r="O20" s="21" t="inlineStr">
        <is>
          <t>5. CM realizada (en decisión)</t>
        </is>
      </c>
      <c r="P20" s="14">
        <v>46307</v>
      </c>
      <c r="Q20" s="21"/>
      <c r="R20" s="21"/>
      <c r="S20" s="21"/>
      <c r="T20" s="21" t="inlineStr">
        <is>
          <t>Asistió</t>
        </is>
      </c>
      <c r="U20" s="21"/>
      <c r="V20" s="14"/>
      <c r="W20" s="22"/>
      <c r="X20" s="14"/>
      <c r="Y20" s="11" t="str">
        <f>IF(V20="","",IF(X20&lt;&gt;"",IF(X20-V20&lt;30,"No","Sí"),IF(TODAY()-V20&gt;=30,"Sí","En curso")))</f>
        <v/>
      </c>
      <c r="Z20" s="14"/>
      <c r="AA20" s="21"/>
      <c r="AB20" s="14"/>
      <c r="AC20" s="21" t="inlineStr">
        <is>
          <t>Abierto</t>
        </is>
      </c>
      <c r="AD20" s="21"/>
      <c r="AE20" s="7" t="inlineStr">
        <is>
          <t>No está en el control de clases muestra; dato tomado de la encuesta (12-oct). Interés: "Durante esta semana".</t>
        </is>
      </c>
      <c r="AF20" s="11" t="str">
        <f>IF(OR(AC20&lt;&gt;"Abierto",Z20=""),"",TODAY()-Z20)</f>
        <v/>
      </c>
      <c r="AG20" s="11" t="str">
        <f>IF(AC20&lt;&gt;"Abierto","",IF(AB20="","Sin siguiente acción",IF(AB20&lt;TODAY(),"Vencido",IF(AB20=TODAY(),"Hoy","En tiempo"))))</f>
        <v>Sin siguiente acción</v>
      </c>
      <c r="AH20" s="11" t="str">
        <f>IF(OR(B20="",V20=""),"",V20-B20)</f>
        <v/>
      </c>
      <c r="AI20" s="16">
        <f>IF(P20="","",P20-WEEKDAY(P20,3))</f>
        <v>46307</v>
      </c>
      <c r="AJ20" s="23">
        <f>IF(P20="","",DATE(YEAR(P20),MONTH(P20),1))</f>
        <v>46296</v>
      </c>
    </row>
    <row r="21">
      <c r="A21" s="21" t="inlineStr">
        <is>
          <t>P-0020</t>
        </is>
      </c>
      <c r="B21" s="14"/>
      <c r="C21" s="21" t="inlineStr">
        <is>
          <t>Nuevo</t>
        </is>
      </c>
      <c r="D21" s="21" t="inlineStr">
        <is>
          <t>Santiago mercado</t>
        </is>
      </c>
      <c r="E21" s="21" t="inlineStr">
        <is>
          <t>7712164572</t>
        </is>
      </c>
      <c r="F21" s="21"/>
      <c r="G21" s="21" t="inlineStr">
        <is>
          <t>Facebook</t>
        </is>
      </c>
      <c r="H21" s="21"/>
      <c r="I21" s="21"/>
      <c r="J21" s="21" t="inlineStr">
        <is>
          <t>Junior</t>
        </is>
      </c>
      <c r="K21" s="21">
        <v>17</v>
      </c>
      <c r="L21" s="21" t="inlineStr">
        <is>
          <t>Inglés</t>
        </is>
      </c>
      <c r="M21" s="21"/>
      <c r="N21" s="21"/>
      <c r="O21" s="21" t="inlineStr">
        <is>
          <t>6. Inscrito (pagó 1er mes)</t>
        </is>
      </c>
      <c r="P21" s="14">
        <v>46307</v>
      </c>
      <c r="Q21" s="21" t="inlineStr">
        <is>
          <t>5:00 pm</t>
        </is>
      </c>
      <c r="R21" s="21"/>
      <c r="S21" s="21"/>
      <c r="T21" s="21" t="inlineStr">
        <is>
          <t>Asistió</t>
        </is>
      </c>
      <c r="U21" s="21"/>
      <c r="V21" s="14">
        <v>46309</v>
      </c>
      <c r="W21" s="22">
        <v>800</v>
      </c>
      <c r="X21" s="14"/>
      <c r="Y21" s="11" t="str">
        <f>IF(V21="","",IF(X21&lt;&gt;"",IF(X21-V21&lt;30,"No","Sí"),IF(TODAY()-V21&gt;=30,"Sí","En curso")))</f>
        <v>En curso</v>
      </c>
      <c r="Z21" s="14"/>
      <c r="AA21" s="21" t="inlineStr">
        <is>
          <t>Ninguna (caso cerrado)</t>
        </is>
      </c>
      <c r="AB21" s="14"/>
      <c r="AC21" s="21" t="inlineStr">
        <is>
          <t>Inscrito</t>
        </is>
      </c>
      <c r="AD21" s="21"/>
      <c r="AE21" s="7" t="inlineStr">
        <is>
          <t>En la base aparece dos veces ($800 y $200): validar</t>
        </is>
      </c>
      <c r="AF21" s="11" t="str">
        <f>IF(OR(AC21&lt;&gt;"Abierto",Z21=""),"",TODAY()-Z21)</f>
        <v/>
      </c>
      <c r="AG21" s="11" t="str">
        <f>IF(AC21&lt;&gt;"Abierto","",IF(AB21="","Sin siguiente acción",IF(AB21&lt;TODAY(),"Vencido",IF(AB21=TODAY(),"Hoy","En tiempo"))))</f>
        <v/>
      </c>
      <c r="AH21" s="11" t="str">
        <f>IF(OR(B21="",V21=""),"",V21-B21)</f>
        <v/>
      </c>
      <c r="AI21" s="16">
        <f>IF(P21="","",P21-WEEKDAY(P21,3))</f>
        <v>46307</v>
      </c>
      <c r="AJ21" s="23">
        <f>IF(P21="","",DATE(YEAR(P21),MONTH(P21),1))</f>
        <v>46296</v>
      </c>
    </row>
    <row r="22">
      <c r="A22" s="21" t="inlineStr">
        <is>
          <t>P-0021</t>
        </is>
      </c>
      <c r="B22" s="14"/>
      <c r="C22" s="21" t="inlineStr">
        <is>
          <t>Alumno actual (venta cruzada)</t>
        </is>
      </c>
      <c r="D22" s="21" t="inlineStr">
        <is>
          <t>Aida</t>
        </is>
      </c>
      <c r="E22" s="21" t="inlineStr">
        <is>
          <t>5517795341</t>
        </is>
      </c>
      <c r="F22" s="21"/>
      <c r="G22" s="21" t="inlineStr">
        <is>
          <t>Sin dato</t>
        </is>
      </c>
      <c r="H22" s="21"/>
      <c r="I22" s="21"/>
      <c r="J22" s="21" t="inlineStr">
        <is>
          <t>College</t>
        </is>
      </c>
      <c r="K22" s="21">
        <v>55</v>
      </c>
      <c r="L22" s="21" t="inlineStr">
        <is>
          <t>Francés</t>
        </is>
      </c>
      <c r="M22" s="21"/>
      <c r="N22" s="21"/>
      <c r="O22" s="21" t="inlineStr">
        <is>
          <t>2. En conversación</t>
        </is>
      </c>
      <c r="P22" s="14">
        <v>46308</v>
      </c>
      <c r="Q22" s="21" t="inlineStr">
        <is>
          <t>6:00 pm</t>
        </is>
      </c>
      <c r="R22" s="21"/>
      <c r="S22" s="21"/>
      <c r="T22" s="21" t="inlineStr">
        <is>
          <t>No asistió</t>
        </is>
      </c>
      <c r="U22" s="21" t="inlineStr">
        <is>
          <t>Inasistencia - Sin motivo registrado</t>
        </is>
      </c>
      <c r="V22" s="14"/>
      <c r="W22" s="22"/>
      <c r="X22" s="14"/>
      <c r="Y22" s="11" t="str">
        <f>IF(V22="","",IF(X22&lt;&gt;"",IF(X22-V22&lt;30,"No","Sí"),IF(TODAY()-V22&gt;=30,"Sí","En curso")))</f>
        <v/>
      </c>
      <c r="Z22" s="14"/>
      <c r="AA22" s="21"/>
      <c r="AB22" s="14"/>
      <c r="AC22" s="21" t="inlineStr">
        <is>
          <t>Abierto</t>
        </is>
      </c>
      <c r="AD22" s="21"/>
      <c r="AE22" s="7" t="inlineStr">
        <is>
          <t>Alumna actual de inglés que pidió muestra de francés (confirmado por la academia). No cuenta en el embudo de prospectos nuevos. Sin canal registrado.</t>
        </is>
      </c>
      <c r="AF22" s="11" t="str">
        <f>IF(OR(AC22&lt;&gt;"Abierto",Z22=""),"",TODAY()-Z22)</f>
        <v/>
      </c>
      <c r="AG22" s="11" t="str">
        <f>IF(AC22&lt;&gt;"Abierto","",IF(AB22="","Sin siguiente acción",IF(AB22&lt;TODAY(),"Vencido",IF(AB22=TODAY(),"Hoy","En tiempo"))))</f>
        <v>Sin siguiente acción</v>
      </c>
      <c r="AH22" s="11" t="str">
        <f>IF(OR(B22="",V22=""),"",V22-B22)</f>
        <v/>
      </c>
      <c r="AI22" s="16">
        <f>IF(P22="","",P22-WEEKDAY(P22,3))</f>
        <v>46307</v>
      </c>
      <c r="AJ22" s="23">
        <f>IF(P22="","",DATE(YEAR(P22),MONTH(P22),1))</f>
        <v>46296</v>
      </c>
    </row>
    <row r="23">
      <c r="A23" s="21" t="inlineStr">
        <is>
          <t>P-0022</t>
        </is>
      </c>
      <c r="B23" s="14"/>
      <c r="C23" s="21" t="inlineStr">
        <is>
          <t>Nuevo</t>
        </is>
      </c>
      <c r="D23" s="21" t="inlineStr">
        <is>
          <t>Alexandra Rueda Cruz</t>
        </is>
      </c>
      <c r="E23" s="21" t="inlineStr">
        <is>
          <t>7711780143</t>
        </is>
      </c>
      <c r="F23" s="21"/>
      <c r="G23" s="21" t="inlineStr">
        <is>
          <t>Facebook</t>
        </is>
      </c>
      <c r="H23" s="21"/>
      <c r="I23" s="21"/>
      <c r="J23" s="21" t="inlineStr">
        <is>
          <t>Junior</t>
        </is>
      </c>
      <c r="K23" s="21">
        <v>17</v>
      </c>
      <c r="L23" s="21" t="inlineStr">
        <is>
          <t>Inglés</t>
        </is>
      </c>
      <c r="M23" s="21"/>
      <c r="N23" s="21"/>
      <c r="O23" s="21" t="inlineStr">
        <is>
          <t>6. Inscrito (pagó 1er mes)</t>
        </is>
      </c>
      <c r="P23" s="14">
        <v>46308</v>
      </c>
      <c r="Q23" s="21" t="inlineStr">
        <is>
          <t>9:00 am</t>
        </is>
      </c>
      <c r="R23" s="21"/>
      <c r="S23" s="21"/>
      <c r="T23" s="21" t="inlineStr">
        <is>
          <t>Asistió</t>
        </is>
      </c>
      <c r="U23" s="21"/>
      <c r="V23" s="14">
        <v>46308</v>
      </c>
      <c r="W23" s="22">
        <v>750</v>
      </c>
      <c r="X23" s="14"/>
      <c r="Y23" s="11" t="str">
        <f>IF(V23="","",IF(X23&lt;&gt;"",IF(X23-V23&lt;30,"No","Sí"),IF(TODAY()-V23&gt;=30,"Sí","En curso")))</f>
        <v>En curso</v>
      </c>
      <c r="Z23" s="14"/>
      <c r="AA23" s="21" t="inlineStr">
        <is>
          <t>Ninguna (caso cerrado)</t>
        </is>
      </c>
      <c r="AB23" s="14"/>
      <c r="AC23" s="21" t="inlineStr">
        <is>
          <t>Inscrito</t>
        </is>
      </c>
      <c r="AD23" s="21"/>
      <c r="AE23" s="7"/>
      <c r="AF23" s="11" t="str">
        <f>IF(OR(AC23&lt;&gt;"Abierto",Z23=""),"",TODAY()-Z23)</f>
        <v/>
      </c>
      <c r="AG23" s="11" t="str">
        <f>IF(AC23&lt;&gt;"Abierto","",IF(AB23="","Sin siguiente acción",IF(AB23&lt;TODAY(),"Vencido",IF(AB23=TODAY(),"Hoy","En tiempo"))))</f>
        <v/>
      </c>
      <c r="AH23" s="11" t="str">
        <f>IF(OR(B23="",V23=""),"",V23-B23)</f>
        <v/>
      </c>
      <c r="AI23" s="16">
        <f>IF(P23="","",P23-WEEKDAY(P23,3))</f>
        <v>46307</v>
      </c>
      <c r="AJ23" s="23">
        <f>IF(P23="","",DATE(YEAR(P23),MONTH(P23),1))</f>
        <v>46296</v>
      </c>
    </row>
    <row r="24">
      <c r="A24" s="21" t="inlineStr">
        <is>
          <t>P-0023</t>
        </is>
      </c>
      <c r="B24" s="14"/>
      <c r="C24" s="21" t="inlineStr">
        <is>
          <t>Alumno actual (venta cruzada)</t>
        </is>
      </c>
      <c r="D24" s="21" t="inlineStr">
        <is>
          <t>Lianne</t>
        </is>
      </c>
      <c r="E24" s="21" t="inlineStr">
        <is>
          <t>5517795341</t>
        </is>
      </c>
      <c r="F24" s="21"/>
      <c r="G24" s="21" t="inlineStr">
        <is>
          <t>Sin dato</t>
        </is>
      </c>
      <c r="H24" s="21"/>
      <c r="I24" s="21"/>
      <c r="J24" s="21" t="inlineStr">
        <is>
          <t>Junior</t>
        </is>
      </c>
      <c r="K24" s="21">
        <v>15</v>
      </c>
      <c r="L24" s="21" t="inlineStr">
        <is>
          <t>Francés</t>
        </is>
      </c>
      <c r="M24" s="21"/>
      <c r="N24" s="21"/>
      <c r="O24" s="21" t="inlineStr">
        <is>
          <t>2. En conversación</t>
        </is>
      </c>
      <c r="P24" s="14">
        <v>46308</v>
      </c>
      <c r="Q24" s="21" t="inlineStr">
        <is>
          <t>6:00 pm</t>
        </is>
      </c>
      <c r="R24" s="21"/>
      <c r="S24" s="21"/>
      <c r="T24" s="21" t="inlineStr">
        <is>
          <t>No asistió</t>
        </is>
      </c>
      <c r="U24" s="21" t="inlineStr">
        <is>
          <t>Inasistencia - Sin motivo registrado</t>
        </is>
      </c>
      <c r="V24" s="14"/>
      <c r="W24" s="22"/>
      <c r="X24" s="14"/>
      <c r="Y24" s="11" t="str">
        <f>IF(V24="","",IF(X24&lt;&gt;"",IF(X24-V24&lt;30,"No","Sí"),IF(TODAY()-V24&gt;=30,"Sí","En curso")))</f>
        <v/>
      </c>
      <c r="Z24" s="14"/>
      <c r="AA24" s="21"/>
      <c r="AB24" s="14"/>
      <c r="AC24" s="21" t="inlineStr">
        <is>
          <t>Abierto</t>
        </is>
      </c>
      <c r="AD24" s="21"/>
      <c r="AE24" s="7" t="inlineStr">
        <is>
          <t>Alumna actual de inglés que pidió muestra de francés (confirmado por la academia). No cuenta en el embudo de prospectos nuevos. Sin canal registrado.</t>
        </is>
      </c>
      <c r="AF24" s="11" t="str">
        <f>IF(OR(AC24&lt;&gt;"Abierto",Z24=""),"",TODAY()-Z24)</f>
        <v/>
      </c>
      <c r="AG24" s="11" t="str">
        <f>IF(AC24&lt;&gt;"Abierto","",IF(AB24="","Sin siguiente acción",IF(AB24&lt;TODAY(),"Vencido",IF(AB24=TODAY(),"Hoy","En tiempo"))))</f>
        <v>Sin siguiente acción</v>
      </c>
      <c r="AH24" s="11" t="str">
        <f>IF(OR(B24="",V24=""),"",V24-B24)</f>
        <v/>
      </c>
      <c r="AI24" s="16">
        <f>IF(P24="","",P24-WEEKDAY(P24,3))</f>
        <v>46307</v>
      </c>
      <c r="AJ24" s="23">
        <f>IF(P24="","",DATE(YEAR(P24),MONTH(P24),1))</f>
        <v>46296</v>
      </c>
    </row>
    <row r="25">
      <c r="A25" s="21" t="inlineStr">
        <is>
          <t>P-0024</t>
        </is>
      </c>
      <c r="B25" s="14"/>
      <c r="C25" s="21" t="inlineStr">
        <is>
          <t>Nuevo</t>
        </is>
      </c>
      <c r="D25" s="21" t="inlineStr">
        <is>
          <t>Norberto Eligio Cordova López</t>
        </is>
      </c>
      <c r="E25" s="21" t="inlineStr">
        <is>
          <t>7711235436</t>
        </is>
      </c>
      <c r="F25" s="21"/>
      <c r="G25" s="21" t="inlineStr">
        <is>
          <t>WhatsApp</t>
        </is>
      </c>
      <c r="H25" s="21"/>
      <c r="I25" s="21"/>
      <c r="J25" s="21" t="inlineStr">
        <is>
          <t>Junior</t>
        </is>
      </c>
      <c r="K25" s="21">
        <v>12</v>
      </c>
      <c r="L25" s="21" t="inlineStr">
        <is>
          <t>Inglés</t>
        </is>
      </c>
      <c r="M25" s="21"/>
      <c r="N25" s="21"/>
      <c r="O25" s="21" t="inlineStr">
        <is>
          <t>2. En conversación</t>
        </is>
      </c>
      <c r="P25" s="14">
        <v>46308</v>
      </c>
      <c r="Q25" s="21" t="inlineStr">
        <is>
          <t>5:00 pm</t>
        </is>
      </c>
      <c r="R25" s="21"/>
      <c r="S25" s="21"/>
      <c r="T25" s="21" t="inlineStr">
        <is>
          <t>No asistió</t>
        </is>
      </c>
      <c r="U25" s="21" t="inlineStr">
        <is>
          <t>Inasistencia - Sin motivo registrado</t>
        </is>
      </c>
      <c r="V25" s="14"/>
      <c r="W25" s="22"/>
      <c r="X25" s="14"/>
      <c r="Y25" s="11" t="str">
        <f>IF(V25="","",IF(X25&lt;&gt;"",IF(X25-V25&lt;30,"No","Sí"),IF(TODAY()-V25&gt;=30,"Sí","En curso")))</f>
        <v/>
      </c>
      <c r="Z25" s="14"/>
      <c r="AA25" s="21"/>
      <c r="AB25" s="14"/>
      <c r="AC25" s="21" t="inlineStr">
        <is>
          <t>Abierto</t>
        </is>
      </c>
      <c r="AD25" s="21"/>
      <c r="AE25" s="7" t="inlineStr">
        <is>
          <t>Origen por validar: los anuncios de Meta también llevan a WhatsApp.</t>
        </is>
      </c>
      <c r="AF25" s="11" t="str">
        <f>IF(OR(AC25&lt;&gt;"Abierto",Z25=""),"",TODAY()-Z25)</f>
        <v/>
      </c>
      <c r="AG25" s="11" t="str">
        <f>IF(AC25&lt;&gt;"Abierto","",IF(AB25="","Sin siguiente acción",IF(AB25&lt;TODAY(),"Vencido",IF(AB25=TODAY(),"Hoy","En tiempo"))))</f>
        <v>Sin siguiente acción</v>
      </c>
      <c r="AH25" s="11" t="str">
        <f>IF(OR(B25="",V25=""),"",V25-B25)</f>
        <v/>
      </c>
      <c r="AI25" s="16">
        <f>IF(P25="","",P25-WEEKDAY(P25,3))</f>
        <v>46307</v>
      </c>
      <c r="AJ25" s="23">
        <f>IF(P25="","",DATE(YEAR(P25),MONTH(P25),1))</f>
        <v>46296</v>
      </c>
    </row>
    <row r="26">
      <c r="A26" s="21" t="inlineStr">
        <is>
          <t>P-0025</t>
        </is>
      </c>
      <c r="B26" s="14"/>
      <c r="C26" s="21" t="inlineStr">
        <is>
          <t>Nuevo</t>
        </is>
      </c>
      <c r="D26" s="21" t="inlineStr">
        <is>
          <t>Ramón Francisco Rueda Cruz</t>
        </is>
      </c>
      <c r="E26" s="21" t="inlineStr">
        <is>
          <t>7713641316</t>
        </is>
      </c>
      <c r="F26" s="21"/>
      <c r="G26" s="21" t="inlineStr">
        <is>
          <t>Facebook</t>
        </is>
      </c>
      <c r="H26" s="21"/>
      <c r="I26" s="21"/>
      <c r="J26" s="21" t="inlineStr">
        <is>
          <t>Junior</t>
        </is>
      </c>
      <c r="K26" s="21">
        <v>15</v>
      </c>
      <c r="L26" s="21" t="inlineStr">
        <is>
          <t>Inglés</t>
        </is>
      </c>
      <c r="M26" s="21"/>
      <c r="N26" s="21"/>
      <c r="O26" s="21" t="inlineStr">
        <is>
          <t>6. Inscrito (pagó 1er mes)</t>
        </is>
      </c>
      <c r="P26" s="14">
        <v>46308</v>
      </c>
      <c r="Q26" s="21" t="inlineStr">
        <is>
          <t>9:00 am</t>
        </is>
      </c>
      <c r="R26" s="21"/>
      <c r="S26" s="21"/>
      <c r="T26" s="21" t="inlineStr">
        <is>
          <t>Asistió</t>
        </is>
      </c>
      <c r="U26" s="21"/>
      <c r="V26" s="14">
        <v>46308</v>
      </c>
      <c r="W26" s="22">
        <v>750</v>
      </c>
      <c r="X26" s="14"/>
      <c r="Y26" s="11" t="str">
        <f>IF(V26="","",IF(X26&lt;&gt;"",IF(X26-V26&lt;30,"No","Sí"),IF(TODAY()-V26&gt;=30,"Sí","En curso")))</f>
        <v>En curso</v>
      </c>
      <c r="Z26" s="14"/>
      <c r="AA26" s="21" t="inlineStr">
        <is>
          <t>Ninguna (caso cerrado)</t>
        </is>
      </c>
      <c r="AB26" s="14"/>
      <c r="AC26" s="21" t="inlineStr">
        <is>
          <t>Inscrito</t>
        </is>
      </c>
      <c r="AD26" s="21"/>
      <c r="AE26" s="7"/>
      <c r="AF26" s="11" t="str">
        <f>IF(OR(AC26&lt;&gt;"Abierto",Z26=""),"",TODAY()-Z26)</f>
        <v/>
      </c>
      <c r="AG26" s="11" t="str">
        <f>IF(AC26&lt;&gt;"Abierto","",IF(AB26="","Sin siguiente acción",IF(AB26&lt;TODAY(),"Vencido",IF(AB26=TODAY(),"Hoy","En tiempo"))))</f>
        <v/>
      </c>
      <c r="AH26" s="11" t="str">
        <f>IF(OR(B26="",V26=""),"",V26-B26)</f>
        <v/>
      </c>
      <c r="AI26" s="16">
        <f>IF(P26="","",P26-WEEKDAY(P26,3))</f>
        <v>46307</v>
      </c>
      <c r="AJ26" s="23">
        <f>IF(P26="","",DATE(YEAR(P26),MONTH(P26),1))</f>
        <v>46296</v>
      </c>
    </row>
    <row r="27">
      <c r="A27" s="21" t="inlineStr">
        <is>
          <t>P-0026</t>
        </is>
      </c>
      <c r="B27" s="14"/>
      <c r="C27" s="21" t="inlineStr">
        <is>
          <t>Alumno actual (venta cruzada)</t>
        </is>
      </c>
      <c r="D27" s="21" t="inlineStr">
        <is>
          <t>Yara</t>
        </is>
      </c>
      <c r="E27" s="21" t="inlineStr">
        <is>
          <t>5517795341</t>
        </is>
      </c>
      <c r="F27" s="21"/>
      <c r="G27" s="21" t="inlineStr">
        <is>
          <t>Sin dato</t>
        </is>
      </c>
      <c r="H27" s="21"/>
      <c r="I27" s="21"/>
      <c r="J27" s="21" t="inlineStr">
        <is>
          <t>College</t>
        </is>
      </c>
      <c r="K27" s="21">
        <v>18</v>
      </c>
      <c r="L27" s="21" t="inlineStr">
        <is>
          <t>Francés</t>
        </is>
      </c>
      <c r="M27" s="21"/>
      <c r="N27" s="21"/>
      <c r="O27" s="21" t="inlineStr">
        <is>
          <t>2. En conversación</t>
        </is>
      </c>
      <c r="P27" s="14">
        <v>46308</v>
      </c>
      <c r="Q27" s="21" t="inlineStr">
        <is>
          <t>6:00 pm</t>
        </is>
      </c>
      <c r="R27" s="21"/>
      <c r="S27" s="21"/>
      <c r="T27" s="21" t="inlineStr">
        <is>
          <t>No asistió</t>
        </is>
      </c>
      <c r="U27" s="21" t="inlineStr">
        <is>
          <t>Inasistencia - Sin motivo registrado</t>
        </is>
      </c>
      <c r="V27" s="14"/>
      <c r="W27" s="22"/>
      <c r="X27" s="14"/>
      <c r="Y27" s="11" t="str">
        <f>IF(V27="","",IF(X27&lt;&gt;"",IF(X27-V27&lt;30,"No","Sí"),IF(TODAY()-V27&gt;=30,"Sí","En curso")))</f>
        <v/>
      </c>
      <c r="Z27" s="14"/>
      <c r="AA27" s="21"/>
      <c r="AB27" s="14"/>
      <c r="AC27" s="21" t="inlineStr">
        <is>
          <t>Abierto</t>
        </is>
      </c>
      <c r="AD27" s="21"/>
      <c r="AE27" s="7" t="inlineStr">
        <is>
          <t>Alumna actual de inglés que pidió muestra de francés (confirmado por la academia). No cuenta en el embudo de prospectos nuevos. Sin canal registrado.</t>
        </is>
      </c>
      <c r="AF27" s="11" t="str">
        <f>IF(OR(AC27&lt;&gt;"Abierto",Z27=""),"",TODAY()-Z27)</f>
        <v/>
      </c>
      <c r="AG27" s="11" t="str">
        <f>IF(AC27&lt;&gt;"Abierto","",IF(AB27="","Sin siguiente acción",IF(AB27&lt;TODAY(),"Vencido",IF(AB27=TODAY(),"Hoy","En tiempo"))))</f>
        <v>Sin siguiente acción</v>
      </c>
      <c r="AH27" s="11" t="str">
        <f>IF(OR(B27="",V27=""),"",V27-B27)</f>
        <v/>
      </c>
      <c r="AI27" s="16">
        <f>IF(P27="","",P27-WEEKDAY(P27,3))</f>
        <v>46307</v>
      </c>
      <c r="AJ27" s="23">
        <f>IF(P27="","",DATE(YEAR(P27),MONTH(P27),1))</f>
        <v>46296</v>
      </c>
    </row>
    <row r="28">
      <c r="A28" s="21" t="inlineStr">
        <is>
          <t>P-0027</t>
        </is>
      </c>
      <c r="B28" s="14"/>
      <c r="C28" s="21" t="inlineStr">
        <is>
          <t>Nuevo</t>
        </is>
      </c>
      <c r="D28" s="21" t="inlineStr">
        <is>
          <t>Carlos Villalva</t>
        </is>
      </c>
      <c r="E28" s="21" t="inlineStr">
        <is>
          <t>7712727928</t>
        </is>
      </c>
      <c r="F28" s="21"/>
      <c r="G28" s="21" t="inlineStr">
        <is>
          <t>WhatsApp</t>
        </is>
      </c>
      <c r="H28" s="21"/>
      <c r="I28" s="21"/>
      <c r="J28" s="21" t="inlineStr">
        <is>
          <t>Junior</t>
        </is>
      </c>
      <c r="K28" s="21">
        <v>12</v>
      </c>
      <c r="L28" s="21" t="inlineStr">
        <is>
          <t>Inglés</t>
        </is>
      </c>
      <c r="M28" s="21"/>
      <c r="N28" s="21"/>
      <c r="O28" s="21" t="inlineStr">
        <is>
          <t>5. CM realizada (en decisión)</t>
        </is>
      </c>
      <c r="P28" s="14">
        <v>46310</v>
      </c>
      <c r="Q28" s="21" t="inlineStr">
        <is>
          <t>4:00 pm</t>
        </is>
      </c>
      <c r="R28" s="21"/>
      <c r="S28" s="21"/>
      <c r="T28" s="21" t="inlineStr">
        <is>
          <t>Asistió</t>
        </is>
      </c>
      <c r="U28" s="21" t="inlineStr">
        <is>
          <t>No inscripción - Horario no le acomoda</t>
        </is>
      </c>
      <c r="V28" s="14"/>
      <c r="W28" s="22"/>
      <c r="X28" s="14"/>
      <c r="Y28" s="11" t="str">
        <f>IF(V28="","",IF(X28&lt;&gt;"",IF(X28-V28&lt;30,"No","Sí"),IF(TODAY()-V28&gt;=30,"Sí","En curso")))</f>
        <v/>
      </c>
      <c r="Z28" s="14"/>
      <c r="AA28" s="21"/>
      <c r="AB28" s="14"/>
      <c r="AC28" s="21" t="inlineStr">
        <is>
          <t>Abierto</t>
        </is>
      </c>
      <c r="AD28" s="21"/>
      <c r="AE28" s="7" t="inlineStr">
        <is>
          <t>Origen por validar: los anuncios de Meta también llevan a WhatsApp.</t>
        </is>
      </c>
      <c r="AF28" s="11" t="str">
        <f>IF(OR(AC28&lt;&gt;"Abierto",Z28=""),"",TODAY()-Z28)</f>
        <v/>
      </c>
      <c r="AG28" s="11" t="str">
        <f>IF(AC28&lt;&gt;"Abierto","",IF(AB28="","Sin siguiente acción",IF(AB28&lt;TODAY(),"Vencido",IF(AB28=TODAY(),"Hoy","En tiempo"))))</f>
        <v>Sin siguiente acción</v>
      </c>
      <c r="AH28" s="11" t="str">
        <f>IF(OR(B28="",V28=""),"",V28-B28)</f>
        <v/>
      </c>
      <c r="AI28" s="16">
        <f>IF(P28="","",P28-WEEKDAY(P28,3))</f>
        <v>46307</v>
      </c>
      <c r="AJ28" s="23">
        <f>IF(P28="","",DATE(YEAR(P28),MONTH(P28),1))</f>
        <v>46296</v>
      </c>
    </row>
    <row r="29">
      <c r="A29" s="21" t="inlineStr">
        <is>
          <t>P-0028</t>
        </is>
      </c>
      <c r="B29" s="14"/>
      <c r="C29" s="21" t="inlineStr">
        <is>
          <t>Nuevo</t>
        </is>
      </c>
      <c r="D29" s="21" t="inlineStr">
        <is>
          <t>Citlali Perez Vargas</t>
        </is>
      </c>
      <c r="E29" s="21" t="inlineStr">
        <is>
          <t>4423200655</t>
        </is>
      </c>
      <c r="F29" s="21"/>
      <c r="G29" s="21" t="inlineStr">
        <is>
          <t>Instagram</t>
        </is>
      </c>
      <c r="H29" s="21"/>
      <c r="I29" s="21"/>
      <c r="J29" s="21" t="inlineStr">
        <is>
          <t>College</t>
        </is>
      </c>
      <c r="K29" s="21">
        <v>33</v>
      </c>
      <c r="L29" s="21" t="inlineStr">
        <is>
          <t>Inglés</t>
        </is>
      </c>
      <c r="M29" s="21"/>
      <c r="N29" s="21"/>
      <c r="O29" s="21" t="inlineStr">
        <is>
          <t>5. CM realizada (en decisión)</t>
        </is>
      </c>
      <c r="P29" s="14">
        <v>46310</v>
      </c>
      <c r="Q29" s="21" t="inlineStr">
        <is>
          <t>12:00 pm</t>
        </is>
      </c>
      <c r="R29" s="21"/>
      <c r="S29" s="21"/>
      <c r="T29" s="21" t="inlineStr">
        <is>
          <t>Asistió</t>
        </is>
      </c>
      <c r="U29" s="21" t="inlineStr">
        <is>
          <t>No inscripción - Horario no le acomoda</t>
        </is>
      </c>
      <c r="V29" s="14"/>
      <c r="W29" s="22"/>
      <c r="X29" s="14"/>
      <c r="Y29" s="11" t="str">
        <f>IF(V29="","",IF(X29&lt;&gt;"",IF(X29-V29&lt;30,"No","Sí"),IF(TODAY()-V29&gt;=30,"Sí","En curso")))</f>
        <v/>
      </c>
      <c r="Z29" s="14"/>
      <c r="AA29" s="21"/>
      <c r="AB29" s="14"/>
      <c r="AC29" s="21" t="inlineStr">
        <is>
          <t>Abierto</t>
        </is>
      </c>
      <c r="AD29" s="21"/>
      <c r="AE29" s="7"/>
      <c r="AF29" s="11" t="str">
        <f>IF(OR(AC29&lt;&gt;"Abierto",Z29=""),"",TODAY()-Z29)</f>
        <v/>
      </c>
      <c r="AG29" s="11" t="str">
        <f>IF(AC29&lt;&gt;"Abierto","",IF(AB29="","Sin siguiente acción",IF(AB29&lt;TODAY(),"Vencido",IF(AB29=TODAY(),"Hoy","En tiempo"))))</f>
        <v>Sin siguiente acción</v>
      </c>
      <c r="AH29" s="11" t="str">
        <f>IF(OR(B29="",V29=""),"",V29-B29)</f>
        <v/>
      </c>
      <c r="AI29" s="16">
        <f>IF(P29="","",P29-WEEKDAY(P29,3))</f>
        <v>46307</v>
      </c>
      <c r="AJ29" s="23">
        <f>IF(P29="","",DATE(YEAR(P29),MONTH(P29),1))</f>
        <v>46296</v>
      </c>
    </row>
    <row r="30">
      <c r="A30" s="21" t="inlineStr">
        <is>
          <t>P-0029</t>
        </is>
      </c>
      <c r="B30" s="14"/>
      <c r="C30" s="21" t="inlineStr">
        <is>
          <t>Nuevo</t>
        </is>
      </c>
      <c r="D30" s="21" t="inlineStr">
        <is>
          <t>Eduardo Hernandez</t>
        </is>
      </c>
      <c r="E30" s="21" t="inlineStr">
        <is>
          <t>7711056674</t>
        </is>
      </c>
      <c r="F30" s="21"/>
      <c r="G30" s="21" t="inlineStr">
        <is>
          <t>Facebook</t>
        </is>
      </c>
      <c r="H30" s="21"/>
      <c r="I30" s="21"/>
      <c r="J30" s="21" t="inlineStr">
        <is>
          <t>College</t>
        </is>
      </c>
      <c r="K30" s="21">
        <v>24</v>
      </c>
      <c r="L30" s="21" t="inlineStr">
        <is>
          <t>Inglés</t>
        </is>
      </c>
      <c r="M30" s="21"/>
      <c r="N30" s="21"/>
      <c r="O30" s="21" t="inlineStr">
        <is>
          <t>6. Inscrito (pagó 1er mes)</t>
        </is>
      </c>
      <c r="P30" s="14">
        <v>46310</v>
      </c>
      <c r="Q30" s="21" t="inlineStr">
        <is>
          <t>6:00 pm</t>
        </is>
      </c>
      <c r="R30" s="21"/>
      <c r="S30" s="21"/>
      <c r="T30" s="21" t="inlineStr">
        <is>
          <t>Asistió</t>
        </is>
      </c>
      <c r="U30" s="21"/>
      <c r="V30" s="14">
        <v>46310</v>
      </c>
      <c r="W30" s="22">
        <v>800</v>
      </c>
      <c r="X30" s="14"/>
      <c r="Y30" s="11" t="str">
        <f>IF(V30="","",IF(X30&lt;&gt;"",IF(X30-V30&lt;30,"No","Sí"),IF(TODAY()-V30&gt;=30,"Sí","En curso")))</f>
        <v>En curso</v>
      </c>
      <c r="Z30" s="14"/>
      <c r="AA30" s="21" t="inlineStr">
        <is>
          <t>Ninguna (caso cerrado)</t>
        </is>
      </c>
      <c r="AB30" s="14"/>
      <c r="AC30" s="21" t="inlineStr">
        <is>
          <t>Inscrito</t>
        </is>
      </c>
      <c r="AD30" s="21"/>
      <c r="AE30" s="7" t="inlineStr">
        <is>
          <t>En la encuesta dijo Instagram; en control y base, Facebook</t>
        </is>
      </c>
      <c r="AF30" s="11" t="str">
        <f>IF(OR(AC30&lt;&gt;"Abierto",Z30=""),"",TODAY()-Z30)</f>
        <v/>
      </c>
      <c r="AG30" s="11" t="str">
        <f>IF(AC30&lt;&gt;"Abierto","",IF(AB30="","Sin siguiente acción",IF(AB30&lt;TODAY(),"Vencido",IF(AB30=TODAY(),"Hoy","En tiempo"))))</f>
        <v/>
      </c>
      <c r="AH30" s="11" t="str">
        <f>IF(OR(B30="",V30=""),"",V30-B30)</f>
        <v/>
      </c>
      <c r="AI30" s="16">
        <f>IF(P30="","",P30-WEEKDAY(P30,3))</f>
        <v>46307</v>
      </c>
      <c r="AJ30" s="23">
        <f>IF(P30="","",DATE(YEAR(P30),MONTH(P30),1))</f>
        <v>46296</v>
      </c>
    </row>
    <row r="31">
      <c r="A31" s="21" t="inlineStr">
        <is>
          <t>P-0030</t>
        </is>
      </c>
      <c r="B31" s="14"/>
      <c r="C31" s="21" t="inlineStr">
        <is>
          <t>Nuevo</t>
        </is>
      </c>
      <c r="D31" s="21" t="inlineStr">
        <is>
          <t>Karen García</t>
        </is>
      </c>
      <c r="E31" s="21" t="inlineStr">
        <is>
          <t>7713595300</t>
        </is>
      </c>
      <c r="F31" s="21"/>
      <c r="G31" s="21" t="inlineStr">
        <is>
          <t>WhatsApp</t>
        </is>
      </c>
      <c r="H31" s="21"/>
      <c r="I31" s="21"/>
      <c r="J31" s="21" t="inlineStr">
        <is>
          <t>College</t>
        </is>
      </c>
      <c r="K31" s="21">
        <v>34</v>
      </c>
      <c r="L31" s="21" t="inlineStr">
        <is>
          <t>Inglés</t>
        </is>
      </c>
      <c r="M31" s="21"/>
      <c r="N31" s="21"/>
      <c r="O31" s="21" t="inlineStr">
        <is>
          <t>2. En conversación</t>
        </is>
      </c>
      <c r="P31" s="14">
        <v>46310</v>
      </c>
      <c r="Q31" s="21" t="inlineStr">
        <is>
          <t>6:00 pm</t>
        </is>
      </c>
      <c r="R31" s="21"/>
      <c r="S31" s="21"/>
      <c r="T31" s="21" t="inlineStr">
        <is>
          <t>No asistió</t>
        </is>
      </c>
      <c r="U31" s="21" t="inlineStr">
        <is>
          <t>Inasistencia - Sin motivo registrado</t>
        </is>
      </c>
      <c r="V31" s="14"/>
      <c r="W31" s="22"/>
      <c r="X31" s="14"/>
      <c r="Y31" s="11" t="str">
        <f>IF(V31="","",IF(X31&lt;&gt;"",IF(X31-V31&lt;30,"No","Sí"),IF(TODAY()-V31&gt;=30,"Sí","En curso")))</f>
        <v/>
      </c>
      <c r="Z31" s="14"/>
      <c r="AA31" s="21"/>
      <c r="AB31" s="14"/>
      <c r="AC31" s="21" t="inlineStr">
        <is>
          <t>Abierto</t>
        </is>
      </c>
      <c r="AD31" s="21"/>
      <c r="AE31" s="7" t="inlineStr">
        <is>
          <t>Origen por validar: los anuncios de Meta también llevan a WhatsApp.</t>
        </is>
      </c>
      <c r="AF31" s="11" t="str">
        <f>IF(OR(AC31&lt;&gt;"Abierto",Z31=""),"",TODAY()-Z31)</f>
        <v/>
      </c>
      <c r="AG31" s="11" t="str">
        <f>IF(AC31&lt;&gt;"Abierto","",IF(AB31="","Sin siguiente acción",IF(AB31&lt;TODAY(),"Vencido",IF(AB31=TODAY(),"Hoy","En tiempo"))))</f>
        <v>Sin siguiente acción</v>
      </c>
      <c r="AH31" s="11" t="str">
        <f>IF(OR(B31="",V31=""),"",V31-B31)</f>
        <v/>
      </c>
      <c r="AI31" s="16">
        <f>IF(P31="","",P31-WEEKDAY(P31,3))</f>
        <v>46307</v>
      </c>
      <c r="AJ31" s="23">
        <f>IF(P31="","",DATE(YEAR(P31),MONTH(P31),1))</f>
        <v>46296</v>
      </c>
    </row>
    <row r="32">
      <c r="A32" s="21" t="inlineStr">
        <is>
          <t>P-0031</t>
        </is>
      </c>
      <c r="B32" s="14"/>
      <c r="C32" s="21" t="inlineStr">
        <is>
          <t>Nuevo</t>
        </is>
      </c>
      <c r="D32" s="21" t="inlineStr">
        <is>
          <t>Sthivf Islas Gomez</t>
        </is>
      </c>
      <c r="E32" s="21"/>
      <c r="F32" s="21"/>
      <c r="G32" s="21" t="inlineStr">
        <is>
          <t>Facebook</t>
        </is>
      </c>
      <c r="H32" s="21"/>
      <c r="I32" s="21"/>
      <c r="J32" s="21" t="inlineStr">
        <is>
          <t>College</t>
        </is>
      </c>
      <c r="K32" s="21">
        <v>28</v>
      </c>
      <c r="L32" s="21" t="inlineStr">
        <is>
          <t>Inglés</t>
        </is>
      </c>
      <c r="M32" s="21"/>
      <c r="N32" s="21"/>
      <c r="O32" s="21" t="inlineStr">
        <is>
          <t>2. En conversación</t>
        </is>
      </c>
      <c r="P32" s="14">
        <v>46310</v>
      </c>
      <c r="Q32" s="21" t="inlineStr">
        <is>
          <t>6:00 pm</t>
        </is>
      </c>
      <c r="R32" s="21"/>
      <c r="S32" s="21"/>
      <c r="T32" s="21" t="inlineStr">
        <is>
          <t>No asistió</t>
        </is>
      </c>
      <c r="U32" s="21" t="inlineStr">
        <is>
          <t>Inasistencia - Sin motivo registrado</t>
        </is>
      </c>
      <c r="V32" s="14"/>
      <c r="W32" s="22"/>
      <c r="X32" s="14"/>
      <c r="Y32" s="11" t="str">
        <f>IF(V32="","",IF(X32&lt;&gt;"",IF(X32-V32&lt;30,"No","Sí"),IF(TODAY()-V32&gt;=30,"Sí","En curso")))</f>
        <v/>
      </c>
      <c r="Z32" s="14"/>
      <c r="AA32" s="21"/>
      <c r="AB32" s="14"/>
      <c r="AC32" s="21" t="inlineStr">
        <is>
          <t>Abierto</t>
        </is>
      </c>
      <c r="AD32" s="21"/>
      <c r="AE32" s="7"/>
      <c r="AF32" s="11" t="str">
        <f>IF(OR(AC32&lt;&gt;"Abierto",Z32=""),"",TODAY()-Z32)</f>
        <v/>
      </c>
      <c r="AG32" s="11" t="str">
        <f>IF(AC32&lt;&gt;"Abierto","",IF(AB32="","Sin siguiente acción",IF(AB32&lt;TODAY(),"Vencido",IF(AB32=TODAY(),"Hoy","En tiempo"))))</f>
        <v>Sin siguiente acción</v>
      </c>
      <c r="AH32" s="11" t="str">
        <f>IF(OR(B32="",V32=""),"",V32-B32)</f>
        <v/>
      </c>
      <c r="AI32" s="16">
        <f>IF(P32="","",P32-WEEKDAY(P32,3))</f>
        <v>46307</v>
      </c>
      <c r="AJ32" s="23">
        <f>IF(P32="","",DATE(YEAR(P32),MONTH(P32),1))</f>
        <v>46296</v>
      </c>
    </row>
    <row r="33">
      <c r="A33" s="21" t="inlineStr">
        <is>
          <t>P-0032</t>
        </is>
      </c>
      <c r="B33" s="14"/>
      <c r="C33" s="21" t="inlineStr">
        <is>
          <t>Nuevo</t>
        </is>
      </c>
      <c r="D33" s="21" t="inlineStr">
        <is>
          <t>Valentina Villalba</t>
        </is>
      </c>
      <c r="E33" s="21" t="inlineStr">
        <is>
          <t>7712727928</t>
        </is>
      </c>
      <c r="F33" s="21"/>
      <c r="G33" s="21" t="inlineStr">
        <is>
          <t>WhatsApp</t>
        </is>
      </c>
      <c r="H33" s="21"/>
      <c r="I33" s="21"/>
      <c r="J33" s="21" t="inlineStr">
        <is>
          <t>Junior</t>
        </is>
      </c>
      <c r="K33" s="21">
        <v>14</v>
      </c>
      <c r="L33" s="21" t="inlineStr">
        <is>
          <t>Inglés</t>
        </is>
      </c>
      <c r="M33" s="21"/>
      <c r="N33" s="21"/>
      <c r="O33" s="21" t="inlineStr">
        <is>
          <t>5. CM realizada (en decisión)</t>
        </is>
      </c>
      <c r="P33" s="14">
        <v>46310</v>
      </c>
      <c r="Q33" s="21" t="inlineStr">
        <is>
          <t>4:00 pm</t>
        </is>
      </c>
      <c r="R33" s="21"/>
      <c r="S33" s="21"/>
      <c r="T33" s="21" t="inlineStr">
        <is>
          <t>Asistió</t>
        </is>
      </c>
      <c r="U33" s="21" t="inlineStr">
        <is>
          <t>No inscripción - Horario no le acomoda</t>
        </is>
      </c>
      <c r="V33" s="14"/>
      <c r="W33" s="22"/>
      <c r="X33" s="14"/>
      <c r="Y33" s="11" t="str">
        <f>IF(V33="","",IF(X33&lt;&gt;"",IF(X33-V33&lt;30,"No","Sí"),IF(TODAY()-V33&gt;=30,"Sí","En curso")))</f>
        <v/>
      </c>
      <c r="Z33" s="14"/>
      <c r="AA33" s="21"/>
      <c r="AB33" s="14"/>
      <c r="AC33" s="21" t="inlineStr">
        <is>
          <t>Abierto</t>
        </is>
      </c>
      <c r="AD33" s="21"/>
      <c r="AE33" s="7" t="inlineStr">
        <is>
          <t>Origen por validar: los anuncios de Meta también llevan a WhatsApp.</t>
        </is>
      </c>
      <c r="AF33" s="11" t="str">
        <f>IF(OR(AC33&lt;&gt;"Abierto",Z33=""),"",TODAY()-Z33)</f>
        <v/>
      </c>
      <c r="AG33" s="11" t="str">
        <f>IF(AC33&lt;&gt;"Abierto","",IF(AB33="","Sin siguiente acción",IF(AB33&lt;TODAY(),"Vencido",IF(AB33=TODAY(),"Hoy","En tiempo"))))</f>
        <v>Sin siguiente acción</v>
      </c>
      <c r="AH33" s="11" t="str">
        <f>IF(OR(B33="",V33=""),"",V33-B33)</f>
        <v/>
      </c>
      <c r="AI33" s="16">
        <f>IF(P33="","",P33-WEEKDAY(P33,3))</f>
        <v>46307</v>
      </c>
      <c r="AJ33" s="23">
        <f>IF(P33="","",DATE(YEAR(P33),MONTH(P33),1))</f>
        <v>46296</v>
      </c>
    </row>
    <row r="34">
      <c r="A34" s="21" t="inlineStr">
        <is>
          <t>P-0033</t>
        </is>
      </c>
      <c r="B34" s="14"/>
      <c r="C34" s="21" t="inlineStr">
        <is>
          <t>Nuevo</t>
        </is>
      </c>
      <c r="D34" s="21" t="inlineStr">
        <is>
          <t>Brisa Azul Salgado Anastasio</t>
        </is>
      </c>
      <c r="E34" s="21" t="inlineStr">
        <is>
          <t>7721251065</t>
        </is>
      </c>
      <c r="F34" s="21"/>
      <c r="G34" s="21" t="inlineStr">
        <is>
          <t>WhatsApp</t>
        </is>
      </c>
      <c r="H34" s="21"/>
      <c r="I34" s="21"/>
      <c r="J34" s="21" t="inlineStr">
        <is>
          <t>Junior</t>
        </is>
      </c>
      <c r="K34" s="21">
        <v>14</v>
      </c>
      <c r="L34" s="21" t="inlineStr">
        <is>
          <t>Inglés</t>
        </is>
      </c>
      <c r="M34" s="21"/>
      <c r="N34" s="21"/>
      <c r="O34" s="21" t="inlineStr">
        <is>
          <t>5. CM realizada (en decisión)</t>
        </is>
      </c>
      <c r="P34" s="14">
        <v>46311</v>
      </c>
      <c r="Q34" s="21" t="inlineStr">
        <is>
          <t>4:00 pm</t>
        </is>
      </c>
      <c r="R34" s="21"/>
      <c r="S34" s="21"/>
      <c r="T34" s="21" t="inlineStr">
        <is>
          <t>Asistió</t>
        </is>
      </c>
      <c r="U34" s="21" t="inlineStr">
        <is>
          <t>No inscripción - Lo está pensando / consultará</t>
        </is>
      </c>
      <c r="V34" s="14"/>
      <c r="W34" s="22"/>
      <c r="X34" s="14"/>
      <c r="Y34" s="11" t="str">
        <f>IF(V34="","",IF(X34&lt;&gt;"",IF(X34-V34&lt;30,"No","Sí"),IF(TODAY()-V34&gt;=30,"Sí","En curso")))</f>
        <v/>
      </c>
      <c r="Z34" s="14"/>
      <c r="AA34" s="21"/>
      <c r="AB34" s="14"/>
      <c r="AC34" s="21" t="inlineStr">
        <is>
          <t>Abierto</t>
        </is>
      </c>
      <c r="AD34" s="21"/>
      <c r="AE34" s="7" t="inlineStr">
        <is>
          <t>Origen por validar: los anuncios de Meta también llevan a WhatsApp. En la encuesta (16-oct) dijo "Muy interesada" y que se inscribiría "Hoy mismo". Al 23-oct sigue sin inscribirse.</t>
        </is>
      </c>
      <c r="AF34" s="11" t="str">
        <f>IF(OR(AC34&lt;&gt;"Abierto",Z34=""),"",TODAY()-Z34)</f>
        <v/>
      </c>
      <c r="AG34" s="11" t="str">
        <f>IF(AC34&lt;&gt;"Abierto","",IF(AB34="","Sin siguiente acción",IF(AB34&lt;TODAY(),"Vencido",IF(AB34=TODAY(),"Hoy","En tiempo"))))</f>
        <v>Sin siguiente acción</v>
      </c>
      <c r="AH34" s="11" t="str">
        <f>IF(OR(B34="",V34=""),"",V34-B34)</f>
        <v/>
      </c>
      <c r="AI34" s="16">
        <f>IF(P34="","",P34-WEEKDAY(P34,3))</f>
        <v>46307</v>
      </c>
      <c r="AJ34" s="23">
        <f>IF(P34="","",DATE(YEAR(P34),MONTH(P34),1))</f>
        <v>46296</v>
      </c>
    </row>
    <row r="35">
      <c r="A35" s="21" t="inlineStr">
        <is>
          <t>P-0034</t>
        </is>
      </c>
      <c r="B35" s="14"/>
      <c r="C35" s="21" t="inlineStr">
        <is>
          <t>Nuevo</t>
        </is>
      </c>
      <c r="D35" s="21" t="inlineStr">
        <is>
          <t>Fernanda Trejo</t>
        </is>
      </c>
      <c r="E35" s="21" t="inlineStr">
        <is>
          <t>7717820054</t>
        </is>
      </c>
      <c r="F35" s="21"/>
      <c r="G35" s="21" t="inlineStr">
        <is>
          <t>WhatsApp</t>
        </is>
      </c>
      <c r="H35" s="21"/>
      <c r="I35" s="21"/>
      <c r="J35" s="21" t="inlineStr">
        <is>
          <t>Junior</t>
        </is>
      </c>
      <c r="K35" s="21">
        <v>15</v>
      </c>
      <c r="L35" s="21" t="inlineStr">
        <is>
          <t>Inglés</t>
        </is>
      </c>
      <c r="M35" s="21"/>
      <c r="N35" s="21"/>
      <c r="O35" s="21" t="inlineStr">
        <is>
          <t>2. En conversación</t>
        </is>
      </c>
      <c r="P35" s="14">
        <v>46311</v>
      </c>
      <c r="Q35" s="21" t="inlineStr">
        <is>
          <t>4:00 pm</t>
        </is>
      </c>
      <c r="R35" s="21"/>
      <c r="S35" s="21"/>
      <c r="T35" s="21" t="inlineStr">
        <is>
          <t>No asistió</t>
        </is>
      </c>
      <c r="U35" s="21" t="inlineStr">
        <is>
          <t>Inasistencia - Sin motivo registrado</t>
        </is>
      </c>
      <c r="V35" s="14"/>
      <c r="W35" s="22"/>
      <c r="X35" s="14"/>
      <c r="Y35" s="11" t="str">
        <f>IF(V35="","",IF(X35&lt;&gt;"",IF(X35-V35&lt;30,"No","Sí"),IF(TODAY()-V35&gt;=30,"Sí","En curso")))</f>
        <v/>
      </c>
      <c r="Z35" s="14"/>
      <c r="AA35" s="21"/>
      <c r="AB35" s="14"/>
      <c r="AC35" s="21" t="inlineStr">
        <is>
          <t>Abierto</t>
        </is>
      </c>
      <c r="AD35" s="21"/>
      <c r="AE35" s="7" t="inlineStr">
        <is>
          <t>Origen por validar: los anuncios de Meta también llevan a WhatsApp.</t>
        </is>
      </c>
      <c r="AF35" s="11" t="str">
        <f>IF(OR(AC35&lt;&gt;"Abierto",Z35=""),"",TODAY()-Z35)</f>
        <v/>
      </c>
      <c r="AG35" s="11" t="str">
        <f>IF(AC35&lt;&gt;"Abierto","",IF(AB35="","Sin siguiente acción",IF(AB35&lt;TODAY(),"Vencido",IF(AB35=TODAY(),"Hoy","En tiempo"))))</f>
        <v>Sin siguiente acción</v>
      </c>
      <c r="AH35" s="11" t="str">
        <f>IF(OR(B35="",V35=""),"",V35-B35)</f>
        <v/>
      </c>
      <c r="AI35" s="16">
        <f>IF(P35="","",P35-WEEKDAY(P35,3))</f>
        <v>46307</v>
      </c>
      <c r="AJ35" s="23">
        <f>IF(P35="","",DATE(YEAR(P35),MONTH(P35),1))</f>
        <v>46296</v>
      </c>
    </row>
    <row r="36">
      <c r="A36" s="21" t="inlineStr">
        <is>
          <t>P-0035</t>
        </is>
      </c>
      <c r="B36" s="14"/>
      <c r="C36" s="21" t="inlineStr">
        <is>
          <t>Nuevo</t>
        </is>
      </c>
      <c r="D36" s="21" t="inlineStr">
        <is>
          <t>Carlos Mercado</t>
        </is>
      </c>
      <c r="E36" s="21" t="inlineStr">
        <is>
          <t>7712164572</t>
        </is>
      </c>
      <c r="F36" s="21"/>
      <c r="G36" s="21" t="inlineStr">
        <is>
          <t>WhatsApp</t>
        </is>
      </c>
      <c r="H36" s="21"/>
      <c r="I36" s="21"/>
      <c r="J36" s="21" t="inlineStr">
        <is>
          <t>College</t>
        </is>
      </c>
      <c r="K36" s="21">
        <v>38</v>
      </c>
      <c r="L36" s="21" t="inlineStr">
        <is>
          <t>Inglés</t>
        </is>
      </c>
      <c r="M36" s="21"/>
      <c r="N36" s="21"/>
      <c r="O36" s="21" t="inlineStr">
        <is>
          <t>6. Inscrito (pagó 1er mes)</t>
        </is>
      </c>
      <c r="P36" s="14">
        <v>46314</v>
      </c>
      <c r="Q36" s="21" t="inlineStr">
        <is>
          <t>7 p.m.</t>
        </is>
      </c>
      <c r="R36" s="21"/>
      <c r="S36" s="21"/>
      <c r="T36" s="21" t="inlineStr">
        <is>
          <t>Asistió</t>
        </is>
      </c>
      <c r="U36" s="21"/>
      <c r="V36" s="14"/>
      <c r="W36" s="22"/>
      <c r="X36" s="14"/>
      <c r="Y36" s="11" t="str">
        <f>IF(V36="","",IF(X36&lt;&gt;"",IF(X36-V36&lt;30,"No","Sí"),IF(TODAY()-V36&gt;=30,"Sí","En curso")))</f>
        <v/>
      </c>
      <c r="Z36" s="14"/>
      <c r="AA36" s="21" t="inlineStr">
        <is>
          <t>Ninguna (caso cerrado)</t>
        </is>
      </c>
      <c r="AB36" s="14"/>
      <c r="AC36" s="21" t="inlineStr">
        <is>
          <t>Inscrito</t>
        </is>
      </c>
      <c r="AD36" s="21"/>
      <c r="AE36" s="7" t="inlineStr">
        <is>
          <t>Inscrito en el control (19-oct); no está en la base del 19-oct: capturar fecha de pago y mensualidad Origen por validar: los anuncios de Meta también llevan a WhatsApp.</t>
        </is>
      </c>
      <c r="AF36" s="11" t="str">
        <f>IF(OR(AC36&lt;&gt;"Abierto",Z36=""),"",TODAY()-Z36)</f>
        <v/>
      </c>
      <c r="AG36" s="11" t="str">
        <f>IF(AC36&lt;&gt;"Abierto","",IF(AB36="","Sin siguiente acción",IF(AB36&lt;TODAY(),"Vencido",IF(AB36=TODAY(),"Hoy","En tiempo"))))</f>
        <v/>
      </c>
      <c r="AH36" s="11" t="str">
        <f>IF(OR(B36="",V36=""),"",V36-B36)</f>
        <v/>
      </c>
      <c r="AI36" s="16">
        <f>IF(P36="","",P36-WEEKDAY(P36,3))</f>
        <v>46314</v>
      </c>
      <c r="AJ36" s="23">
        <f>IF(P36="","",DATE(YEAR(P36),MONTH(P36),1))</f>
        <v>46296</v>
      </c>
    </row>
    <row r="37">
      <c r="A37" s="21" t="inlineStr">
        <is>
          <t>P-0036</t>
        </is>
      </c>
      <c r="B37" s="14"/>
      <c r="C37" s="21" t="inlineStr">
        <is>
          <t>Nuevo</t>
        </is>
      </c>
      <c r="D37" s="21" t="inlineStr">
        <is>
          <t>Kim Yetzali</t>
        </is>
      </c>
      <c r="E37" s="21" t="inlineStr">
        <is>
          <t>7711578877</t>
        </is>
      </c>
      <c r="F37" s="21"/>
      <c r="G37" s="21" t="inlineStr">
        <is>
          <t>Facebook</t>
        </is>
      </c>
      <c r="H37" s="21"/>
      <c r="I37" s="21"/>
      <c r="J37" s="21" t="inlineStr">
        <is>
          <t>Junior</t>
        </is>
      </c>
      <c r="K37" s="21">
        <v>14</v>
      </c>
      <c r="L37" s="21" t="inlineStr">
        <is>
          <t>Inglés</t>
        </is>
      </c>
      <c r="M37" s="21"/>
      <c r="N37" s="21"/>
      <c r="O37" s="21" t="inlineStr">
        <is>
          <t>5. CM realizada (en decisión)</t>
        </is>
      </c>
      <c r="P37" s="14">
        <v>46314</v>
      </c>
      <c r="Q37" s="21" t="inlineStr">
        <is>
          <t>4 p.m.</t>
        </is>
      </c>
      <c r="R37" s="21"/>
      <c r="S37" s="21"/>
      <c r="T37" s="21" t="inlineStr">
        <is>
          <t>Asistió</t>
        </is>
      </c>
      <c r="U37" s="21" t="inlineStr">
        <is>
          <t>No inscripción - No responde después de la clase</t>
        </is>
      </c>
      <c r="V37" s="14"/>
      <c r="W37" s="22"/>
      <c r="X37" s="14"/>
      <c r="Y37" s="11" t="str">
        <f>IF(V37="","",IF(X37&lt;&gt;"",IF(X37-V37&lt;30,"No","Sí"),IF(TODAY()-V37&gt;=30,"Sí","En curso")))</f>
        <v/>
      </c>
      <c r="Z37" s="14"/>
      <c r="AA37" s="21"/>
      <c r="AB37" s="14"/>
      <c r="AC37" s="21" t="inlineStr">
        <is>
          <t>Abierto</t>
        </is>
      </c>
      <c r="AD37" s="21"/>
      <c r="AE37" s="7"/>
      <c r="AF37" s="11" t="str">
        <f>IF(OR(AC37&lt;&gt;"Abierto",Z37=""),"",TODAY()-Z37)</f>
        <v/>
      </c>
      <c r="AG37" s="11" t="str">
        <f>IF(AC37&lt;&gt;"Abierto","",IF(AB37="","Sin siguiente acción",IF(AB37&lt;TODAY(),"Vencido",IF(AB37=TODAY(),"Hoy","En tiempo"))))</f>
        <v>Sin siguiente acción</v>
      </c>
      <c r="AH37" s="11" t="str">
        <f>IF(OR(B37="",V37=""),"",V37-B37)</f>
        <v/>
      </c>
      <c r="AI37" s="16">
        <f>IF(P37="","",P37-WEEKDAY(P37,3))</f>
        <v>46314</v>
      </c>
      <c r="AJ37" s="23">
        <f>IF(P37="","",DATE(YEAR(P37),MONTH(P37),1))</f>
        <v>46296</v>
      </c>
    </row>
    <row r="38">
      <c r="A38" s="21" t="inlineStr">
        <is>
          <t>P-0037</t>
        </is>
      </c>
      <c r="B38" s="14"/>
      <c r="C38" s="21" t="inlineStr">
        <is>
          <t>Nuevo</t>
        </is>
      </c>
      <c r="D38" s="21" t="inlineStr">
        <is>
          <t>Dylan santiago lopez valverde</t>
        </is>
      </c>
      <c r="E38" s="21" t="inlineStr">
        <is>
          <t>7712091673</t>
        </is>
      </c>
      <c r="F38" s="21"/>
      <c r="G38" s="21" t="inlineStr">
        <is>
          <t>Facebook</t>
        </is>
      </c>
      <c r="H38" s="21"/>
      <c r="I38" s="21"/>
      <c r="J38" s="21" t="inlineStr">
        <is>
          <t>Kids</t>
        </is>
      </c>
      <c r="K38" s="21">
        <v>11</v>
      </c>
      <c r="L38" s="21" t="inlineStr">
        <is>
          <t>Inglés</t>
        </is>
      </c>
      <c r="M38" s="21"/>
      <c r="N38" s="21"/>
      <c r="O38" s="21" t="inlineStr">
        <is>
          <t>6. Inscrito (pagó 1er mes)</t>
        </is>
      </c>
      <c r="P38" s="14">
        <v>46315</v>
      </c>
      <c r="Q38" s="21" t="inlineStr">
        <is>
          <t>4 pm</t>
        </is>
      </c>
      <c r="R38" s="21"/>
      <c r="S38" s="21"/>
      <c r="T38" s="21" t="inlineStr">
        <is>
          <t>Asistió</t>
        </is>
      </c>
      <c r="U38" s="21"/>
      <c r="V38" s="14"/>
      <c r="W38" s="22"/>
      <c r="X38" s="14"/>
      <c r="Y38" s="11" t="str">
        <f>IF(V38="","",IF(X38&lt;&gt;"",IF(X38-V38&lt;30,"No","Sí"),IF(TODAY()-V38&gt;=30,"Sí","En curso")))</f>
        <v/>
      </c>
      <c r="Z38" s="14"/>
      <c r="AA38" s="21" t="inlineStr">
        <is>
          <t>Ninguna (caso cerrado)</t>
        </is>
      </c>
      <c r="AB38" s="14"/>
      <c r="AC38" s="21" t="inlineStr">
        <is>
          <t>Inscrito</t>
        </is>
      </c>
      <c r="AD38" s="21"/>
      <c r="AE38" s="7" t="inlineStr">
        <is>
          <t>Inscrito en el control (20-oct) pero con motivo "Pendiente de decisión": confirmar pago</t>
        </is>
      </c>
      <c r="AF38" s="11" t="str">
        <f>IF(OR(AC38&lt;&gt;"Abierto",Z38=""),"",TODAY()-Z38)</f>
        <v/>
      </c>
      <c r="AG38" s="11" t="str">
        <f>IF(AC38&lt;&gt;"Abierto","",IF(AB38="","Sin siguiente acción",IF(AB38&lt;TODAY(),"Vencido",IF(AB38=TODAY(),"Hoy","En tiempo"))))</f>
        <v/>
      </c>
      <c r="AH38" s="11" t="str">
        <f>IF(OR(B38="",V38=""),"",V38-B38)</f>
        <v/>
      </c>
      <c r="AI38" s="16">
        <f>IF(P38="","",P38-WEEKDAY(P38,3))</f>
        <v>46314</v>
      </c>
      <c r="AJ38" s="23">
        <f>IF(P38="","",DATE(YEAR(P38),MONTH(P38),1))</f>
        <v>46296</v>
      </c>
    </row>
    <row r="39">
      <c r="A39" s="21" t="inlineStr">
        <is>
          <t>P-0038</t>
        </is>
      </c>
      <c r="B39" s="14"/>
      <c r="C39" s="21" t="inlineStr">
        <is>
          <t>Nuevo</t>
        </is>
      </c>
      <c r="D39" s="21" t="inlineStr">
        <is>
          <t>Luna Danae Ángeles Islas</t>
        </is>
      </c>
      <c r="E39" s="21" t="inlineStr">
        <is>
          <t>7711834181</t>
        </is>
      </c>
      <c r="F39" s="21"/>
      <c r="G39" s="21" t="inlineStr">
        <is>
          <t>WhatsApp</t>
        </is>
      </c>
      <c r="H39" s="21"/>
      <c r="I39" s="21"/>
      <c r="J39" s="21" t="inlineStr">
        <is>
          <t>Junior</t>
        </is>
      </c>
      <c r="K39" s="21">
        <v>12</v>
      </c>
      <c r="L39" s="21" t="inlineStr">
        <is>
          <t>Inglés</t>
        </is>
      </c>
      <c r="M39" s="21"/>
      <c r="N39" s="21"/>
      <c r="O39" s="21" t="inlineStr">
        <is>
          <t>6. Inscrito (pagó 1er mes)</t>
        </is>
      </c>
      <c r="P39" s="14">
        <v>46315</v>
      </c>
      <c r="Q39" s="21" t="inlineStr">
        <is>
          <t>4:00 p.m.</t>
        </is>
      </c>
      <c r="R39" s="21"/>
      <c r="S39" s="21"/>
      <c r="T39" s="21" t="inlineStr">
        <is>
          <t>Asistió</t>
        </is>
      </c>
      <c r="U39" s="21"/>
      <c r="V39" s="14"/>
      <c r="W39" s="22"/>
      <c r="X39" s="14"/>
      <c r="Y39" s="11" t="str">
        <f>IF(V39="","",IF(X39&lt;&gt;"",IF(X39-V39&lt;30,"No","Sí"),IF(TODAY()-V39&gt;=30,"Sí","En curso")))</f>
        <v/>
      </c>
      <c r="Z39" s="14"/>
      <c r="AA39" s="21" t="inlineStr">
        <is>
          <t>Ninguna (caso cerrado)</t>
        </is>
      </c>
      <c r="AB39" s="14"/>
      <c r="AC39" s="21" t="inlineStr">
        <is>
          <t>Inscrito</t>
        </is>
      </c>
      <c r="AD39" s="21"/>
      <c r="AE39" s="7" t="inlineStr">
        <is>
          <t>Inscrita en el control (20-oct) pero con motivo "Pendiente de decisión": confirmar pago Origen por validar: los anuncios de Meta también llevan a WhatsApp.</t>
        </is>
      </c>
      <c r="AF39" s="11" t="str">
        <f>IF(OR(AC39&lt;&gt;"Abierto",Z39=""),"",TODAY()-Z39)</f>
        <v/>
      </c>
      <c r="AG39" s="11" t="str">
        <f>IF(AC39&lt;&gt;"Abierto","",IF(AB39="","Sin siguiente acción",IF(AB39&lt;TODAY(),"Vencido",IF(AB39=TODAY(),"Hoy","En tiempo"))))</f>
        <v/>
      </c>
      <c r="AH39" s="11" t="str">
        <f>IF(OR(B39="",V39=""),"",V39-B39)</f>
        <v/>
      </c>
      <c r="AI39" s="16">
        <f>IF(P39="","",P39-WEEKDAY(P39,3))</f>
        <v>46314</v>
      </c>
      <c r="AJ39" s="23">
        <f>IF(P39="","",DATE(YEAR(P39),MONTH(P39),1))</f>
        <v>46296</v>
      </c>
    </row>
    <row r="40">
      <c r="A40" s="21" t="inlineStr">
        <is>
          <t>P-0039</t>
        </is>
      </c>
      <c r="B40" s="14"/>
      <c r="C40" s="21" t="inlineStr">
        <is>
          <t>Nuevo</t>
        </is>
      </c>
      <c r="D40" s="21" t="inlineStr">
        <is>
          <t>Axel Santiago Vallejo Salazar</t>
        </is>
      </c>
      <c r="E40" s="21" t="inlineStr">
        <is>
          <t>7712940466</t>
        </is>
      </c>
      <c r="F40" s="21"/>
      <c r="G40" s="21" t="inlineStr">
        <is>
          <t>WhatsApp</t>
        </is>
      </c>
      <c r="H40" s="21"/>
      <c r="I40" s="21"/>
      <c r="J40" s="21" t="inlineStr">
        <is>
          <t>Kids</t>
        </is>
      </c>
      <c r="K40" s="21">
        <v>13</v>
      </c>
      <c r="L40" s="21" t="inlineStr">
        <is>
          <t>Inglés</t>
        </is>
      </c>
      <c r="M40" s="21"/>
      <c r="N40" s="21"/>
      <c r="O40" s="21" t="inlineStr">
        <is>
          <t>2. En conversación</t>
        </is>
      </c>
      <c r="P40" s="14">
        <v>46317</v>
      </c>
      <c r="Q40" s="21" t="inlineStr">
        <is>
          <t>5 p.m.</t>
        </is>
      </c>
      <c r="R40" s="21"/>
      <c r="S40" s="21"/>
      <c r="T40" s="21" t="inlineStr">
        <is>
          <t>No asistió</t>
        </is>
      </c>
      <c r="U40" s="21" t="inlineStr">
        <is>
          <t>Inasistencia - Sin motivo registrado</t>
        </is>
      </c>
      <c r="V40" s="14"/>
      <c r="W40" s="22"/>
      <c r="X40" s="14"/>
      <c r="Y40" s="11" t="str">
        <f>IF(V40="","",IF(X40&lt;&gt;"",IF(X40-V40&lt;30,"No","Sí"),IF(TODAY()-V40&gt;=30,"Sí","En curso")))</f>
        <v/>
      </c>
      <c r="Z40" s="14"/>
      <c r="AA40" s="21"/>
      <c r="AB40" s="14"/>
      <c r="AC40" s="21" t="inlineStr">
        <is>
          <t>Abierto</t>
        </is>
      </c>
      <c r="AD40" s="21"/>
      <c r="AE40" s="7" t="inlineStr">
        <is>
          <t>Origen por validar: los anuncios de Meta también llevan a WhatsApp.</t>
        </is>
      </c>
      <c r="AF40" s="11" t="str">
        <f>IF(OR(AC40&lt;&gt;"Abierto",Z40=""),"",TODAY()-Z40)</f>
        <v/>
      </c>
      <c r="AG40" s="11" t="str">
        <f>IF(AC40&lt;&gt;"Abierto","",IF(AB40="","Sin siguiente acción",IF(AB40&lt;TODAY(),"Vencido",IF(AB40=TODAY(),"Hoy","En tiempo"))))</f>
        <v>Sin siguiente acción</v>
      </c>
      <c r="AH40" s="11" t="str">
        <f>IF(OR(B40="",V40=""),"",V40-B40)</f>
        <v/>
      </c>
      <c r="AI40" s="16">
        <f>IF(P40="","",P40-WEEKDAY(P40,3))</f>
        <v>46314</v>
      </c>
      <c r="AJ40" s="23">
        <f>IF(P40="","",DATE(YEAR(P40),MONTH(P40),1))</f>
        <v>46296</v>
      </c>
    </row>
    <row r="41">
      <c r="A41" s="21" t="inlineStr">
        <is>
          <t>P-0040</t>
        </is>
      </c>
      <c r="B41" s="14"/>
      <c r="C41" s="21" t="inlineStr">
        <is>
          <t>Nuevo</t>
        </is>
      </c>
      <c r="D41" s="21" t="inlineStr">
        <is>
          <t>Eduardo Alexis Vallejo Salazar</t>
        </is>
      </c>
      <c r="E41" s="21" t="inlineStr">
        <is>
          <t>7712940466</t>
        </is>
      </c>
      <c r="F41" s="21"/>
      <c r="G41" s="21" t="inlineStr">
        <is>
          <t>WhatsApp</t>
        </is>
      </c>
      <c r="H41" s="21"/>
      <c r="I41" s="21"/>
      <c r="J41" s="21" t="inlineStr">
        <is>
          <t>College</t>
        </is>
      </c>
      <c r="K41" s="21">
        <v>18</v>
      </c>
      <c r="L41" s="21" t="inlineStr">
        <is>
          <t>Inglés</t>
        </is>
      </c>
      <c r="M41" s="21"/>
      <c r="N41" s="21"/>
      <c r="O41" s="21" t="inlineStr">
        <is>
          <t>5. CM realizada (en decisión)</t>
        </is>
      </c>
      <c r="P41" s="14">
        <v>46317</v>
      </c>
      <c r="Q41" s="21" t="inlineStr">
        <is>
          <t>9 a.m.</t>
        </is>
      </c>
      <c r="R41" s="21"/>
      <c r="S41" s="21"/>
      <c r="T41" s="21" t="inlineStr">
        <is>
          <t>Asistió</t>
        </is>
      </c>
      <c r="U41" s="21" t="inlineStr">
        <is>
          <t>No inscripción - Lo está pensando / consultará</t>
        </is>
      </c>
      <c r="V41" s="14"/>
      <c r="W41" s="22"/>
      <c r="X41" s="14"/>
      <c r="Y41" s="11" t="str">
        <f>IF(V41="","",IF(X41&lt;&gt;"",IF(X41-V41&lt;30,"No","Sí"),IF(TODAY()-V41&gt;=30,"Sí","En curso")))</f>
        <v/>
      </c>
      <c r="Z41" s="14"/>
      <c r="AA41" s="21"/>
      <c r="AB41" s="14"/>
      <c r="AC41" s="21" t="inlineStr">
        <is>
          <t>Abierto</t>
        </is>
      </c>
      <c r="AD41" s="21"/>
      <c r="AE41" s="7" t="inlineStr">
        <is>
          <t>Origen por validar: los anuncios de Meta también llevan a WhatsApp.</t>
        </is>
      </c>
      <c r="AF41" s="11" t="str">
        <f>IF(OR(AC41&lt;&gt;"Abierto",Z41=""),"",TODAY()-Z41)</f>
        <v/>
      </c>
      <c r="AG41" s="11" t="str">
        <f>IF(AC41&lt;&gt;"Abierto","",IF(AB41="","Sin siguiente acción",IF(AB41&lt;TODAY(),"Vencido",IF(AB41=TODAY(),"Hoy","En tiempo"))))</f>
        <v>Sin siguiente acción</v>
      </c>
      <c r="AH41" s="11" t="str">
        <f>IF(OR(B41="",V41=""),"",V41-B41)</f>
        <v/>
      </c>
      <c r="AI41" s="16">
        <f>IF(P41="","",P41-WEEKDAY(P41,3))</f>
        <v>46314</v>
      </c>
      <c r="AJ41" s="23">
        <f>IF(P41="","",DATE(YEAR(P41),MONTH(P41),1))</f>
        <v>46296</v>
      </c>
    </row>
    <row r="42">
      <c r="A42" s="21" t="inlineStr">
        <is>
          <t>P-0041</t>
        </is>
      </c>
      <c r="B42" s="14"/>
      <c r="C42" s="21" t="inlineStr">
        <is>
          <t>Nuevo</t>
        </is>
      </c>
      <c r="D42" s="21" t="inlineStr">
        <is>
          <t>Montserrat Hernández Anastasio</t>
        </is>
      </c>
      <c r="E42" s="21" t="inlineStr">
        <is>
          <t>7721049117</t>
        </is>
      </c>
      <c r="F42" s="21"/>
      <c r="G42" s="21" t="inlineStr">
        <is>
          <t>WhatsApp</t>
        </is>
      </c>
      <c r="H42" s="21"/>
      <c r="I42" s="21"/>
      <c r="J42" s="21" t="inlineStr">
        <is>
          <t>College</t>
        </is>
      </c>
      <c r="K42" s="21">
        <v>24</v>
      </c>
      <c r="L42" s="21" t="inlineStr">
        <is>
          <t>Inglés</t>
        </is>
      </c>
      <c r="M42" s="21"/>
      <c r="N42" s="21"/>
      <c r="O42" s="21" t="inlineStr">
        <is>
          <t>5. CM realizada (en decisión)</t>
        </is>
      </c>
      <c r="P42" s="14">
        <v>46317</v>
      </c>
      <c r="Q42" s="21" t="inlineStr">
        <is>
          <t>7 p.m.</t>
        </is>
      </c>
      <c r="R42" s="21"/>
      <c r="S42" s="21"/>
      <c r="T42" s="21" t="inlineStr">
        <is>
          <t>Asistió</t>
        </is>
      </c>
      <c r="U42" s="21"/>
      <c r="V42" s="14"/>
      <c r="W42" s="22"/>
      <c r="X42" s="14"/>
      <c r="Y42" s="11" t="str">
        <f>IF(V42="","",IF(X42&lt;&gt;"",IF(X42-V42&lt;30,"No","Sí"),IF(TODAY()-V42&gt;=30,"Sí","En curso")))</f>
        <v/>
      </c>
      <c r="Z42" s="14"/>
      <c r="AA42" s="21"/>
      <c r="AB42" s="14"/>
      <c r="AC42" s="21" t="inlineStr">
        <is>
          <t>Abierto</t>
        </is>
      </c>
      <c r="AD42" s="21"/>
      <c r="AE42" s="7" t="inlineStr">
        <is>
          <t>Origen por validar: los anuncios de Meta también llevan a WhatsApp.</t>
        </is>
      </c>
      <c r="AF42" s="11" t="str">
        <f>IF(OR(AC42&lt;&gt;"Abierto",Z42=""),"",TODAY()-Z42)</f>
        <v/>
      </c>
      <c r="AG42" s="11" t="str">
        <f>IF(AC42&lt;&gt;"Abierto","",IF(AB42="","Sin siguiente acción",IF(AB42&lt;TODAY(),"Vencido",IF(AB42=TODAY(),"Hoy","En tiempo"))))</f>
        <v>Sin siguiente acción</v>
      </c>
      <c r="AH42" s="11" t="str">
        <f>IF(OR(B42="",V42=""),"",V42-B42)</f>
        <v/>
      </c>
      <c r="AI42" s="16">
        <f>IF(P42="","",P42-WEEKDAY(P42,3))</f>
        <v>46314</v>
      </c>
      <c r="AJ42" s="23">
        <f>IF(P42="","",DATE(YEAR(P42),MONTH(P42),1))</f>
        <v>46296</v>
      </c>
    </row>
    <row r="43">
      <c r="A43" s="21" t="inlineStr">
        <is>
          <t>P-0042</t>
        </is>
      </c>
      <c r="B43" s="14"/>
      <c r="C43" s="21" t="inlineStr">
        <is>
          <t>Nuevo</t>
        </is>
      </c>
      <c r="D43" s="21" t="inlineStr">
        <is>
          <t>Montserrat Perdomo</t>
        </is>
      </c>
      <c r="E43" s="21" t="inlineStr">
        <is>
          <t>5520711565</t>
        </is>
      </c>
      <c r="F43" s="21"/>
      <c r="G43" s="21" t="inlineStr">
        <is>
          <t>WhatsApp</t>
        </is>
      </c>
      <c r="H43" s="21"/>
      <c r="I43" s="21"/>
      <c r="J43" s="21" t="inlineStr">
        <is>
          <t>College</t>
        </is>
      </c>
      <c r="K43" s="21">
        <v>33</v>
      </c>
      <c r="L43" s="21" t="inlineStr">
        <is>
          <t>Inglés</t>
        </is>
      </c>
      <c r="M43" s="21"/>
      <c r="N43" s="21"/>
      <c r="O43" s="21" t="inlineStr">
        <is>
          <t>3. CM agendada</t>
        </is>
      </c>
      <c r="P43" s="14">
        <v>46318</v>
      </c>
      <c r="Q43" s="21" t="inlineStr">
        <is>
          <t>5:00 p.m.</t>
        </is>
      </c>
      <c r="R43" s="21"/>
      <c r="S43" s="21" t="inlineStr">
        <is>
          <t>Pendiente</t>
        </is>
      </c>
      <c r="T43" s="21" t="inlineStr">
        <is>
          <t>Pendiente</t>
        </is>
      </c>
      <c r="U43" s="21"/>
      <c r="V43" s="14"/>
      <c r="W43" s="22"/>
      <c r="X43" s="14"/>
      <c r="Y43" s="11" t="str">
        <f>IF(V43="","",IF(X43&lt;&gt;"",IF(X43-V43&lt;30,"No","Sí"),IF(TODAY()-V43&gt;=30,"Sí","En curso")))</f>
        <v/>
      </c>
      <c r="Z43" s="14"/>
      <c r="AA43" s="21" t="inlineStr">
        <is>
          <t>Confirmar CM</t>
        </is>
      </c>
      <c r="AB43" s="14">
        <v>46317</v>
      </c>
      <c r="AC43" s="21" t="inlineStr">
        <is>
          <t>Abierto</t>
        </is>
      </c>
      <c r="AD43" s="21"/>
      <c r="AE43" s="7" t="inlineStr">
        <is>
          <t>Origen por validar: los anuncios de Meta también llevan a WhatsApp.</t>
        </is>
      </c>
      <c r="AF43" s="11" t="str">
        <f>IF(OR(AC43&lt;&gt;"Abierto",Z43=""),"",TODAY()-Z43)</f>
        <v/>
      </c>
      <c r="AG43" s="11" t="str">
        <f>IF(AC43&lt;&gt;"Abierto","",IF(AB43="","Sin siguiente acción",IF(AB43&lt;TODAY(),"Vencido",IF(AB43=TODAY(),"Hoy","En tiempo"))))</f>
        <v>Vencido</v>
      </c>
      <c r="AH43" s="11" t="str">
        <f>IF(OR(B43="",V43=""),"",V43-B43)</f>
        <v/>
      </c>
      <c r="AI43" s="16">
        <f>IF(P43="","",P43-WEEKDAY(P43,3))</f>
        <v>46314</v>
      </c>
      <c r="AJ43" s="23">
        <f>IF(P43="","",DATE(YEAR(P43),MONTH(P43),1))</f>
        <v>46296</v>
      </c>
    </row>
    <row r="44">
      <c r="A44" s="21" t="inlineStr">
        <is>
          <t>P-0043</t>
        </is>
      </c>
      <c r="B44" s="14"/>
      <c r="C44" s="21" t="inlineStr">
        <is>
          <t>Nuevo</t>
        </is>
      </c>
      <c r="D44" s="21" t="inlineStr">
        <is>
          <t>Mónica Guadalupe Ortega Arreola</t>
        </is>
      </c>
      <c r="E44" s="21" t="inlineStr">
        <is>
          <t>5621526673</t>
        </is>
      </c>
      <c r="F44" s="21"/>
      <c r="G44" s="21" t="inlineStr">
        <is>
          <t>WhatsApp</t>
        </is>
      </c>
      <c r="H44" s="21"/>
      <c r="I44" s="21"/>
      <c r="J44" s="21" t="inlineStr">
        <is>
          <t>Junior</t>
        </is>
      </c>
      <c r="K44" s="21">
        <v>15</v>
      </c>
      <c r="L44" s="21" t="inlineStr">
        <is>
          <t>Inglés</t>
        </is>
      </c>
      <c r="M44" s="21"/>
      <c r="N44" s="21"/>
      <c r="O44" s="21" t="inlineStr">
        <is>
          <t>2. En conversación</t>
        </is>
      </c>
      <c r="P44" s="14">
        <v>46318</v>
      </c>
      <c r="Q44" s="21" t="inlineStr">
        <is>
          <t>5:00 p.m.</t>
        </is>
      </c>
      <c r="R44" s="21"/>
      <c r="S44" s="21"/>
      <c r="T44" s="21" t="inlineStr">
        <is>
          <t>No asistió</t>
        </is>
      </c>
      <c r="U44" s="21" t="inlineStr">
        <is>
          <t>Inasistencia - Sin motivo registrado</t>
        </is>
      </c>
      <c r="V44" s="14"/>
      <c r="W44" s="22"/>
      <c r="X44" s="14"/>
      <c r="Y44" s="11" t="str">
        <f>IF(V44="","",IF(X44&lt;&gt;"",IF(X44-V44&lt;30,"No","Sí"),IF(TODAY()-V44&gt;=30,"Sí","En curso")))</f>
        <v/>
      </c>
      <c r="Z44" s="14"/>
      <c r="AA44" s="21"/>
      <c r="AB44" s="14"/>
      <c r="AC44" s="21" t="inlineStr">
        <is>
          <t>Abierto</t>
        </is>
      </c>
      <c r="AD44" s="21"/>
      <c r="AE44" s="7" t="inlineStr">
        <is>
          <t>Origen por validar: los anuncios de Meta también llevan a WhatsApp.</t>
        </is>
      </c>
      <c r="AF44" s="11" t="str">
        <f>IF(OR(AC44&lt;&gt;"Abierto",Z44=""),"",TODAY()-Z44)</f>
        <v/>
      </c>
      <c r="AG44" s="11" t="str">
        <f>IF(AC44&lt;&gt;"Abierto","",IF(AB44="","Sin siguiente acción",IF(AB44&lt;TODAY(),"Vencido",IF(AB44=TODAY(),"Hoy","En tiempo"))))</f>
        <v>Sin siguiente acción</v>
      </c>
      <c r="AH44" s="11" t="str">
        <f>IF(OR(B44="",V44=""),"",V44-B44)</f>
        <v/>
      </c>
      <c r="AI44" s="16">
        <f>IF(P44="","",P44-WEEKDAY(P44,3))</f>
        <v>46314</v>
      </c>
      <c r="AJ44" s="23">
        <f>IF(P44="","",DATE(YEAR(P44),MONTH(P44),1))</f>
        <v>46296</v>
      </c>
    </row>
    <row r="45">
      <c r="A45" s="21" t="inlineStr">
        <is>
          <t>P-0044</t>
        </is>
      </c>
      <c r="B45" s="14"/>
      <c r="C45" s="21" t="inlineStr">
        <is>
          <t>Nuevo</t>
        </is>
      </c>
      <c r="D45" s="21" t="inlineStr">
        <is>
          <t>Valeria Abdi Arreola Sandoval</t>
        </is>
      </c>
      <c r="E45" s="21" t="inlineStr">
        <is>
          <t>5621526673</t>
        </is>
      </c>
      <c r="F45" s="21"/>
      <c r="G45" s="21" t="inlineStr">
        <is>
          <t>WhatsApp</t>
        </is>
      </c>
      <c r="H45" s="21"/>
      <c r="I45" s="21"/>
      <c r="J45" s="21" t="inlineStr">
        <is>
          <t>College</t>
        </is>
      </c>
      <c r="K45" s="21">
        <v>21</v>
      </c>
      <c r="L45" s="21" t="inlineStr">
        <is>
          <t>Inglés</t>
        </is>
      </c>
      <c r="M45" s="21"/>
      <c r="N45" s="21"/>
      <c r="O45" s="21" t="inlineStr">
        <is>
          <t>2. En conversación</t>
        </is>
      </c>
      <c r="P45" s="14">
        <v>46318</v>
      </c>
      <c r="Q45" s="21" t="inlineStr">
        <is>
          <t>5:00 p.m.</t>
        </is>
      </c>
      <c r="R45" s="21"/>
      <c r="S45" s="21"/>
      <c r="T45" s="21" t="inlineStr">
        <is>
          <t>No asistió</t>
        </is>
      </c>
      <c r="U45" s="21" t="inlineStr">
        <is>
          <t>Inasistencia - Sin motivo registrado</t>
        </is>
      </c>
      <c r="V45" s="14"/>
      <c r="W45" s="22"/>
      <c r="X45" s="14"/>
      <c r="Y45" s="11" t="str">
        <f>IF(V45="","",IF(X45&lt;&gt;"",IF(X45-V45&lt;30,"No","Sí"),IF(TODAY()-V45&gt;=30,"Sí","En curso")))</f>
        <v/>
      </c>
      <c r="Z45" s="14"/>
      <c r="AA45" s="21"/>
      <c r="AB45" s="14"/>
      <c r="AC45" s="21" t="inlineStr">
        <is>
          <t>Abierto</t>
        </is>
      </c>
      <c r="AD45" s="21"/>
      <c r="AE45" s="7" t="inlineStr">
        <is>
          <t>Origen por validar: los anuncios de Meta también llevan a WhatsApp.</t>
        </is>
      </c>
      <c r="AF45" s="11" t="str">
        <f>IF(OR(AC45&lt;&gt;"Abierto",Z45=""),"",TODAY()-Z45)</f>
        <v/>
      </c>
      <c r="AG45" s="11" t="str">
        <f>IF(AC45&lt;&gt;"Abierto","",IF(AB45="","Sin siguiente acción",IF(AB45&lt;TODAY(),"Vencido",IF(AB45=TODAY(),"Hoy","En tiempo"))))</f>
        <v>Sin siguiente acción</v>
      </c>
      <c r="AH45" s="11" t="str">
        <f>IF(OR(B45="",V45=""),"",V45-B45)</f>
        <v/>
      </c>
      <c r="AI45" s="16">
        <f>IF(P45="","",P45-WEEKDAY(P45,3))</f>
        <v>46314</v>
      </c>
      <c r="AJ45" s="23">
        <f>IF(P45="","",DATE(YEAR(P45),MONTH(P45),1))</f>
        <v>46296</v>
      </c>
    </row>
    <row r="46">
      <c r="A46" s="21" t="inlineStr">
        <is>
          <t>P-0045</t>
        </is>
      </c>
      <c r="B46" s="14"/>
      <c r="C46" s="21" t="inlineStr">
        <is>
          <t>Nuevo</t>
        </is>
      </c>
      <c r="D46" s="21" t="inlineStr">
        <is>
          <t>Alexa Garcia Pacheco</t>
        </is>
      </c>
      <c r="E46" s="21" t="inlineStr">
        <is>
          <t>5545885988</t>
        </is>
      </c>
      <c r="F46" s="21"/>
      <c r="G46" s="21" t="inlineStr">
        <is>
          <t>Facebook</t>
        </is>
      </c>
      <c r="H46" s="21"/>
      <c r="I46" s="21"/>
      <c r="J46" s="21" t="inlineStr">
        <is>
          <t>Kids</t>
        </is>
      </c>
      <c r="K46" s="21">
        <v>10</v>
      </c>
      <c r="L46" s="21" t="inlineStr">
        <is>
          <t>Inglés</t>
        </is>
      </c>
      <c r="M46" s="21"/>
      <c r="N46" s="21"/>
      <c r="O46" s="21" t="inlineStr">
        <is>
          <t>3. CM agendada</t>
        </is>
      </c>
      <c r="P46" s="14">
        <v>46319</v>
      </c>
      <c r="Q46" s="21" t="inlineStr">
        <is>
          <t>11:00 am</t>
        </is>
      </c>
      <c r="R46" s="21"/>
      <c r="S46" s="21" t="inlineStr">
        <is>
          <t>Pendiente</t>
        </is>
      </c>
      <c r="T46" s="21" t="inlineStr">
        <is>
          <t>Pendiente</t>
        </is>
      </c>
      <c r="U46" s="21"/>
      <c r="V46" s="14"/>
      <c r="W46" s="22"/>
      <c r="X46" s="14"/>
      <c r="Y46" s="11" t="str">
        <f>IF(V46="","",IF(X46&lt;&gt;"",IF(X46-V46&lt;30,"No","Sí"),IF(TODAY()-V46&gt;=30,"Sí","En curso")))</f>
        <v/>
      </c>
      <c r="Z46" s="14"/>
      <c r="AA46" s="21" t="inlineStr">
        <is>
          <t>Confirmar CM</t>
        </is>
      </c>
      <c r="AB46" s="14">
        <v>46318</v>
      </c>
      <c r="AC46" s="21" t="inlineStr">
        <is>
          <t>Abierto</t>
        </is>
      </c>
      <c r="AD46" s="21"/>
      <c r="AE46" s="7"/>
      <c r="AF46" s="11" t="str">
        <f>IF(OR(AC46&lt;&gt;"Abierto",Z46=""),"",TODAY()-Z46)</f>
        <v/>
      </c>
      <c r="AG46" s="11" t="str">
        <f>IF(AC46&lt;&gt;"Abierto","",IF(AB46="","Sin siguiente acción",IF(AB46&lt;TODAY(),"Vencido",IF(AB46=TODAY(),"Hoy","En tiempo"))))</f>
        <v>Hoy</v>
      </c>
      <c r="AH46" s="11" t="str">
        <f>IF(OR(B46="",V46=""),"",V46-B46)</f>
        <v/>
      </c>
      <c r="AI46" s="16">
        <f>IF(P46="","",P46-WEEKDAY(P46,3))</f>
        <v>46314</v>
      </c>
      <c r="AJ46" s="23">
        <f>IF(P46="","",DATE(YEAR(P46),MONTH(P46),1))</f>
        <v>46296</v>
      </c>
    </row>
    <row r="47">
      <c r="A47" s="21" t="inlineStr">
        <is>
          <t>P-0046</t>
        </is>
      </c>
      <c r="B47" s="14"/>
      <c r="C47" s="21" t="inlineStr">
        <is>
          <t>Nuevo</t>
        </is>
      </c>
      <c r="D47" s="21" t="inlineStr">
        <is>
          <t>Angel David Agua</t>
        </is>
      </c>
      <c r="E47" s="21" t="inlineStr">
        <is>
          <t>7712069640</t>
        </is>
      </c>
      <c r="F47" s="21"/>
      <c r="G47" s="21" t="inlineStr">
        <is>
          <t>Facebook</t>
        </is>
      </c>
      <c r="H47" s="21"/>
      <c r="I47" s="21"/>
      <c r="J47" s="21" t="inlineStr">
        <is>
          <t>Junior</t>
        </is>
      </c>
      <c r="K47" s="21">
        <v>14</v>
      </c>
      <c r="L47" s="21" t="inlineStr">
        <is>
          <t>Inglés</t>
        </is>
      </c>
      <c r="M47" s="21"/>
      <c r="N47" s="21"/>
      <c r="O47" s="21" t="inlineStr">
        <is>
          <t>3. CM agendada</t>
        </is>
      </c>
      <c r="P47" s="14">
        <v>46319</v>
      </c>
      <c r="Q47" s="21" t="inlineStr">
        <is>
          <t>9:00 am</t>
        </is>
      </c>
      <c r="R47" s="21"/>
      <c r="S47" s="21" t="inlineStr">
        <is>
          <t>Pendiente</t>
        </is>
      </c>
      <c r="T47" s="21" t="inlineStr">
        <is>
          <t>Pendiente</t>
        </is>
      </c>
      <c r="U47" s="21"/>
      <c r="V47" s="14"/>
      <c r="W47" s="22"/>
      <c r="X47" s="14"/>
      <c r="Y47" s="11" t="str">
        <f>IF(V47="","",IF(X47&lt;&gt;"",IF(X47-V47&lt;30,"No","Sí"),IF(TODAY()-V47&gt;=30,"Sí","En curso")))</f>
        <v/>
      </c>
      <c r="Z47" s="14"/>
      <c r="AA47" s="21" t="inlineStr">
        <is>
          <t>Confirmar CM</t>
        </is>
      </c>
      <c r="AB47" s="14">
        <v>46318</v>
      </c>
      <c r="AC47" s="21" t="inlineStr">
        <is>
          <t>Abierto</t>
        </is>
      </c>
      <c r="AD47" s="21"/>
      <c r="AE47" s="7"/>
      <c r="AF47" s="11" t="str">
        <f>IF(OR(AC47&lt;&gt;"Abierto",Z47=""),"",TODAY()-Z47)</f>
        <v/>
      </c>
      <c r="AG47" s="11" t="str">
        <f>IF(AC47&lt;&gt;"Abierto","",IF(AB47="","Sin siguiente acción",IF(AB47&lt;TODAY(),"Vencido",IF(AB47=TODAY(),"Hoy","En tiempo"))))</f>
        <v>Hoy</v>
      </c>
      <c r="AH47" s="11" t="str">
        <f>IF(OR(B47="",V47=""),"",V47-B47)</f>
        <v/>
      </c>
      <c r="AI47" s="16">
        <f>IF(P47="","",P47-WEEKDAY(P47,3))</f>
        <v>46314</v>
      </c>
      <c r="AJ47" s="23">
        <f>IF(P47="","",DATE(YEAR(P47),MONTH(P47),1))</f>
        <v>46296</v>
      </c>
    </row>
    <row r="48">
      <c r="A48" s="21" t="inlineStr">
        <is>
          <t>P-0047</t>
        </is>
      </c>
      <c r="B48" s="14"/>
      <c r="C48" s="21" t="inlineStr">
        <is>
          <t>Nuevo</t>
        </is>
      </c>
      <c r="D48" s="21" t="inlineStr">
        <is>
          <t>Aranza Sarahi Garcia Pacheco</t>
        </is>
      </c>
      <c r="E48" s="21" t="inlineStr">
        <is>
          <t>5545885988</t>
        </is>
      </c>
      <c r="F48" s="21"/>
      <c r="G48" s="21" t="inlineStr">
        <is>
          <t>Facebook</t>
        </is>
      </c>
      <c r="H48" s="21"/>
      <c r="I48" s="21"/>
      <c r="J48" s="21" t="inlineStr">
        <is>
          <t>Junior</t>
        </is>
      </c>
      <c r="K48" s="21">
        <v>15</v>
      </c>
      <c r="L48" s="21" t="inlineStr">
        <is>
          <t>Inglés</t>
        </is>
      </c>
      <c r="M48" s="21"/>
      <c r="N48" s="21"/>
      <c r="O48" s="21" t="inlineStr">
        <is>
          <t>3. CM agendada</t>
        </is>
      </c>
      <c r="P48" s="14">
        <v>46319</v>
      </c>
      <c r="Q48" s="21" t="inlineStr">
        <is>
          <t>11:00 am</t>
        </is>
      </c>
      <c r="R48" s="21"/>
      <c r="S48" s="21" t="inlineStr">
        <is>
          <t>Pendiente</t>
        </is>
      </c>
      <c r="T48" s="21" t="inlineStr">
        <is>
          <t>Pendiente</t>
        </is>
      </c>
      <c r="U48" s="21"/>
      <c r="V48" s="14"/>
      <c r="W48" s="22"/>
      <c r="X48" s="14"/>
      <c r="Y48" s="11" t="str">
        <f>IF(V48="","",IF(X48&lt;&gt;"",IF(X48-V48&lt;30,"No","Sí"),IF(TODAY()-V48&gt;=30,"Sí","En curso")))</f>
        <v/>
      </c>
      <c r="Z48" s="14"/>
      <c r="AA48" s="21" t="inlineStr">
        <is>
          <t>Confirmar CM</t>
        </is>
      </c>
      <c r="AB48" s="14">
        <v>46318</v>
      </c>
      <c r="AC48" s="21" t="inlineStr">
        <is>
          <t>Abierto</t>
        </is>
      </c>
      <c r="AD48" s="21"/>
      <c r="AE48" s="7"/>
      <c r="AF48" s="11" t="str">
        <f>IF(OR(AC48&lt;&gt;"Abierto",Z48=""),"",TODAY()-Z48)</f>
        <v/>
      </c>
      <c r="AG48" s="11" t="str">
        <f>IF(AC48&lt;&gt;"Abierto","",IF(AB48="","Sin siguiente acción",IF(AB48&lt;TODAY(),"Vencido",IF(AB48=TODAY(),"Hoy","En tiempo"))))</f>
        <v>Hoy</v>
      </c>
      <c r="AH48" s="11" t="str">
        <f>IF(OR(B48="",V48=""),"",V48-B48)</f>
        <v/>
      </c>
      <c r="AI48" s="16">
        <f>IF(P48="","",P48-WEEKDAY(P48,3))</f>
        <v>46314</v>
      </c>
      <c r="AJ48" s="23">
        <f>IF(P48="","",DATE(YEAR(P48),MONTH(P48),1))</f>
        <v>46296</v>
      </c>
    </row>
    <row r="49">
      <c r="A49" s="21" t="inlineStr">
        <is>
          <t>P-0048</t>
        </is>
      </c>
      <c r="B49" s="14"/>
      <c r="C49" s="21" t="inlineStr">
        <is>
          <t>Nuevo</t>
        </is>
      </c>
      <c r="D49" s="21" t="inlineStr">
        <is>
          <t>Fernanda Mendoza García</t>
        </is>
      </c>
      <c r="E49" s="21" t="inlineStr">
        <is>
          <t>7711177816</t>
        </is>
      </c>
      <c r="F49" s="21"/>
      <c r="G49" s="21" t="inlineStr">
        <is>
          <t>WhatsApp</t>
        </is>
      </c>
      <c r="H49" s="21"/>
      <c r="I49" s="21"/>
      <c r="J49" s="21" t="inlineStr">
        <is>
          <t>Kids</t>
        </is>
      </c>
      <c r="K49" s="21">
        <v>11</v>
      </c>
      <c r="L49" s="21" t="inlineStr">
        <is>
          <t>Inglés</t>
        </is>
      </c>
      <c r="M49" s="21"/>
      <c r="N49" s="21"/>
      <c r="O49" s="21" t="inlineStr">
        <is>
          <t>3. CM agendada</t>
        </is>
      </c>
      <c r="P49" s="14">
        <v>46319</v>
      </c>
      <c r="Q49" s="21" t="inlineStr">
        <is>
          <t>11:00 a.m.</t>
        </is>
      </c>
      <c r="R49" s="21"/>
      <c r="S49" s="21" t="inlineStr">
        <is>
          <t>Pendiente</t>
        </is>
      </c>
      <c r="T49" s="21" t="inlineStr">
        <is>
          <t>Pendiente</t>
        </is>
      </c>
      <c r="U49" s="21"/>
      <c r="V49" s="14"/>
      <c r="W49" s="22"/>
      <c r="X49" s="14"/>
      <c r="Y49" s="11" t="str">
        <f>IF(V49="","",IF(X49&lt;&gt;"",IF(X49-V49&lt;30,"No","Sí"),IF(TODAY()-V49&gt;=30,"Sí","En curso")))</f>
        <v/>
      </c>
      <c r="Z49" s="14"/>
      <c r="AA49" s="21" t="inlineStr">
        <is>
          <t>Confirmar CM</t>
        </is>
      </c>
      <c r="AB49" s="14">
        <v>46318</v>
      </c>
      <c r="AC49" s="21" t="inlineStr">
        <is>
          <t>Abierto</t>
        </is>
      </c>
      <c r="AD49" s="21"/>
      <c r="AE49" s="7" t="inlineStr">
        <is>
          <t>Origen por validar: los anuncios de Meta también llevan a WhatsApp.</t>
        </is>
      </c>
      <c r="AF49" s="11" t="str">
        <f>IF(OR(AC49&lt;&gt;"Abierto",Z49=""),"",TODAY()-Z49)</f>
        <v/>
      </c>
      <c r="AG49" s="11" t="str">
        <f>IF(AC49&lt;&gt;"Abierto","",IF(AB49="","Sin siguiente acción",IF(AB49&lt;TODAY(),"Vencido",IF(AB49=TODAY(),"Hoy","En tiempo"))))</f>
        <v>Hoy</v>
      </c>
      <c r="AH49" s="11" t="str">
        <f>IF(OR(B49="",V49=""),"",V49-B49)</f>
        <v/>
      </c>
      <c r="AI49" s="16">
        <f>IF(P49="","",P49-WEEKDAY(P49,3))</f>
        <v>46314</v>
      </c>
      <c r="AJ49" s="23">
        <f>IF(P49="","",DATE(YEAR(P49),MONTH(P49),1))</f>
        <v>46296</v>
      </c>
    </row>
    <row r="50">
      <c r="A50" s="21" t="inlineStr">
        <is>
          <t>P-0049</t>
        </is>
      </c>
      <c r="B50" s="14"/>
      <c r="C50" s="21" t="inlineStr">
        <is>
          <t>Nuevo</t>
        </is>
      </c>
      <c r="D50" s="21" t="inlineStr">
        <is>
          <t>Maria Isabel vela Monteclaro</t>
        </is>
      </c>
      <c r="E50" s="21" t="inlineStr">
        <is>
          <t>5536608297</t>
        </is>
      </c>
      <c r="F50" s="21"/>
      <c r="G50" s="21" t="inlineStr">
        <is>
          <t>Facebook</t>
        </is>
      </c>
      <c r="H50" s="21"/>
      <c r="I50" s="21"/>
      <c r="J50" s="21" t="inlineStr">
        <is>
          <t>College</t>
        </is>
      </c>
      <c r="K50" s="21">
        <v>38</v>
      </c>
      <c r="L50" s="21" t="inlineStr">
        <is>
          <t>Inglés</t>
        </is>
      </c>
      <c r="M50" s="21"/>
      <c r="N50" s="21"/>
      <c r="O50" s="21" t="inlineStr">
        <is>
          <t>3. CM agendada</t>
        </is>
      </c>
      <c r="P50" s="14">
        <v>46319</v>
      </c>
      <c r="Q50" s="21" t="inlineStr">
        <is>
          <t>9:00 am</t>
        </is>
      </c>
      <c r="R50" s="21"/>
      <c r="S50" s="21" t="inlineStr">
        <is>
          <t>Pendiente</t>
        </is>
      </c>
      <c r="T50" s="21" t="inlineStr">
        <is>
          <t>Pendiente</t>
        </is>
      </c>
      <c r="U50" s="21"/>
      <c r="V50" s="14"/>
      <c r="W50" s="22"/>
      <c r="X50" s="14"/>
      <c r="Y50" s="11" t="str">
        <f>IF(V50="","",IF(X50&lt;&gt;"",IF(X50-V50&lt;30,"No","Sí"),IF(TODAY()-V50&gt;=30,"Sí","En curso")))</f>
        <v/>
      </c>
      <c r="Z50" s="14"/>
      <c r="AA50" s="21" t="inlineStr">
        <is>
          <t>Confirmar CM</t>
        </is>
      </c>
      <c r="AB50" s="14">
        <v>46318</v>
      </c>
      <c r="AC50" s="21" t="inlineStr">
        <is>
          <t>Abierto</t>
        </is>
      </c>
      <c r="AD50" s="21"/>
      <c r="AE50" s="7"/>
      <c r="AF50" s="11" t="str">
        <f>IF(OR(AC50&lt;&gt;"Abierto",Z50=""),"",TODAY()-Z50)</f>
        <v/>
      </c>
      <c r="AG50" s="11" t="str">
        <f>IF(AC50&lt;&gt;"Abierto","",IF(AB50="","Sin siguiente acción",IF(AB50&lt;TODAY(),"Vencido",IF(AB50=TODAY(),"Hoy","En tiempo"))))</f>
        <v>Hoy</v>
      </c>
      <c r="AH50" s="11" t="str">
        <f>IF(OR(B50="",V50=""),"",V50-B50)</f>
        <v/>
      </c>
      <c r="AI50" s="16">
        <f>IF(P50="","",P50-WEEKDAY(P50,3))</f>
        <v>46314</v>
      </c>
      <c r="AJ50" s="23">
        <f>IF(P50="","",DATE(YEAR(P50),MONTH(P50),1))</f>
        <v>46296</v>
      </c>
    </row>
    <row r="51">
      <c r="A51" s="21" t="inlineStr">
        <is>
          <t>P-0050</t>
        </is>
      </c>
      <c r="B51" s="14"/>
      <c r="C51" s="21" t="inlineStr">
        <is>
          <t>Nuevo</t>
        </is>
      </c>
      <c r="D51" s="21" t="inlineStr">
        <is>
          <t>Tadeo Alamilla Téllez</t>
        </is>
      </c>
      <c r="E51" s="21" t="inlineStr">
        <is>
          <t>7713643936</t>
        </is>
      </c>
      <c r="F51" s="21"/>
      <c r="G51" s="21" t="inlineStr">
        <is>
          <t>WhatsApp</t>
        </is>
      </c>
      <c r="H51" s="21"/>
      <c r="I51" s="21"/>
      <c r="J51" s="21" t="inlineStr">
        <is>
          <t>Kids</t>
        </is>
      </c>
      <c r="K51" s="21">
        <v>8</v>
      </c>
      <c r="L51" s="21" t="inlineStr">
        <is>
          <t>Inglés</t>
        </is>
      </c>
      <c r="M51" s="21"/>
      <c r="N51" s="21"/>
      <c r="O51" s="21" t="inlineStr">
        <is>
          <t>3. CM agendada</t>
        </is>
      </c>
      <c r="P51" s="14">
        <v>46319</v>
      </c>
      <c r="Q51" s="21" t="inlineStr">
        <is>
          <t>11:00 a.m.</t>
        </is>
      </c>
      <c r="R51" s="21"/>
      <c r="S51" s="21" t="inlineStr">
        <is>
          <t>Pendiente</t>
        </is>
      </c>
      <c r="T51" s="21" t="inlineStr">
        <is>
          <t>Pendiente</t>
        </is>
      </c>
      <c r="U51" s="21"/>
      <c r="V51" s="14"/>
      <c r="W51" s="22"/>
      <c r="X51" s="14"/>
      <c r="Y51" s="11" t="str">
        <f>IF(V51="","",IF(X51&lt;&gt;"",IF(X51-V51&lt;30,"No","Sí"),IF(TODAY()-V51&gt;=30,"Sí","En curso")))</f>
        <v/>
      </c>
      <c r="Z51" s="14"/>
      <c r="AA51" s="21" t="inlineStr">
        <is>
          <t>Confirmar CM</t>
        </is>
      </c>
      <c r="AB51" s="14">
        <v>46318</v>
      </c>
      <c r="AC51" s="21" t="inlineStr">
        <is>
          <t>Abierto</t>
        </is>
      </c>
      <c r="AD51" s="21"/>
      <c r="AE51" s="7" t="inlineStr">
        <is>
          <t>Origen por validar: los anuncios de Meta también llevan a WhatsApp.</t>
        </is>
      </c>
      <c r="AF51" s="11" t="str">
        <f>IF(OR(AC51&lt;&gt;"Abierto",Z51=""),"",TODAY()-Z51)</f>
        <v/>
      </c>
      <c r="AG51" s="11" t="str">
        <f>IF(AC51&lt;&gt;"Abierto","",IF(AB51="","Sin siguiente acción",IF(AB51&lt;TODAY(),"Vencido",IF(AB51=TODAY(),"Hoy","En tiempo"))))</f>
        <v>Hoy</v>
      </c>
      <c r="AH51" s="11" t="str">
        <f>IF(OR(B51="",V51=""),"",V51-B51)</f>
        <v/>
      </c>
      <c r="AI51" s="16">
        <f>IF(P51="","",P51-WEEKDAY(P51,3))</f>
        <v>46314</v>
      </c>
      <c r="AJ51" s="23">
        <f>IF(P51="","",DATE(YEAR(P51),MONTH(P51),1))</f>
        <v>46296</v>
      </c>
    </row>
    <row r="52">
      <c r="A52" s="21" t="inlineStr">
        <is>
          <t>P-0051</t>
        </is>
      </c>
      <c r="B52" s="14"/>
      <c r="C52" s="21" t="inlineStr">
        <is>
          <t>Nuevo</t>
        </is>
      </c>
      <c r="D52" s="21" t="inlineStr">
        <is>
          <t>Ana Victoria Meneses Maqueda</t>
        </is>
      </c>
      <c r="E52" s="21" t="inlineStr">
        <is>
          <t>7715689977</t>
        </is>
      </c>
      <c r="F52" s="21"/>
      <c r="G52" s="21" t="inlineStr">
        <is>
          <t>WhatsApp</t>
        </is>
      </c>
      <c r="H52" s="21"/>
      <c r="I52" s="21"/>
      <c r="J52" s="21" t="inlineStr">
        <is>
          <t>Kids</t>
        </is>
      </c>
      <c r="K52" s="21">
        <v>9</v>
      </c>
      <c r="L52" s="21" t="inlineStr">
        <is>
          <t>Inglés</t>
        </is>
      </c>
      <c r="M52" s="21"/>
      <c r="N52" s="21"/>
      <c r="O52" s="21" t="inlineStr">
        <is>
          <t>3. CM agendada</t>
        </is>
      </c>
      <c r="P52" s="14">
        <v>46321</v>
      </c>
      <c r="Q52" s="21" t="inlineStr">
        <is>
          <t>4:00 pm</t>
        </is>
      </c>
      <c r="R52" s="21"/>
      <c r="S52" s="21" t="inlineStr">
        <is>
          <t>Pendiente</t>
        </is>
      </c>
      <c r="T52" s="21" t="inlineStr">
        <is>
          <t>Pendiente</t>
        </is>
      </c>
      <c r="U52" s="21"/>
      <c r="V52" s="14"/>
      <c r="W52" s="22"/>
      <c r="X52" s="14"/>
      <c r="Y52" s="11" t="str">
        <f>IF(V52="","",IF(X52&lt;&gt;"",IF(X52-V52&lt;30,"No","Sí"),IF(TODAY()-V52&gt;=30,"Sí","En curso")))</f>
        <v/>
      </c>
      <c r="Z52" s="14"/>
      <c r="AA52" s="21" t="inlineStr">
        <is>
          <t>Confirmar CM</t>
        </is>
      </c>
      <c r="AB52" s="14">
        <v>46320</v>
      </c>
      <c r="AC52" s="21" t="inlineStr">
        <is>
          <t>Abierto</t>
        </is>
      </c>
      <c r="AD52" s="21"/>
      <c r="AE52" s="7" t="inlineStr">
        <is>
          <t>Origen por validar: los anuncios de Meta también llevan a WhatsApp.</t>
        </is>
      </c>
      <c r="AF52" s="11" t="str">
        <f>IF(OR(AC52&lt;&gt;"Abierto",Z52=""),"",TODAY()-Z52)</f>
        <v/>
      </c>
      <c r="AG52" s="11" t="str">
        <f>IF(AC52&lt;&gt;"Abierto","",IF(AB52="","Sin siguiente acción",IF(AB52&lt;TODAY(),"Vencido",IF(AB52=TODAY(),"Hoy","En tiempo"))))</f>
        <v>En tiempo</v>
      </c>
      <c r="AH52" s="11" t="str">
        <f>IF(OR(B52="",V52=""),"",V52-B52)</f>
        <v/>
      </c>
      <c r="AI52" s="16">
        <f>IF(P52="","",P52-WEEKDAY(P52,3))</f>
        <v>46321</v>
      </c>
      <c r="AJ52" s="23">
        <f>IF(P52="","",DATE(YEAR(P52),MONTH(P52),1))</f>
        <v>46296</v>
      </c>
    </row>
    <row r="53">
      <c r="A53" s="21" t="inlineStr">
        <is>
          <t>P-0052</t>
        </is>
      </c>
      <c r="B53" s="14"/>
      <c r="C53" s="21" t="inlineStr">
        <is>
          <t>Nuevo</t>
        </is>
      </c>
      <c r="D53" s="21" t="inlineStr">
        <is>
          <t>Blanca Almaraz Callado</t>
        </is>
      </c>
      <c r="E53" s="21" t="inlineStr">
        <is>
          <t>7715685011</t>
        </is>
      </c>
      <c r="F53" s="21"/>
      <c r="G53" s="21" t="inlineStr">
        <is>
          <t>Instagram</t>
        </is>
      </c>
      <c r="H53" s="21"/>
      <c r="I53" s="21"/>
      <c r="J53" s="21" t="inlineStr">
        <is>
          <t>College</t>
        </is>
      </c>
      <c r="K53" s="21">
        <v>55</v>
      </c>
      <c r="L53" s="21" t="inlineStr">
        <is>
          <t>Inglés</t>
        </is>
      </c>
      <c r="M53" s="21"/>
      <c r="N53" s="21"/>
      <c r="O53" s="21" t="inlineStr">
        <is>
          <t>3. CM agendada</t>
        </is>
      </c>
      <c r="P53" s="14">
        <v>46321</v>
      </c>
      <c r="Q53" s="21" t="inlineStr">
        <is>
          <t>5:00 pm</t>
        </is>
      </c>
      <c r="R53" s="21"/>
      <c r="S53" s="21" t="inlineStr">
        <is>
          <t>Pendiente</t>
        </is>
      </c>
      <c r="T53" s="21" t="inlineStr">
        <is>
          <t>Pendiente</t>
        </is>
      </c>
      <c r="U53" s="21"/>
      <c r="V53" s="14"/>
      <c r="W53" s="22"/>
      <c r="X53" s="14"/>
      <c r="Y53" s="11" t="str">
        <f>IF(V53="","",IF(X53&lt;&gt;"",IF(X53-V53&lt;30,"No","Sí"),IF(TODAY()-V53&gt;=30,"Sí","En curso")))</f>
        <v/>
      </c>
      <c r="Z53" s="14"/>
      <c r="AA53" s="21" t="inlineStr">
        <is>
          <t>Confirmar CM</t>
        </is>
      </c>
      <c r="AB53" s="14">
        <v>46320</v>
      </c>
      <c r="AC53" s="21" t="inlineStr">
        <is>
          <t>Abierto</t>
        </is>
      </c>
      <c r="AD53" s="21"/>
      <c r="AE53" s="7"/>
      <c r="AF53" s="11" t="str">
        <f>IF(OR(AC53&lt;&gt;"Abierto",Z53=""),"",TODAY()-Z53)</f>
        <v/>
      </c>
      <c r="AG53" s="11" t="str">
        <f>IF(AC53&lt;&gt;"Abierto","",IF(AB53="","Sin siguiente acción",IF(AB53&lt;TODAY(),"Vencido",IF(AB53=TODAY(),"Hoy","En tiempo"))))</f>
        <v>En tiempo</v>
      </c>
      <c r="AH53" s="11" t="str">
        <f>IF(OR(B53="",V53=""),"",V53-B53)</f>
        <v/>
      </c>
      <c r="AI53" s="16">
        <f>IF(P53="","",P53-WEEKDAY(P53,3))</f>
        <v>46321</v>
      </c>
      <c r="AJ53" s="23">
        <f>IF(P53="","",DATE(YEAR(P53),MONTH(P53),1))</f>
        <v>46296</v>
      </c>
    </row>
    <row r="54">
      <c r="A54" s="21" t="inlineStr">
        <is>
          <t>P-0053</t>
        </is>
      </c>
      <c r="B54" s="14"/>
      <c r="C54" s="21" t="inlineStr">
        <is>
          <t>Nuevo</t>
        </is>
      </c>
      <c r="D54" s="21" t="inlineStr">
        <is>
          <t>Iliana Karen</t>
        </is>
      </c>
      <c r="E54" s="21" t="inlineStr">
        <is>
          <t>7712408835</t>
        </is>
      </c>
      <c r="F54" s="21"/>
      <c r="G54" s="21" t="inlineStr">
        <is>
          <t>WhatsApp</t>
        </is>
      </c>
      <c r="H54" s="21"/>
      <c r="I54" s="21"/>
      <c r="J54" s="21" t="inlineStr">
        <is>
          <t>College</t>
        </is>
      </c>
      <c r="K54" s="21">
        <v>35</v>
      </c>
      <c r="L54" s="21" t="inlineStr">
        <is>
          <t>Inglés</t>
        </is>
      </c>
      <c r="M54" s="21"/>
      <c r="N54" s="21"/>
      <c r="O54" s="21" t="inlineStr">
        <is>
          <t>3. CM agendada</t>
        </is>
      </c>
      <c r="P54" s="14">
        <v>46321</v>
      </c>
      <c r="Q54" s="21" t="inlineStr">
        <is>
          <t>5:00 pm</t>
        </is>
      </c>
      <c r="R54" s="21"/>
      <c r="S54" s="21" t="inlineStr">
        <is>
          <t>Pendiente</t>
        </is>
      </c>
      <c r="T54" s="21" t="inlineStr">
        <is>
          <t>Pendiente</t>
        </is>
      </c>
      <c r="U54" s="21"/>
      <c r="V54" s="14"/>
      <c r="W54" s="22"/>
      <c r="X54" s="14"/>
      <c r="Y54" s="11" t="str">
        <f>IF(V54="","",IF(X54&lt;&gt;"",IF(X54-V54&lt;30,"No","Sí"),IF(TODAY()-V54&gt;=30,"Sí","En curso")))</f>
        <v/>
      </c>
      <c r="Z54" s="14"/>
      <c r="AA54" s="21" t="inlineStr">
        <is>
          <t>Confirmar CM</t>
        </is>
      </c>
      <c r="AB54" s="14">
        <v>46320</v>
      </c>
      <c r="AC54" s="21" t="inlineStr">
        <is>
          <t>Abierto</t>
        </is>
      </c>
      <c r="AD54" s="21"/>
      <c r="AE54" s="7" t="inlineStr">
        <is>
          <t>Origen por validar: los anuncios de Meta también llevan a WhatsApp.</t>
        </is>
      </c>
      <c r="AF54" s="11" t="str">
        <f>IF(OR(AC54&lt;&gt;"Abierto",Z54=""),"",TODAY()-Z54)</f>
        <v/>
      </c>
      <c r="AG54" s="11" t="str">
        <f>IF(AC54&lt;&gt;"Abierto","",IF(AB54="","Sin siguiente acción",IF(AB54&lt;TODAY(),"Vencido",IF(AB54=TODAY(),"Hoy","En tiempo"))))</f>
        <v>En tiempo</v>
      </c>
      <c r="AH54" s="11" t="str">
        <f>IF(OR(B54="",V54=""),"",V54-B54)</f>
        <v/>
      </c>
      <c r="AI54" s="16">
        <f>IF(P54="","",P54-WEEKDAY(P54,3))</f>
        <v>46321</v>
      </c>
      <c r="AJ54" s="23">
        <f>IF(P54="","",DATE(YEAR(P54),MONTH(P54),1))</f>
        <v>46296</v>
      </c>
    </row>
    <row r="55">
      <c r="A55" s="21" t="inlineStr">
        <is>
          <t>P-0054</t>
        </is>
      </c>
      <c r="B55" s="14"/>
      <c r="C55" s="21" t="inlineStr">
        <is>
          <t>Nuevo</t>
        </is>
      </c>
      <c r="D55" s="21" t="inlineStr">
        <is>
          <t>Marley Lizeth Ponce de León</t>
        </is>
      </c>
      <c r="E55" s="21"/>
      <c r="F55" s="21"/>
      <c r="G55" s="21" t="inlineStr">
        <is>
          <t>WhatsApp</t>
        </is>
      </c>
      <c r="H55" s="21"/>
      <c r="I55" s="21"/>
      <c r="J55" s="21" t="inlineStr">
        <is>
          <t>Kids</t>
        </is>
      </c>
      <c r="K55" s="21">
        <v>15</v>
      </c>
      <c r="L55" s="21" t="inlineStr">
        <is>
          <t>Inglés</t>
        </is>
      </c>
      <c r="M55" s="21"/>
      <c r="N55" s="21"/>
      <c r="O55" s="21" t="inlineStr">
        <is>
          <t>3. CM agendada</t>
        </is>
      </c>
      <c r="P55" s="14">
        <v>46321</v>
      </c>
      <c r="Q55" s="21" t="inlineStr">
        <is>
          <t>4:00 p.m.</t>
        </is>
      </c>
      <c r="R55" s="21"/>
      <c r="S55" s="21" t="inlineStr">
        <is>
          <t>Pendiente</t>
        </is>
      </c>
      <c r="T55" s="21" t="inlineStr">
        <is>
          <t>Pendiente</t>
        </is>
      </c>
      <c r="U55" s="21"/>
      <c r="V55" s="14"/>
      <c r="W55" s="22"/>
      <c r="X55" s="14"/>
      <c r="Y55" s="11" t="str">
        <f>IF(V55="","",IF(X55&lt;&gt;"",IF(X55-V55&lt;30,"No","Sí"),IF(TODAY()-V55&gt;=30,"Sí","En curso")))</f>
        <v/>
      </c>
      <c r="Z55" s="14"/>
      <c r="AA55" s="21" t="inlineStr">
        <is>
          <t>Confirmar CM</t>
        </is>
      </c>
      <c r="AB55" s="14">
        <v>46320</v>
      </c>
      <c r="AC55" s="21" t="inlineStr">
        <is>
          <t>Abierto</t>
        </is>
      </c>
      <c r="AD55" s="21"/>
      <c r="AE55" s="7" t="inlineStr">
        <is>
          <t>Origen por validar: los anuncios de Meta también llevan a WhatsApp.</t>
        </is>
      </c>
      <c r="AF55" s="11" t="str">
        <f>IF(OR(AC55&lt;&gt;"Abierto",Z55=""),"",TODAY()-Z55)</f>
        <v/>
      </c>
      <c r="AG55" s="11" t="str">
        <f>IF(AC55&lt;&gt;"Abierto","",IF(AB55="","Sin siguiente acción",IF(AB55&lt;TODAY(),"Vencido",IF(AB55=TODAY(),"Hoy","En tiempo"))))</f>
        <v>En tiempo</v>
      </c>
      <c r="AH55" s="11" t="str">
        <f>IF(OR(B55="",V55=""),"",V55-B55)</f>
        <v/>
      </c>
      <c r="AI55" s="16">
        <f>IF(P55="","",P55-WEEKDAY(P55,3))</f>
        <v>46321</v>
      </c>
      <c r="AJ55" s="23">
        <f>IF(P55="","",DATE(YEAR(P55),MONTH(P55),1))</f>
        <v>46296</v>
      </c>
    </row>
    <row r="56">
      <c r="A56" s="21" t="inlineStr">
        <is>
          <t>P-0055</t>
        </is>
      </c>
      <c r="B56" s="14"/>
      <c r="C56" s="21" t="inlineStr">
        <is>
          <t>Nuevo</t>
        </is>
      </c>
      <c r="D56" s="21" t="inlineStr">
        <is>
          <t>Mauricio de Jesús Meneses Maqueda</t>
        </is>
      </c>
      <c r="E56" s="21" t="inlineStr">
        <is>
          <t>7715689977</t>
        </is>
      </c>
      <c r="F56" s="21"/>
      <c r="G56" s="21" t="inlineStr">
        <is>
          <t>WhatsApp</t>
        </is>
      </c>
      <c r="H56" s="21"/>
      <c r="I56" s="21"/>
      <c r="J56" s="21" t="inlineStr">
        <is>
          <t>Parenthood</t>
        </is>
      </c>
      <c r="K56" s="21">
        <v>6</v>
      </c>
      <c r="L56" s="21" t="inlineStr">
        <is>
          <t>Inglés</t>
        </is>
      </c>
      <c r="M56" s="21"/>
      <c r="N56" s="21"/>
      <c r="O56" s="21" t="inlineStr">
        <is>
          <t>3. CM agendada</t>
        </is>
      </c>
      <c r="P56" s="14">
        <v>46321</v>
      </c>
      <c r="Q56" s="21" t="inlineStr">
        <is>
          <t>4:00 pm</t>
        </is>
      </c>
      <c r="R56" s="21"/>
      <c r="S56" s="21" t="inlineStr">
        <is>
          <t>Pendiente</t>
        </is>
      </c>
      <c r="T56" s="21" t="inlineStr">
        <is>
          <t>Pendiente</t>
        </is>
      </c>
      <c r="U56" s="21"/>
      <c r="V56" s="14"/>
      <c r="W56" s="22"/>
      <c r="X56" s="14"/>
      <c r="Y56" s="11" t="str">
        <f>IF(V56="","",IF(X56&lt;&gt;"",IF(X56-V56&lt;30,"No","Sí"),IF(TODAY()-V56&gt;=30,"Sí","En curso")))</f>
        <v/>
      </c>
      <c r="Z56" s="14"/>
      <c r="AA56" s="21" t="inlineStr">
        <is>
          <t>Confirmar CM</t>
        </is>
      </c>
      <c r="AB56" s="14">
        <v>46320</v>
      </c>
      <c r="AC56" s="21" t="inlineStr">
        <is>
          <t>Abierto</t>
        </is>
      </c>
      <c r="AD56" s="21"/>
      <c r="AE56" s="7" t="inlineStr">
        <is>
          <t>Origen por validar: los anuncios de Meta también llevan a WhatsApp.</t>
        </is>
      </c>
      <c r="AF56" s="11" t="str">
        <f>IF(OR(AC56&lt;&gt;"Abierto",Z56=""),"",TODAY()-Z56)</f>
        <v/>
      </c>
      <c r="AG56" s="11" t="str">
        <f>IF(AC56&lt;&gt;"Abierto","",IF(AB56="","Sin siguiente acción",IF(AB56&lt;TODAY(),"Vencido",IF(AB56=TODAY(),"Hoy","En tiempo"))))</f>
        <v>En tiempo</v>
      </c>
      <c r="AH56" s="11" t="str">
        <f>IF(OR(B56="",V56=""),"",V56-B56)</f>
        <v/>
      </c>
      <c r="AI56" s="16">
        <f>IF(P56="","",P56-WEEKDAY(P56,3))</f>
        <v>46321</v>
      </c>
      <c r="AJ56" s="23">
        <f>IF(P56="","",DATE(YEAR(P56),MONTH(P56),1))</f>
        <v>46296</v>
      </c>
    </row>
    <row r="57">
      <c r="A57" s="21" t="inlineStr">
        <is>
          <t>P-0056</t>
        </is>
      </c>
      <c r="B57" s="14"/>
      <c r="C57" s="21" t="inlineStr">
        <is>
          <t>Nuevo</t>
        </is>
      </c>
      <c r="D57" s="21" t="inlineStr">
        <is>
          <t>Fernanda Hernandez Alvarado</t>
        </is>
      </c>
      <c r="E57" s="21" t="inlineStr">
        <is>
          <t>7712283476</t>
        </is>
      </c>
      <c r="F57" s="21"/>
      <c r="G57" s="21" t="inlineStr">
        <is>
          <t>Instagram</t>
        </is>
      </c>
      <c r="H57" s="21"/>
      <c r="I57" s="21"/>
      <c r="J57" s="21" t="inlineStr">
        <is>
          <t>College</t>
        </is>
      </c>
      <c r="K57" s="21">
        <v>24</v>
      </c>
      <c r="L57" s="21" t="inlineStr">
        <is>
          <t>Inglés</t>
        </is>
      </c>
      <c r="M57" s="21"/>
      <c r="N57" s="21"/>
      <c r="O57" s="21" t="inlineStr">
        <is>
          <t>3. CM agendada</t>
        </is>
      </c>
      <c r="P57" s="14">
        <v>46322</v>
      </c>
      <c r="Q57" s="21" t="inlineStr">
        <is>
          <t>10:00 am</t>
        </is>
      </c>
      <c r="R57" s="21"/>
      <c r="S57" s="21" t="inlineStr">
        <is>
          <t>Pendiente</t>
        </is>
      </c>
      <c r="T57" s="21" t="inlineStr">
        <is>
          <t>Pendiente</t>
        </is>
      </c>
      <c r="U57" s="21"/>
      <c r="V57" s="14"/>
      <c r="W57" s="22"/>
      <c r="X57" s="14"/>
      <c r="Y57" s="11" t="str">
        <f>IF(V57="","",IF(X57&lt;&gt;"",IF(X57-V57&lt;30,"No","Sí"),IF(TODAY()-V57&gt;=30,"Sí","En curso")))</f>
        <v/>
      </c>
      <c r="Z57" s="14"/>
      <c r="AA57" s="21" t="inlineStr">
        <is>
          <t>Confirmar CM</t>
        </is>
      </c>
      <c r="AB57" s="14">
        <v>46321</v>
      </c>
      <c r="AC57" s="21" t="inlineStr">
        <is>
          <t>Abierto</t>
        </is>
      </c>
      <c r="AD57" s="21"/>
      <c r="AE57" s="7"/>
      <c r="AF57" s="11" t="str">
        <f>IF(OR(AC57&lt;&gt;"Abierto",Z57=""),"",TODAY()-Z57)</f>
        <v/>
      </c>
      <c r="AG57" s="11" t="str">
        <f>IF(AC57&lt;&gt;"Abierto","",IF(AB57="","Sin siguiente acción",IF(AB57&lt;TODAY(),"Vencido",IF(AB57=TODAY(),"Hoy","En tiempo"))))</f>
        <v>En tiempo</v>
      </c>
      <c r="AH57" s="11" t="str">
        <f>IF(OR(B57="",V57=""),"",V57-B57)</f>
        <v/>
      </c>
      <c r="AI57" s="16">
        <f>IF(P57="","",P57-WEEKDAY(P57,3))</f>
        <v>46321</v>
      </c>
      <c r="AJ57" s="23">
        <f>IF(P57="","",DATE(YEAR(P57),MONTH(P57),1))</f>
        <v>46296</v>
      </c>
    </row>
    <row r="58">
      <c r="A58" s="21" t="inlineStr">
        <is>
          <t>P-0057</t>
        </is>
      </c>
      <c r="B58" s="14"/>
      <c r="C58" s="21" t="inlineStr">
        <is>
          <t>Nuevo</t>
        </is>
      </c>
      <c r="D58" s="21" t="inlineStr">
        <is>
          <t>Lizeth Gonzalez Aquino</t>
        </is>
      </c>
      <c r="E58" s="21" t="inlineStr">
        <is>
          <t>7711755391</t>
        </is>
      </c>
      <c r="F58" s="21"/>
      <c r="G58" s="21" t="inlineStr">
        <is>
          <t>WhatsApp</t>
        </is>
      </c>
      <c r="H58" s="21"/>
      <c r="I58" s="21"/>
      <c r="J58" s="21" t="inlineStr">
        <is>
          <t>College</t>
        </is>
      </c>
      <c r="K58" s="21">
        <v>34</v>
      </c>
      <c r="L58" s="21" t="inlineStr">
        <is>
          <t>Francés</t>
        </is>
      </c>
      <c r="M58" s="21"/>
      <c r="N58" s="21"/>
      <c r="O58" s="21" t="inlineStr">
        <is>
          <t>3. CM agendada</t>
        </is>
      </c>
      <c r="P58" s="14">
        <v>46322</v>
      </c>
      <c r="Q58" s="21" t="inlineStr">
        <is>
          <t>6:00 p.m.</t>
        </is>
      </c>
      <c r="R58" s="21"/>
      <c r="S58" s="21" t="inlineStr">
        <is>
          <t>Pendiente</t>
        </is>
      </c>
      <c r="T58" s="21" t="inlineStr">
        <is>
          <t>Pendiente</t>
        </is>
      </c>
      <c r="U58" s="21"/>
      <c r="V58" s="14"/>
      <c r="W58" s="22"/>
      <c r="X58" s="14"/>
      <c r="Y58" s="11" t="str">
        <f>IF(V58="","",IF(X58&lt;&gt;"",IF(X58-V58&lt;30,"No","Sí"),IF(TODAY()-V58&gt;=30,"Sí","En curso")))</f>
        <v/>
      </c>
      <c r="Z58" s="14"/>
      <c r="AA58" s="21" t="inlineStr">
        <is>
          <t>Confirmar CM</t>
        </is>
      </c>
      <c r="AB58" s="14">
        <v>46321</v>
      </c>
      <c r="AC58" s="21" t="inlineStr">
        <is>
          <t>Abierto</t>
        </is>
      </c>
      <c r="AD58" s="21"/>
      <c r="AE58" s="7" t="inlineStr">
        <is>
          <t>Origen por validar: los anuncios de Meta también llevan a WhatsApp.</t>
        </is>
      </c>
      <c r="AF58" s="11" t="str">
        <f>IF(OR(AC58&lt;&gt;"Abierto",Z58=""),"",TODAY()-Z58)</f>
        <v/>
      </c>
      <c r="AG58" s="11" t="str">
        <f>IF(AC58&lt;&gt;"Abierto","",IF(AB58="","Sin siguiente acción",IF(AB58&lt;TODAY(),"Vencido",IF(AB58=TODAY(),"Hoy","En tiempo"))))</f>
        <v>En tiempo</v>
      </c>
      <c r="AH58" s="11" t="str">
        <f>IF(OR(B58="",V58=""),"",V58-B58)</f>
        <v/>
      </c>
      <c r="AI58" s="16">
        <f>IF(P58="","",P58-WEEKDAY(P58,3))</f>
        <v>46321</v>
      </c>
      <c r="AJ58" s="23">
        <f>IF(P58="","",DATE(YEAR(P58),MONTH(P58),1))</f>
        <v>46296</v>
      </c>
    </row>
    <row r="59">
      <c r="A59" s="21" t="inlineStr">
        <is>
          <t>P-0058</t>
        </is>
      </c>
      <c r="B59" s="14"/>
      <c r="C59" s="21" t="inlineStr">
        <is>
          <t>Nuevo</t>
        </is>
      </c>
      <c r="D59" s="21" t="inlineStr">
        <is>
          <t>María Roldán</t>
        </is>
      </c>
      <c r="E59" s="21"/>
      <c r="F59" s="21"/>
      <c r="G59" s="21" t="inlineStr">
        <is>
          <t>Facebook</t>
        </is>
      </c>
      <c r="H59" s="21"/>
      <c r="I59" s="21"/>
      <c r="J59" s="21" t="inlineStr">
        <is>
          <t>College</t>
        </is>
      </c>
      <c r="K59" s="21">
        <v>29</v>
      </c>
      <c r="L59" s="21" t="inlineStr">
        <is>
          <t>Inglés</t>
        </is>
      </c>
      <c r="M59" s="21"/>
      <c r="N59" s="21"/>
      <c r="O59" s="21" t="inlineStr">
        <is>
          <t>3. CM agendada</t>
        </is>
      </c>
      <c r="P59" s="14">
        <v>46322</v>
      </c>
      <c r="Q59" s="21" t="inlineStr">
        <is>
          <t>10:00 a.m.</t>
        </is>
      </c>
      <c r="R59" s="21"/>
      <c r="S59" s="21" t="inlineStr">
        <is>
          <t>Pendiente</t>
        </is>
      </c>
      <c r="T59" s="21" t="inlineStr">
        <is>
          <t>Pendiente</t>
        </is>
      </c>
      <c r="U59" s="21"/>
      <c r="V59" s="14"/>
      <c r="W59" s="22"/>
      <c r="X59" s="14"/>
      <c r="Y59" s="11" t="str">
        <f>IF(V59="","",IF(X59&lt;&gt;"",IF(X59-V59&lt;30,"No","Sí"),IF(TODAY()-V59&gt;=30,"Sí","En curso")))</f>
        <v/>
      </c>
      <c r="Z59" s="14"/>
      <c r="AA59" s="21" t="inlineStr">
        <is>
          <t>Confirmar CM</t>
        </is>
      </c>
      <c r="AB59" s="14">
        <v>46321</v>
      </c>
      <c r="AC59" s="21" t="inlineStr">
        <is>
          <t>Abierto</t>
        </is>
      </c>
      <c r="AD59" s="21"/>
      <c r="AE59" s="7"/>
      <c r="AF59" s="11" t="str">
        <f>IF(OR(AC59&lt;&gt;"Abierto",Z59=""),"",TODAY()-Z59)</f>
        <v/>
      </c>
      <c r="AG59" s="11" t="str">
        <f>IF(AC59&lt;&gt;"Abierto","",IF(AB59="","Sin siguiente acción",IF(AB59&lt;TODAY(),"Vencido",IF(AB59=TODAY(),"Hoy","En tiempo"))))</f>
        <v>En tiempo</v>
      </c>
      <c r="AH59" s="11" t="str">
        <f>IF(OR(B59="",V59=""),"",V59-B59)</f>
        <v/>
      </c>
      <c r="AI59" s="16">
        <f>IF(P59="","",P59-WEEKDAY(P59,3))</f>
        <v>46321</v>
      </c>
      <c r="AJ59" s="23">
        <f>IF(P59="","",DATE(YEAR(P59),MONTH(P59),1))</f>
        <v>46296</v>
      </c>
    </row>
    <row r="60">
      <c r="A60" s="21" t="inlineStr">
        <is>
          <t>P-0059</t>
        </is>
      </c>
      <c r="B60" s="14"/>
      <c r="C60" s="21" t="inlineStr">
        <is>
          <t>Nuevo</t>
        </is>
      </c>
      <c r="D60" s="21" t="inlineStr">
        <is>
          <t>Nidelson Hernandez</t>
        </is>
      </c>
      <c r="E60" s="21" t="inlineStr">
        <is>
          <t>7712169752</t>
        </is>
      </c>
      <c r="F60" s="21"/>
      <c r="G60" s="21" t="inlineStr">
        <is>
          <t>Facebook</t>
        </is>
      </c>
      <c r="H60" s="21"/>
      <c r="I60" s="21"/>
      <c r="J60" s="21" t="inlineStr">
        <is>
          <t>College</t>
        </is>
      </c>
      <c r="K60" s="21">
        <v>31</v>
      </c>
      <c r="L60" s="21" t="inlineStr">
        <is>
          <t>Inglés</t>
        </is>
      </c>
      <c r="M60" s="21"/>
      <c r="N60" s="21"/>
      <c r="O60" s="21" t="inlineStr">
        <is>
          <t>3. CM agendada</t>
        </is>
      </c>
      <c r="P60" s="14">
        <v>46322</v>
      </c>
      <c r="Q60" s="21" t="inlineStr">
        <is>
          <t>9:00 a.m.</t>
        </is>
      </c>
      <c r="R60" s="21"/>
      <c r="S60" s="21" t="inlineStr">
        <is>
          <t>Pendiente</t>
        </is>
      </c>
      <c r="T60" s="21" t="inlineStr">
        <is>
          <t>Pendiente</t>
        </is>
      </c>
      <c r="U60" s="21"/>
      <c r="V60" s="14"/>
      <c r="W60" s="22"/>
      <c r="X60" s="14"/>
      <c r="Y60" s="11" t="str">
        <f>IF(V60="","",IF(X60&lt;&gt;"",IF(X60-V60&lt;30,"No","Sí"),IF(TODAY()-V60&gt;=30,"Sí","En curso")))</f>
        <v/>
      </c>
      <c r="Z60" s="14"/>
      <c r="AA60" s="21" t="inlineStr">
        <is>
          <t>Confirmar CM</t>
        </is>
      </c>
      <c r="AB60" s="14">
        <v>46321</v>
      </c>
      <c r="AC60" s="21" t="inlineStr">
        <is>
          <t>Abierto</t>
        </is>
      </c>
      <c r="AD60" s="21"/>
      <c r="AE60" s="7"/>
      <c r="AF60" s="11" t="str">
        <f>IF(OR(AC60&lt;&gt;"Abierto",Z60=""),"",TODAY()-Z60)</f>
        <v/>
      </c>
      <c r="AG60" s="11" t="str">
        <f>IF(AC60&lt;&gt;"Abierto","",IF(AB60="","Sin siguiente acción",IF(AB60&lt;TODAY(),"Vencido",IF(AB60=TODAY(),"Hoy","En tiempo"))))</f>
        <v>En tiempo</v>
      </c>
      <c r="AH60" s="11" t="str">
        <f>IF(OR(B60="",V60=""),"",V60-B60)</f>
        <v/>
      </c>
      <c r="AI60" s="16">
        <f>IF(P60="","",P60-WEEKDAY(P60,3))</f>
        <v>46321</v>
      </c>
      <c r="AJ60" s="23">
        <f>IF(P60="","",DATE(YEAR(P60),MONTH(P60),1))</f>
        <v>46296</v>
      </c>
    </row>
    <row r="61">
      <c r="A61" s="21" t="inlineStr">
        <is>
          <t>P-0060</t>
        </is>
      </c>
      <c r="B61" s="14"/>
      <c r="C61" s="21" t="inlineStr">
        <is>
          <t>Nuevo</t>
        </is>
      </c>
      <c r="D61" s="21" t="inlineStr">
        <is>
          <t>Vladimir Chopin</t>
        </is>
      </c>
      <c r="E61" s="21" t="inlineStr">
        <is>
          <t>7712026450</t>
        </is>
      </c>
      <c r="F61" s="21"/>
      <c r="G61" s="21" t="inlineStr">
        <is>
          <t>WhatsApp</t>
        </is>
      </c>
      <c r="H61" s="21"/>
      <c r="I61" s="21"/>
      <c r="J61" s="21" t="inlineStr">
        <is>
          <t>College</t>
        </is>
      </c>
      <c r="K61" s="21">
        <v>34</v>
      </c>
      <c r="L61" s="21" t="inlineStr">
        <is>
          <t>Inglés</t>
        </is>
      </c>
      <c r="M61" s="21"/>
      <c r="N61" s="21"/>
      <c r="O61" s="21" t="inlineStr">
        <is>
          <t>3. CM agendada</t>
        </is>
      </c>
      <c r="P61" s="14">
        <v>46322</v>
      </c>
      <c r="Q61" s="21" t="inlineStr">
        <is>
          <t>9 a.m.</t>
        </is>
      </c>
      <c r="R61" s="21"/>
      <c r="S61" s="21" t="inlineStr">
        <is>
          <t>Pendiente</t>
        </is>
      </c>
      <c r="T61" s="21" t="inlineStr">
        <is>
          <t>Pendiente</t>
        </is>
      </c>
      <c r="U61" s="21"/>
      <c r="V61" s="14"/>
      <c r="W61" s="22"/>
      <c r="X61" s="14"/>
      <c r="Y61" s="11" t="str">
        <f>IF(V61="","",IF(X61&lt;&gt;"",IF(X61-V61&lt;30,"No","Sí"),IF(TODAY()-V61&gt;=30,"Sí","En curso")))</f>
        <v/>
      </c>
      <c r="Z61" s="14"/>
      <c r="AA61" s="21" t="inlineStr">
        <is>
          <t>Confirmar CM</t>
        </is>
      </c>
      <c r="AB61" s="14">
        <v>46321</v>
      </c>
      <c r="AC61" s="21" t="inlineStr">
        <is>
          <t>Abierto</t>
        </is>
      </c>
      <c r="AD61" s="21"/>
      <c r="AE61" s="7" t="inlineStr">
        <is>
          <t>Origen por validar: los anuncios de Meta también llevan a WhatsApp.</t>
        </is>
      </c>
      <c r="AF61" s="11" t="str">
        <f>IF(OR(AC61&lt;&gt;"Abierto",Z61=""),"",TODAY()-Z61)</f>
        <v/>
      </c>
      <c r="AG61" s="11" t="str">
        <f>IF(AC61&lt;&gt;"Abierto","",IF(AB61="","Sin siguiente acción",IF(AB61&lt;TODAY(),"Vencido",IF(AB61=TODAY(),"Hoy","En tiempo"))))</f>
        <v>En tiempo</v>
      </c>
      <c r="AH61" s="11" t="str">
        <f>IF(OR(B61="",V61=""),"",V61-B61)</f>
        <v/>
      </c>
      <c r="AI61" s="16">
        <f>IF(P61="","",P61-WEEKDAY(P61,3))</f>
        <v>46321</v>
      </c>
      <c r="AJ61" s="23">
        <f>IF(P61="","",DATE(YEAR(P61),MONTH(P61),1))</f>
        <v>46296</v>
      </c>
    </row>
    <row r="62">
      <c r="A62" s="21" t="inlineStr">
        <is>
          <t>P-0061</t>
        </is>
      </c>
      <c r="B62" s="14"/>
      <c r="C62" s="21" t="inlineStr">
        <is>
          <t>Nuevo</t>
        </is>
      </c>
      <c r="D62" s="21" t="inlineStr">
        <is>
          <t>Karen León</t>
        </is>
      </c>
      <c r="E62" s="21" t="inlineStr">
        <is>
          <t>7714041685</t>
        </is>
      </c>
      <c r="F62" s="21"/>
      <c r="G62" s="21" t="inlineStr">
        <is>
          <t>WhatsApp</t>
        </is>
      </c>
      <c r="H62" s="21"/>
      <c r="I62" s="21"/>
      <c r="J62" s="21" t="inlineStr">
        <is>
          <t>College</t>
        </is>
      </c>
      <c r="K62" s="21">
        <v>34</v>
      </c>
      <c r="L62" s="21" t="inlineStr">
        <is>
          <t>Inglés</t>
        </is>
      </c>
      <c r="M62" s="21"/>
      <c r="N62" s="21"/>
      <c r="O62" s="21" t="inlineStr">
        <is>
          <t>3. CM agendada</t>
        </is>
      </c>
      <c r="P62" s="14">
        <v>46324</v>
      </c>
      <c r="Q62" s="21" t="inlineStr">
        <is>
          <t>6:00 p.m.</t>
        </is>
      </c>
      <c r="R62" s="21"/>
      <c r="S62" s="21" t="inlineStr">
        <is>
          <t>Pendiente</t>
        </is>
      </c>
      <c r="T62" s="21" t="inlineStr">
        <is>
          <t>Pendiente</t>
        </is>
      </c>
      <c r="U62" s="21"/>
      <c r="V62" s="14"/>
      <c r="W62" s="22"/>
      <c r="X62" s="14"/>
      <c r="Y62" s="11" t="str">
        <f>IF(V62="","",IF(X62&lt;&gt;"",IF(X62-V62&lt;30,"No","Sí"),IF(TODAY()-V62&gt;=30,"Sí","En curso")))</f>
        <v/>
      </c>
      <c r="Z62" s="14"/>
      <c r="AA62" s="21" t="inlineStr">
        <is>
          <t>Confirmar CM</t>
        </is>
      </c>
      <c r="AB62" s="14">
        <v>46323</v>
      </c>
      <c r="AC62" s="21" t="inlineStr">
        <is>
          <t>Abierto</t>
        </is>
      </c>
      <c r="AD62" s="21"/>
      <c r="AE62" s="7" t="inlineStr">
        <is>
          <t>Origen por validar: los anuncios de Meta también llevan a WhatsApp.</t>
        </is>
      </c>
      <c r="AF62" s="11" t="str">
        <f>IF(OR(AC62&lt;&gt;"Abierto",Z62=""),"",TODAY()-Z62)</f>
        <v/>
      </c>
      <c r="AG62" s="11" t="str">
        <f>IF(AC62&lt;&gt;"Abierto","",IF(AB62="","Sin siguiente acción",IF(AB62&lt;TODAY(),"Vencido",IF(AB62=TODAY(),"Hoy","En tiempo"))))</f>
        <v>En tiempo</v>
      </c>
      <c r="AH62" s="11" t="str">
        <f>IF(OR(B62="",V62=""),"",V62-B62)</f>
        <v/>
      </c>
      <c r="AI62" s="16">
        <f>IF(P62="","",P62-WEEKDAY(P62,3))</f>
        <v>46321</v>
      </c>
      <c r="AJ62" s="23">
        <f>IF(P62="","",DATE(YEAR(P62),MONTH(P62),1))</f>
        <v>46296</v>
      </c>
    </row>
    <row r="63">
      <c r="A63" s="21" t="inlineStr">
        <is>
          <t>P-0062</t>
        </is>
      </c>
      <c r="B63" s="14"/>
      <c r="C63" s="21" t="inlineStr">
        <is>
          <t>Nuevo</t>
        </is>
      </c>
      <c r="D63" s="21" t="inlineStr">
        <is>
          <t>Emir</t>
        </is>
      </c>
      <c r="E63" s="21" t="inlineStr">
        <is>
          <t>7711442627</t>
        </is>
      </c>
      <c r="F63" s="21"/>
      <c r="G63" s="21" t="inlineStr">
        <is>
          <t>Facebook</t>
        </is>
      </c>
      <c r="H63" s="21"/>
      <c r="I63" s="21"/>
      <c r="J63" s="21" t="inlineStr">
        <is>
          <t>Parenthood</t>
        </is>
      </c>
      <c r="K63" s="21">
        <v>9</v>
      </c>
      <c r="L63" s="21" t="inlineStr">
        <is>
          <t>Inglés</t>
        </is>
      </c>
      <c r="M63" s="21"/>
      <c r="N63" s="21"/>
      <c r="O63" s="21" t="inlineStr">
        <is>
          <t>3. CM agendada</t>
        </is>
      </c>
      <c r="P63" s="14">
        <v>46333</v>
      </c>
      <c r="Q63" s="21"/>
      <c r="R63" s="21"/>
      <c r="S63" s="21" t="inlineStr">
        <is>
          <t>Pendiente</t>
        </is>
      </c>
      <c r="T63" s="21" t="inlineStr">
        <is>
          <t>Pendiente</t>
        </is>
      </c>
      <c r="U63" s="21"/>
      <c r="V63" s="14"/>
      <c r="W63" s="22"/>
      <c r="X63" s="14"/>
      <c r="Y63" s="11" t="str">
        <f>IF(V63="","",IF(X63&lt;&gt;"",IF(X63-V63&lt;30,"No","Sí"),IF(TODAY()-V63&gt;=30,"Sí","En curso")))</f>
        <v/>
      </c>
      <c r="Z63" s="14"/>
      <c r="AA63" s="21" t="inlineStr">
        <is>
          <t>Confirmar CM</t>
        </is>
      </c>
      <c r="AB63" s="14">
        <v>46332</v>
      </c>
      <c r="AC63" s="21" t="inlineStr">
        <is>
          <t>Abierto</t>
        </is>
      </c>
      <c r="AD63" s="21"/>
      <c r="AE63" s="7"/>
      <c r="AF63" s="11" t="str">
        <f>IF(OR(AC63&lt;&gt;"Abierto",Z63=""),"",TODAY()-Z63)</f>
        <v/>
      </c>
      <c r="AG63" s="11" t="str">
        <f>IF(AC63&lt;&gt;"Abierto","",IF(AB63="","Sin siguiente acción",IF(AB63&lt;TODAY(),"Vencido",IF(AB63=TODAY(),"Hoy","En tiempo"))))</f>
        <v>En tiempo</v>
      </c>
      <c r="AH63" s="11" t="str">
        <f>IF(OR(B63="",V63=""),"",V63-B63)</f>
        <v/>
      </c>
      <c r="AI63" s="16">
        <f>IF(P63="","",P63-WEEKDAY(P63,3))</f>
        <v>46328</v>
      </c>
      <c r="AJ63" s="23">
        <f>IF(P63="","",DATE(YEAR(P63),MONTH(P63),1))</f>
        <v>46327</v>
      </c>
    </row>
    <row r="64">
      <c r="A64" s="21" t="inlineStr">
        <is>
          <t>P-0063</t>
        </is>
      </c>
      <c r="B64" s="14"/>
      <c r="C64" s="21" t="inlineStr">
        <is>
          <t>Nuevo</t>
        </is>
      </c>
      <c r="D64" s="21" t="inlineStr">
        <is>
          <t>Yarentzy</t>
        </is>
      </c>
      <c r="E64" s="21" t="inlineStr">
        <is>
          <t>7711442627</t>
        </is>
      </c>
      <c r="F64" s="21"/>
      <c r="G64" s="21" t="inlineStr">
        <is>
          <t>Facebook</t>
        </is>
      </c>
      <c r="H64" s="21"/>
      <c r="I64" s="21"/>
      <c r="J64" s="21" t="inlineStr">
        <is>
          <t>Kids</t>
        </is>
      </c>
      <c r="K64" s="21">
        <v>12</v>
      </c>
      <c r="L64" s="21" t="inlineStr">
        <is>
          <t>Inglés</t>
        </is>
      </c>
      <c r="M64" s="21"/>
      <c r="N64" s="21"/>
      <c r="O64" s="21" t="inlineStr">
        <is>
          <t>3. CM agendada</t>
        </is>
      </c>
      <c r="P64" s="14">
        <v>46333</v>
      </c>
      <c r="Q64" s="21"/>
      <c r="R64" s="21"/>
      <c r="S64" s="21" t="inlineStr">
        <is>
          <t>Pendiente</t>
        </is>
      </c>
      <c r="T64" s="21" t="inlineStr">
        <is>
          <t>Pendiente</t>
        </is>
      </c>
      <c r="U64" s="21"/>
      <c r="V64" s="14"/>
      <c r="W64" s="22"/>
      <c r="X64" s="14"/>
      <c r="Y64" s="11" t="str">
        <f>IF(V64="","",IF(X64&lt;&gt;"",IF(X64-V64&lt;30,"No","Sí"),IF(TODAY()-V64&gt;=30,"Sí","En curso")))</f>
        <v/>
      </c>
      <c r="Z64" s="14"/>
      <c r="AA64" s="21" t="inlineStr">
        <is>
          <t>Confirmar CM</t>
        </is>
      </c>
      <c r="AB64" s="14">
        <v>46332</v>
      </c>
      <c r="AC64" s="21" t="inlineStr">
        <is>
          <t>Abierto</t>
        </is>
      </c>
      <c r="AD64" s="21"/>
      <c r="AE64" s="7"/>
      <c r="AF64" s="11" t="str">
        <f>IF(OR(AC64&lt;&gt;"Abierto",Z64=""),"",TODAY()-Z64)</f>
        <v/>
      </c>
      <c r="AG64" s="11" t="str">
        <f>IF(AC64&lt;&gt;"Abierto","",IF(AB64="","Sin siguiente acción",IF(AB64&lt;TODAY(),"Vencido",IF(AB64=TODAY(),"Hoy","En tiempo"))))</f>
        <v>En tiempo</v>
      </c>
      <c r="AH64" s="11" t="str">
        <f>IF(OR(B64="",V64=""),"",V64-B64)</f>
        <v/>
      </c>
      <c r="AI64" s="16">
        <f>IF(P64="","",P64-WEEKDAY(P64,3))</f>
        <v>46328</v>
      </c>
      <c r="AJ64" s="23">
        <f>IF(P64="","",DATE(YEAR(P64),MONTH(P64),1))</f>
        <v>46327</v>
      </c>
    </row>
    <row r="65">
      <c r="A65" s="21"/>
      <c r="B65" s="14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14"/>
      <c r="Q65" s="21"/>
      <c r="R65" s="21"/>
      <c r="S65" s="21"/>
      <c r="T65" s="21"/>
      <c r="U65" s="21"/>
      <c r="V65" s="14"/>
      <c r="W65" s="22"/>
      <c r="X65" s="14"/>
      <c r="Y65" s="11" t="str">
        <f>IF(V65="","",IF(X65&lt;&gt;"",IF(X65-V65&lt;30,"No","Sí"),IF(TODAY()-V65&gt;=30,"Sí","En curso")))</f>
        <v/>
      </c>
      <c r="Z65" s="14"/>
      <c r="AA65" s="21"/>
      <c r="AB65" s="14"/>
      <c r="AC65" s="21"/>
      <c r="AD65" s="21"/>
      <c r="AE65" s="7"/>
      <c r="AF65" s="11" t="str">
        <f>IF(OR(AC65&lt;&gt;"Abierto",Z65=""),"",TODAY()-Z65)</f>
        <v/>
      </c>
      <c r="AG65" s="11" t="str">
        <f>IF(AC65&lt;&gt;"Abierto","",IF(AB65="","Sin siguiente acción",IF(AB65&lt;TODAY(),"Vencido",IF(AB65=TODAY(),"Hoy","En tiempo"))))</f>
        <v/>
      </c>
      <c r="AH65" s="11" t="str">
        <f>IF(OR(B65="",V65=""),"",V65-B65)</f>
        <v/>
      </c>
      <c r="AI65" s="16" t="str">
        <f>IF(P65="","",P65-WEEKDAY(P65,3))</f>
        <v/>
      </c>
      <c r="AJ65" s="23" t="str">
        <f>IF(P65="","",DATE(YEAR(P65),MONTH(P65),1))</f>
        <v/>
      </c>
    </row>
    <row r="66">
      <c r="A66" s="21"/>
      <c r="B66" s="14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14"/>
      <c r="Q66" s="21"/>
      <c r="R66" s="21"/>
      <c r="S66" s="21"/>
      <c r="T66" s="21"/>
      <c r="U66" s="21"/>
      <c r="V66" s="14"/>
      <c r="W66" s="22"/>
      <c r="X66" s="14"/>
      <c r="Y66" s="11" t="str">
        <f>IF(V66="","",IF(X66&lt;&gt;"",IF(X66-V66&lt;30,"No","Sí"),IF(TODAY()-V66&gt;=30,"Sí","En curso")))</f>
        <v/>
      </c>
      <c r="Z66" s="14"/>
      <c r="AA66" s="21"/>
      <c r="AB66" s="14"/>
      <c r="AC66" s="21"/>
      <c r="AD66" s="21"/>
      <c r="AE66" s="7"/>
      <c r="AF66" s="11" t="str">
        <f>IF(OR(AC66&lt;&gt;"Abierto",Z66=""),"",TODAY()-Z66)</f>
        <v/>
      </c>
      <c r="AG66" s="11" t="str">
        <f>IF(AC66&lt;&gt;"Abierto","",IF(AB66="","Sin siguiente acción",IF(AB66&lt;TODAY(),"Vencido",IF(AB66=TODAY(),"Hoy","En tiempo"))))</f>
        <v/>
      </c>
      <c r="AH66" s="11" t="str">
        <f>IF(OR(B66="",V66=""),"",V66-B66)</f>
        <v/>
      </c>
      <c r="AI66" s="16" t="str">
        <f>IF(P66="","",P66-WEEKDAY(P66,3))</f>
        <v/>
      </c>
      <c r="AJ66" s="23" t="str">
        <f>IF(P66="","",DATE(YEAR(P66),MONTH(P66),1))</f>
        <v/>
      </c>
    </row>
    <row r="67">
      <c r="A67" s="21"/>
      <c r="B67" s="14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14"/>
      <c r="Q67" s="21"/>
      <c r="R67" s="21"/>
      <c r="S67" s="21"/>
      <c r="T67" s="21"/>
      <c r="U67" s="21"/>
      <c r="V67" s="14"/>
      <c r="W67" s="22"/>
      <c r="X67" s="14"/>
      <c r="Y67" s="11" t="str">
        <f>IF(V67="","",IF(X67&lt;&gt;"",IF(X67-V67&lt;30,"No","Sí"),IF(TODAY()-V67&gt;=30,"Sí","En curso")))</f>
        <v/>
      </c>
      <c r="Z67" s="14"/>
      <c r="AA67" s="21"/>
      <c r="AB67" s="14"/>
      <c r="AC67" s="21"/>
      <c r="AD67" s="21"/>
      <c r="AE67" s="7"/>
      <c r="AF67" s="11" t="str">
        <f>IF(OR(AC67&lt;&gt;"Abierto",Z67=""),"",TODAY()-Z67)</f>
        <v/>
      </c>
      <c r="AG67" s="11" t="str">
        <f>IF(AC67&lt;&gt;"Abierto","",IF(AB67="","Sin siguiente acción",IF(AB67&lt;TODAY(),"Vencido",IF(AB67=TODAY(),"Hoy","En tiempo"))))</f>
        <v/>
      </c>
      <c r="AH67" s="11" t="str">
        <f>IF(OR(B67="",V67=""),"",V67-B67)</f>
        <v/>
      </c>
      <c r="AI67" s="16" t="str">
        <f>IF(P67="","",P67-WEEKDAY(P67,3))</f>
        <v/>
      </c>
      <c r="AJ67" s="23" t="str">
        <f>IF(P67="","",DATE(YEAR(P67),MONTH(P67),1))</f>
        <v/>
      </c>
    </row>
    <row r="68">
      <c r="A68" s="21"/>
      <c r="B68" s="14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14"/>
      <c r="Q68" s="21"/>
      <c r="R68" s="21"/>
      <c r="S68" s="21"/>
      <c r="T68" s="21"/>
      <c r="U68" s="21"/>
      <c r="V68" s="14"/>
      <c r="W68" s="22"/>
      <c r="X68" s="14"/>
      <c r="Y68" s="11" t="str">
        <f>IF(V68="","",IF(X68&lt;&gt;"",IF(X68-V68&lt;30,"No","Sí"),IF(TODAY()-V68&gt;=30,"Sí","En curso")))</f>
        <v/>
      </c>
      <c r="Z68" s="14"/>
      <c r="AA68" s="21"/>
      <c r="AB68" s="14"/>
      <c r="AC68" s="21"/>
      <c r="AD68" s="21"/>
      <c r="AE68" s="7"/>
      <c r="AF68" s="11" t="str">
        <f>IF(OR(AC68&lt;&gt;"Abierto",Z68=""),"",TODAY()-Z68)</f>
        <v/>
      </c>
      <c r="AG68" s="11" t="str">
        <f>IF(AC68&lt;&gt;"Abierto","",IF(AB68="","Sin siguiente acción",IF(AB68&lt;TODAY(),"Vencido",IF(AB68=TODAY(),"Hoy","En tiempo"))))</f>
        <v/>
      </c>
      <c r="AH68" s="11" t="str">
        <f>IF(OR(B68="",V68=""),"",V68-B68)</f>
        <v/>
      </c>
      <c r="AI68" s="16" t="str">
        <f>IF(P68="","",P68-WEEKDAY(P68,3))</f>
        <v/>
      </c>
      <c r="AJ68" s="23" t="str">
        <f>IF(P68="","",DATE(YEAR(P68),MONTH(P68),1))</f>
        <v/>
      </c>
    </row>
    <row r="69">
      <c r="A69" s="21"/>
      <c r="B69" s="14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14"/>
      <c r="Q69" s="21"/>
      <c r="R69" s="21"/>
      <c r="S69" s="21"/>
      <c r="T69" s="21"/>
      <c r="U69" s="21"/>
      <c r="V69" s="14"/>
      <c r="W69" s="22"/>
      <c r="X69" s="14"/>
      <c r="Y69" s="11" t="str">
        <f>IF(V69="","",IF(X69&lt;&gt;"",IF(X69-V69&lt;30,"No","Sí"),IF(TODAY()-V69&gt;=30,"Sí","En curso")))</f>
        <v/>
      </c>
      <c r="Z69" s="14"/>
      <c r="AA69" s="21"/>
      <c r="AB69" s="14"/>
      <c r="AC69" s="21"/>
      <c r="AD69" s="21"/>
      <c r="AE69" s="7"/>
      <c r="AF69" s="11" t="str">
        <f>IF(OR(AC69&lt;&gt;"Abierto",Z69=""),"",TODAY()-Z69)</f>
        <v/>
      </c>
      <c r="AG69" s="11" t="str">
        <f>IF(AC69&lt;&gt;"Abierto","",IF(AB69="","Sin siguiente acción",IF(AB69&lt;TODAY(),"Vencido",IF(AB69=TODAY(),"Hoy","En tiempo"))))</f>
        <v/>
      </c>
      <c r="AH69" s="11" t="str">
        <f>IF(OR(B69="",V69=""),"",V69-B69)</f>
        <v/>
      </c>
      <c r="AI69" s="16" t="str">
        <f>IF(P69="","",P69-WEEKDAY(P69,3))</f>
        <v/>
      </c>
      <c r="AJ69" s="23" t="str">
        <f>IF(P69="","",DATE(YEAR(P69),MONTH(P69),1))</f>
        <v/>
      </c>
    </row>
    <row r="70">
      <c r="A70" s="21"/>
      <c r="B70" s="14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14"/>
      <c r="Q70" s="21"/>
      <c r="R70" s="21"/>
      <c r="S70" s="21"/>
      <c r="T70" s="21"/>
      <c r="U70" s="21"/>
      <c r="V70" s="14"/>
      <c r="W70" s="22"/>
      <c r="X70" s="14"/>
      <c r="Y70" s="11" t="str">
        <f>IF(V70="","",IF(X70&lt;&gt;"",IF(X70-V70&lt;30,"No","Sí"),IF(TODAY()-V70&gt;=30,"Sí","En curso")))</f>
        <v/>
      </c>
      <c r="Z70" s="14"/>
      <c r="AA70" s="21"/>
      <c r="AB70" s="14"/>
      <c r="AC70" s="21"/>
      <c r="AD70" s="21"/>
      <c r="AE70" s="7"/>
      <c r="AF70" s="11" t="str">
        <f>IF(OR(AC70&lt;&gt;"Abierto",Z70=""),"",TODAY()-Z70)</f>
        <v/>
      </c>
      <c r="AG70" s="11" t="str">
        <f>IF(AC70&lt;&gt;"Abierto","",IF(AB70="","Sin siguiente acción",IF(AB70&lt;TODAY(),"Vencido",IF(AB70=TODAY(),"Hoy","En tiempo"))))</f>
        <v/>
      </c>
      <c r="AH70" s="11" t="str">
        <f>IF(OR(B70="",V70=""),"",V70-B70)</f>
        <v/>
      </c>
      <c r="AI70" s="16" t="str">
        <f>IF(P70="","",P70-WEEKDAY(P70,3))</f>
        <v/>
      </c>
      <c r="AJ70" s="23" t="str">
        <f>IF(P70="","",DATE(YEAR(P70),MONTH(P70),1))</f>
        <v/>
      </c>
    </row>
    <row r="71">
      <c r="A71" s="21"/>
      <c r="B71" s="14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14"/>
      <c r="Q71" s="21"/>
      <c r="R71" s="21"/>
      <c r="S71" s="21"/>
      <c r="T71" s="21"/>
      <c r="U71" s="21"/>
      <c r="V71" s="14"/>
      <c r="W71" s="22"/>
      <c r="X71" s="14"/>
      <c r="Y71" s="11" t="str">
        <f>IF(V71="","",IF(X71&lt;&gt;"",IF(X71-V71&lt;30,"No","Sí"),IF(TODAY()-V71&gt;=30,"Sí","En curso")))</f>
        <v/>
      </c>
      <c r="Z71" s="14"/>
      <c r="AA71" s="21"/>
      <c r="AB71" s="14"/>
      <c r="AC71" s="21"/>
      <c r="AD71" s="21"/>
      <c r="AE71" s="7"/>
      <c r="AF71" s="11" t="str">
        <f>IF(OR(AC71&lt;&gt;"Abierto",Z71=""),"",TODAY()-Z71)</f>
        <v/>
      </c>
      <c r="AG71" s="11" t="str">
        <f>IF(AC71&lt;&gt;"Abierto","",IF(AB71="","Sin siguiente acción",IF(AB71&lt;TODAY(),"Vencido",IF(AB71=TODAY(),"Hoy","En tiempo"))))</f>
        <v/>
      </c>
      <c r="AH71" s="11" t="str">
        <f>IF(OR(B71="",V71=""),"",V71-B71)</f>
        <v/>
      </c>
      <c r="AI71" s="16" t="str">
        <f>IF(P71="","",P71-WEEKDAY(P71,3))</f>
        <v/>
      </c>
      <c r="AJ71" s="23" t="str">
        <f>IF(P71="","",DATE(YEAR(P71),MONTH(P71),1))</f>
        <v/>
      </c>
    </row>
    <row r="72">
      <c r="A72" s="21"/>
      <c r="B72" s="14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14"/>
      <c r="Q72" s="21"/>
      <c r="R72" s="21"/>
      <c r="S72" s="21"/>
      <c r="T72" s="21"/>
      <c r="U72" s="21"/>
      <c r="V72" s="14"/>
      <c r="W72" s="22"/>
      <c r="X72" s="14"/>
      <c r="Y72" s="11" t="str">
        <f>IF(V72="","",IF(X72&lt;&gt;"",IF(X72-V72&lt;30,"No","Sí"),IF(TODAY()-V72&gt;=30,"Sí","En curso")))</f>
        <v/>
      </c>
      <c r="Z72" s="14"/>
      <c r="AA72" s="21"/>
      <c r="AB72" s="14"/>
      <c r="AC72" s="21"/>
      <c r="AD72" s="21"/>
      <c r="AE72" s="7"/>
      <c r="AF72" s="11" t="str">
        <f>IF(OR(AC72&lt;&gt;"Abierto",Z72=""),"",TODAY()-Z72)</f>
        <v/>
      </c>
      <c r="AG72" s="11" t="str">
        <f>IF(AC72&lt;&gt;"Abierto","",IF(AB72="","Sin siguiente acción",IF(AB72&lt;TODAY(),"Vencido",IF(AB72=TODAY(),"Hoy","En tiempo"))))</f>
        <v/>
      </c>
      <c r="AH72" s="11" t="str">
        <f>IF(OR(B72="",V72=""),"",V72-B72)</f>
        <v/>
      </c>
      <c r="AI72" s="16" t="str">
        <f>IF(P72="","",P72-WEEKDAY(P72,3))</f>
        <v/>
      </c>
      <c r="AJ72" s="23" t="str">
        <f>IF(P72="","",DATE(YEAR(P72),MONTH(P72),1))</f>
        <v/>
      </c>
    </row>
    <row r="73">
      <c r="A73" s="21"/>
      <c r="B73" s="14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14"/>
      <c r="Q73" s="21"/>
      <c r="R73" s="21"/>
      <c r="S73" s="21"/>
      <c r="T73" s="21"/>
      <c r="U73" s="21"/>
      <c r="V73" s="14"/>
      <c r="W73" s="22"/>
      <c r="X73" s="14"/>
      <c r="Y73" s="11" t="str">
        <f>IF(V73="","",IF(X73&lt;&gt;"",IF(X73-V73&lt;30,"No","Sí"),IF(TODAY()-V73&gt;=30,"Sí","En curso")))</f>
        <v/>
      </c>
      <c r="Z73" s="14"/>
      <c r="AA73" s="21"/>
      <c r="AB73" s="14"/>
      <c r="AC73" s="21"/>
      <c r="AD73" s="21"/>
      <c r="AE73" s="7"/>
      <c r="AF73" s="11" t="str">
        <f>IF(OR(AC73&lt;&gt;"Abierto",Z73=""),"",TODAY()-Z73)</f>
        <v/>
      </c>
      <c r="AG73" s="11" t="str">
        <f>IF(AC73&lt;&gt;"Abierto","",IF(AB73="","Sin siguiente acción",IF(AB73&lt;TODAY(),"Vencido",IF(AB73=TODAY(),"Hoy","En tiempo"))))</f>
        <v/>
      </c>
      <c r="AH73" s="11" t="str">
        <f>IF(OR(B73="",V73=""),"",V73-B73)</f>
        <v/>
      </c>
      <c r="AI73" s="16" t="str">
        <f>IF(P73="","",P73-WEEKDAY(P73,3))</f>
        <v/>
      </c>
      <c r="AJ73" s="23" t="str">
        <f>IF(P73="","",DATE(YEAR(P73),MONTH(P73),1))</f>
        <v/>
      </c>
    </row>
    <row r="74">
      <c r="A74" s="21"/>
      <c r="B74" s="14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14"/>
      <c r="Q74" s="21"/>
      <c r="R74" s="21"/>
      <c r="S74" s="21"/>
      <c r="T74" s="21"/>
      <c r="U74" s="21"/>
      <c r="V74" s="14"/>
      <c r="W74" s="22"/>
      <c r="X74" s="14"/>
      <c r="Y74" s="11" t="str">
        <f>IF(V74="","",IF(X74&lt;&gt;"",IF(X74-V74&lt;30,"No","Sí"),IF(TODAY()-V74&gt;=30,"Sí","En curso")))</f>
        <v/>
      </c>
      <c r="Z74" s="14"/>
      <c r="AA74" s="21"/>
      <c r="AB74" s="14"/>
      <c r="AC74" s="21"/>
      <c r="AD74" s="21"/>
      <c r="AE74" s="7"/>
      <c r="AF74" s="11" t="str">
        <f>IF(OR(AC74&lt;&gt;"Abierto",Z74=""),"",TODAY()-Z74)</f>
        <v/>
      </c>
      <c r="AG74" s="11" t="str">
        <f>IF(AC74&lt;&gt;"Abierto","",IF(AB74="","Sin siguiente acción",IF(AB74&lt;TODAY(),"Vencido",IF(AB74=TODAY(),"Hoy","En tiempo"))))</f>
        <v/>
      </c>
      <c r="AH74" s="11" t="str">
        <f>IF(OR(B74="",V74=""),"",V74-B74)</f>
        <v/>
      </c>
      <c r="AI74" s="16" t="str">
        <f>IF(P74="","",P74-WEEKDAY(P74,3))</f>
        <v/>
      </c>
      <c r="AJ74" s="23" t="str">
        <f>IF(P74="","",DATE(YEAR(P74),MONTH(P74),1))</f>
        <v/>
      </c>
    </row>
    <row r="75">
      <c r="A75" s="21"/>
      <c r="B75" s="14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14"/>
      <c r="Q75" s="21"/>
      <c r="R75" s="21"/>
      <c r="S75" s="21"/>
      <c r="T75" s="21"/>
      <c r="U75" s="21"/>
      <c r="V75" s="14"/>
      <c r="W75" s="22"/>
      <c r="X75" s="14"/>
      <c r="Y75" s="11" t="str">
        <f>IF(V75="","",IF(X75&lt;&gt;"",IF(X75-V75&lt;30,"No","Sí"),IF(TODAY()-V75&gt;=30,"Sí","En curso")))</f>
        <v/>
      </c>
      <c r="Z75" s="14"/>
      <c r="AA75" s="21"/>
      <c r="AB75" s="14"/>
      <c r="AC75" s="21"/>
      <c r="AD75" s="21"/>
      <c r="AE75" s="7"/>
      <c r="AF75" s="11" t="str">
        <f>IF(OR(AC75&lt;&gt;"Abierto",Z75=""),"",TODAY()-Z75)</f>
        <v/>
      </c>
      <c r="AG75" s="11" t="str">
        <f>IF(AC75&lt;&gt;"Abierto","",IF(AB75="","Sin siguiente acción",IF(AB75&lt;TODAY(),"Vencido",IF(AB75=TODAY(),"Hoy","En tiempo"))))</f>
        <v/>
      </c>
      <c r="AH75" s="11" t="str">
        <f>IF(OR(B75="",V75=""),"",V75-B75)</f>
        <v/>
      </c>
      <c r="AI75" s="16" t="str">
        <f>IF(P75="","",P75-WEEKDAY(P75,3))</f>
        <v/>
      </c>
      <c r="AJ75" s="23" t="str">
        <f>IF(P75="","",DATE(YEAR(P75),MONTH(P75),1))</f>
        <v/>
      </c>
    </row>
    <row r="76">
      <c r="A76" s="21"/>
      <c r="B76" s="14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14"/>
      <c r="Q76" s="21"/>
      <c r="R76" s="21"/>
      <c r="S76" s="21"/>
      <c r="T76" s="21"/>
      <c r="U76" s="21"/>
      <c r="V76" s="14"/>
      <c r="W76" s="22"/>
      <c r="X76" s="14"/>
      <c r="Y76" s="11" t="str">
        <f>IF(V76="","",IF(X76&lt;&gt;"",IF(X76-V76&lt;30,"No","Sí"),IF(TODAY()-V76&gt;=30,"Sí","En curso")))</f>
        <v/>
      </c>
      <c r="Z76" s="14"/>
      <c r="AA76" s="21"/>
      <c r="AB76" s="14"/>
      <c r="AC76" s="21"/>
      <c r="AD76" s="21"/>
      <c r="AE76" s="7"/>
      <c r="AF76" s="11" t="str">
        <f>IF(OR(AC76&lt;&gt;"Abierto",Z76=""),"",TODAY()-Z76)</f>
        <v/>
      </c>
      <c r="AG76" s="11" t="str">
        <f>IF(AC76&lt;&gt;"Abierto","",IF(AB76="","Sin siguiente acción",IF(AB76&lt;TODAY(),"Vencido",IF(AB76=TODAY(),"Hoy","En tiempo"))))</f>
        <v/>
      </c>
      <c r="AH76" s="11" t="str">
        <f>IF(OR(B76="",V76=""),"",V76-B76)</f>
        <v/>
      </c>
      <c r="AI76" s="16" t="str">
        <f>IF(P76="","",P76-WEEKDAY(P76,3))</f>
        <v/>
      </c>
      <c r="AJ76" s="23" t="str">
        <f>IF(P76="","",DATE(YEAR(P76),MONTH(P76),1))</f>
        <v/>
      </c>
    </row>
    <row r="77">
      <c r="A77" s="21"/>
      <c r="B77" s="14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14"/>
      <c r="Q77" s="21"/>
      <c r="R77" s="21"/>
      <c r="S77" s="21"/>
      <c r="T77" s="21"/>
      <c r="U77" s="21"/>
      <c r="V77" s="14"/>
      <c r="W77" s="22"/>
      <c r="X77" s="14"/>
      <c r="Y77" s="11" t="str">
        <f>IF(V77="","",IF(X77&lt;&gt;"",IF(X77-V77&lt;30,"No","Sí"),IF(TODAY()-V77&gt;=30,"Sí","En curso")))</f>
        <v/>
      </c>
      <c r="Z77" s="14"/>
      <c r="AA77" s="21"/>
      <c r="AB77" s="14"/>
      <c r="AC77" s="21"/>
      <c r="AD77" s="21"/>
      <c r="AE77" s="7"/>
      <c r="AF77" s="11" t="str">
        <f>IF(OR(AC77&lt;&gt;"Abierto",Z77=""),"",TODAY()-Z77)</f>
        <v/>
      </c>
      <c r="AG77" s="11" t="str">
        <f>IF(AC77&lt;&gt;"Abierto","",IF(AB77="","Sin siguiente acción",IF(AB77&lt;TODAY(),"Vencido",IF(AB77=TODAY(),"Hoy","En tiempo"))))</f>
        <v/>
      </c>
      <c r="AH77" s="11" t="str">
        <f>IF(OR(B77="",V77=""),"",V77-B77)</f>
        <v/>
      </c>
      <c r="AI77" s="16" t="str">
        <f>IF(P77="","",P77-WEEKDAY(P77,3))</f>
        <v/>
      </c>
      <c r="AJ77" s="23" t="str">
        <f>IF(P77="","",DATE(YEAR(P77),MONTH(P77),1))</f>
        <v/>
      </c>
    </row>
    <row r="78">
      <c r="A78" s="21"/>
      <c r="B78" s="14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14"/>
      <c r="Q78" s="21"/>
      <c r="R78" s="21"/>
      <c r="S78" s="21"/>
      <c r="T78" s="21"/>
      <c r="U78" s="21"/>
      <c r="V78" s="14"/>
      <c r="W78" s="22"/>
      <c r="X78" s="14"/>
      <c r="Y78" s="11" t="str">
        <f>IF(V78="","",IF(X78&lt;&gt;"",IF(X78-V78&lt;30,"No","Sí"),IF(TODAY()-V78&gt;=30,"Sí","En curso")))</f>
        <v/>
      </c>
      <c r="Z78" s="14"/>
      <c r="AA78" s="21"/>
      <c r="AB78" s="14"/>
      <c r="AC78" s="21"/>
      <c r="AD78" s="21"/>
      <c r="AE78" s="7"/>
      <c r="AF78" s="11" t="str">
        <f>IF(OR(AC78&lt;&gt;"Abierto",Z78=""),"",TODAY()-Z78)</f>
        <v/>
      </c>
      <c r="AG78" s="11" t="str">
        <f>IF(AC78&lt;&gt;"Abierto","",IF(AB78="","Sin siguiente acción",IF(AB78&lt;TODAY(),"Vencido",IF(AB78=TODAY(),"Hoy","En tiempo"))))</f>
        <v/>
      </c>
      <c r="AH78" s="11" t="str">
        <f>IF(OR(B78="",V78=""),"",V78-B78)</f>
        <v/>
      </c>
      <c r="AI78" s="16" t="str">
        <f>IF(P78="","",P78-WEEKDAY(P78,3))</f>
        <v/>
      </c>
      <c r="AJ78" s="23" t="str">
        <f>IF(P78="","",DATE(YEAR(P78),MONTH(P78),1))</f>
        <v/>
      </c>
    </row>
    <row r="79">
      <c r="A79" s="21"/>
      <c r="B79" s="14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14"/>
      <c r="Q79" s="21"/>
      <c r="R79" s="21"/>
      <c r="S79" s="21"/>
      <c r="T79" s="21"/>
      <c r="U79" s="21"/>
      <c r="V79" s="14"/>
      <c r="W79" s="22"/>
      <c r="X79" s="14"/>
      <c r="Y79" s="11" t="str">
        <f>IF(V79="","",IF(X79&lt;&gt;"",IF(X79-V79&lt;30,"No","Sí"),IF(TODAY()-V79&gt;=30,"Sí","En curso")))</f>
        <v/>
      </c>
      <c r="Z79" s="14"/>
      <c r="AA79" s="21"/>
      <c r="AB79" s="14"/>
      <c r="AC79" s="21"/>
      <c r="AD79" s="21"/>
      <c r="AE79" s="7"/>
      <c r="AF79" s="11" t="str">
        <f>IF(OR(AC79&lt;&gt;"Abierto",Z79=""),"",TODAY()-Z79)</f>
        <v/>
      </c>
      <c r="AG79" s="11" t="str">
        <f>IF(AC79&lt;&gt;"Abierto","",IF(AB79="","Sin siguiente acción",IF(AB79&lt;TODAY(),"Vencido",IF(AB79=TODAY(),"Hoy","En tiempo"))))</f>
        <v/>
      </c>
      <c r="AH79" s="11" t="str">
        <f>IF(OR(B79="",V79=""),"",V79-B79)</f>
        <v/>
      </c>
      <c r="AI79" s="16" t="str">
        <f>IF(P79="","",P79-WEEKDAY(P79,3))</f>
        <v/>
      </c>
      <c r="AJ79" s="23" t="str">
        <f>IF(P79="","",DATE(YEAR(P79),MONTH(P79),1))</f>
        <v/>
      </c>
    </row>
    <row r="80">
      <c r="A80" s="21"/>
      <c r="B80" s="14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14"/>
      <c r="Q80" s="21"/>
      <c r="R80" s="21"/>
      <c r="S80" s="21"/>
      <c r="T80" s="21"/>
      <c r="U80" s="21"/>
      <c r="V80" s="14"/>
      <c r="W80" s="22"/>
      <c r="X80" s="14"/>
      <c r="Y80" s="11" t="str">
        <f>IF(V80="","",IF(X80&lt;&gt;"",IF(X80-V80&lt;30,"No","Sí"),IF(TODAY()-V80&gt;=30,"Sí","En curso")))</f>
        <v/>
      </c>
      <c r="Z80" s="14"/>
      <c r="AA80" s="21"/>
      <c r="AB80" s="14"/>
      <c r="AC80" s="21"/>
      <c r="AD80" s="21"/>
      <c r="AE80" s="7"/>
      <c r="AF80" s="11" t="str">
        <f>IF(OR(AC80&lt;&gt;"Abierto",Z80=""),"",TODAY()-Z80)</f>
        <v/>
      </c>
      <c r="AG80" s="11" t="str">
        <f>IF(AC80&lt;&gt;"Abierto","",IF(AB80="","Sin siguiente acción",IF(AB80&lt;TODAY(),"Vencido",IF(AB80=TODAY(),"Hoy","En tiempo"))))</f>
        <v/>
      </c>
      <c r="AH80" s="11" t="str">
        <f>IF(OR(B80="",V80=""),"",V80-B80)</f>
        <v/>
      </c>
      <c r="AI80" s="16" t="str">
        <f>IF(P80="","",P80-WEEKDAY(P80,3))</f>
        <v/>
      </c>
      <c r="AJ80" s="23" t="str">
        <f>IF(P80="","",DATE(YEAR(P80),MONTH(P80),1))</f>
        <v/>
      </c>
    </row>
    <row r="81">
      <c r="A81" s="21"/>
      <c r="B81" s="14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14"/>
      <c r="Q81" s="21"/>
      <c r="R81" s="21"/>
      <c r="S81" s="21"/>
      <c r="T81" s="21"/>
      <c r="U81" s="21"/>
      <c r="V81" s="14"/>
      <c r="W81" s="22"/>
      <c r="X81" s="14"/>
      <c r="Y81" s="11" t="str">
        <f>IF(V81="","",IF(X81&lt;&gt;"",IF(X81-V81&lt;30,"No","Sí"),IF(TODAY()-V81&gt;=30,"Sí","En curso")))</f>
        <v/>
      </c>
      <c r="Z81" s="14"/>
      <c r="AA81" s="21"/>
      <c r="AB81" s="14"/>
      <c r="AC81" s="21"/>
      <c r="AD81" s="21"/>
      <c r="AE81" s="7"/>
      <c r="AF81" s="11" t="str">
        <f>IF(OR(AC81&lt;&gt;"Abierto",Z81=""),"",TODAY()-Z81)</f>
        <v/>
      </c>
      <c r="AG81" s="11" t="str">
        <f>IF(AC81&lt;&gt;"Abierto","",IF(AB81="","Sin siguiente acción",IF(AB81&lt;TODAY(),"Vencido",IF(AB81=TODAY(),"Hoy","En tiempo"))))</f>
        <v/>
      </c>
      <c r="AH81" s="11" t="str">
        <f>IF(OR(B81="",V81=""),"",V81-B81)</f>
        <v/>
      </c>
      <c r="AI81" s="16" t="str">
        <f>IF(P81="","",P81-WEEKDAY(P81,3))</f>
        <v/>
      </c>
      <c r="AJ81" s="23" t="str">
        <f>IF(P81="","",DATE(YEAR(P81),MONTH(P81),1))</f>
        <v/>
      </c>
    </row>
    <row r="82">
      <c r="A82" s="21"/>
      <c r="B82" s="14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14"/>
      <c r="Q82" s="21"/>
      <c r="R82" s="21"/>
      <c r="S82" s="21"/>
      <c r="T82" s="21"/>
      <c r="U82" s="21"/>
      <c r="V82" s="14"/>
      <c r="W82" s="22"/>
      <c r="X82" s="14"/>
      <c r="Y82" s="11" t="str">
        <f>IF(V82="","",IF(X82&lt;&gt;"",IF(X82-V82&lt;30,"No","Sí"),IF(TODAY()-V82&gt;=30,"Sí","En curso")))</f>
        <v/>
      </c>
      <c r="Z82" s="14"/>
      <c r="AA82" s="21"/>
      <c r="AB82" s="14"/>
      <c r="AC82" s="21"/>
      <c r="AD82" s="21"/>
      <c r="AE82" s="7"/>
      <c r="AF82" s="11" t="str">
        <f>IF(OR(AC82&lt;&gt;"Abierto",Z82=""),"",TODAY()-Z82)</f>
        <v/>
      </c>
      <c r="AG82" s="11" t="str">
        <f>IF(AC82&lt;&gt;"Abierto","",IF(AB82="","Sin siguiente acción",IF(AB82&lt;TODAY(),"Vencido",IF(AB82=TODAY(),"Hoy","En tiempo"))))</f>
        <v/>
      </c>
      <c r="AH82" s="11" t="str">
        <f>IF(OR(B82="",V82=""),"",V82-B82)</f>
        <v/>
      </c>
      <c r="AI82" s="16" t="str">
        <f>IF(P82="","",P82-WEEKDAY(P82,3))</f>
        <v/>
      </c>
      <c r="AJ82" s="23" t="str">
        <f>IF(P82="","",DATE(YEAR(P82),MONTH(P82),1))</f>
        <v/>
      </c>
    </row>
    <row r="83">
      <c r="A83" s="21"/>
      <c r="B83" s="14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14"/>
      <c r="Q83" s="21"/>
      <c r="R83" s="21"/>
      <c r="S83" s="21"/>
      <c r="T83" s="21"/>
      <c r="U83" s="21"/>
      <c r="V83" s="14"/>
      <c r="W83" s="22"/>
      <c r="X83" s="14"/>
      <c r="Y83" s="11" t="str">
        <f>IF(V83="","",IF(X83&lt;&gt;"",IF(X83-V83&lt;30,"No","Sí"),IF(TODAY()-V83&gt;=30,"Sí","En curso")))</f>
        <v/>
      </c>
      <c r="Z83" s="14"/>
      <c r="AA83" s="21"/>
      <c r="AB83" s="14"/>
      <c r="AC83" s="21"/>
      <c r="AD83" s="21"/>
      <c r="AE83" s="7"/>
      <c r="AF83" s="11" t="str">
        <f>IF(OR(AC83&lt;&gt;"Abierto",Z83=""),"",TODAY()-Z83)</f>
        <v/>
      </c>
      <c r="AG83" s="11" t="str">
        <f>IF(AC83&lt;&gt;"Abierto","",IF(AB83="","Sin siguiente acción",IF(AB83&lt;TODAY(),"Vencido",IF(AB83=TODAY(),"Hoy","En tiempo"))))</f>
        <v/>
      </c>
      <c r="AH83" s="11" t="str">
        <f>IF(OR(B83="",V83=""),"",V83-B83)</f>
        <v/>
      </c>
      <c r="AI83" s="16" t="str">
        <f>IF(P83="","",P83-WEEKDAY(P83,3))</f>
        <v/>
      </c>
      <c r="AJ83" s="23" t="str">
        <f>IF(P83="","",DATE(YEAR(P83),MONTH(P83),1))</f>
        <v/>
      </c>
    </row>
    <row r="84">
      <c r="A84" s="21"/>
      <c r="B84" s="14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14"/>
      <c r="Q84" s="21"/>
      <c r="R84" s="21"/>
      <c r="S84" s="21"/>
      <c r="T84" s="21"/>
      <c r="U84" s="21"/>
      <c r="V84" s="14"/>
      <c r="W84" s="22"/>
      <c r="X84" s="14"/>
      <c r="Y84" s="11" t="str">
        <f>IF(V84="","",IF(X84&lt;&gt;"",IF(X84-V84&lt;30,"No","Sí"),IF(TODAY()-V84&gt;=30,"Sí","En curso")))</f>
        <v/>
      </c>
      <c r="Z84" s="14"/>
      <c r="AA84" s="21"/>
      <c r="AB84" s="14"/>
      <c r="AC84" s="21"/>
      <c r="AD84" s="21"/>
      <c r="AE84" s="7"/>
      <c r="AF84" s="11" t="str">
        <f>IF(OR(AC84&lt;&gt;"Abierto",Z84=""),"",TODAY()-Z84)</f>
        <v/>
      </c>
      <c r="AG84" s="11" t="str">
        <f>IF(AC84&lt;&gt;"Abierto","",IF(AB84="","Sin siguiente acción",IF(AB84&lt;TODAY(),"Vencido",IF(AB84=TODAY(),"Hoy","En tiempo"))))</f>
        <v/>
      </c>
      <c r="AH84" s="11" t="str">
        <f>IF(OR(B84="",V84=""),"",V84-B84)</f>
        <v/>
      </c>
      <c r="AI84" s="16" t="str">
        <f>IF(P84="","",P84-WEEKDAY(P84,3))</f>
        <v/>
      </c>
      <c r="AJ84" s="23" t="str">
        <f>IF(P84="","",DATE(YEAR(P84),MONTH(P84),1))</f>
        <v/>
      </c>
    </row>
    <row r="85">
      <c r="A85" s="21"/>
      <c r="B85" s="14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14"/>
      <c r="Q85" s="21"/>
      <c r="R85" s="21"/>
      <c r="S85" s="21"/>
      <c r="T85" s="21"/>
      <c r="U85" s="21"/>
      <c r="V85" s="14"/>
      <c r="W85" s="22"/>
      <c r="X85" s="14"/>
      <c r="Y85" s="11" t="str">
        <f>IF(V85="","",IF(X85&lt;&gt;"",IF(X85-V85&lt;30,"No","Sí"),IF(TODAY()-V85&gt;=30,"Sí","En curso")))</f>
        <v/>
      </c>
      <c r="Z85" s="14"/>
      <c r="AA85" s="21"/>
      <c r="AB85" s="14"/>
      <c r="AC85" s="21"/>
      <c r="AD85" s="21"/>
      <c r="AE85" s="7"/>
      <c r="AF85" s="11" t="str">
        <f>IF(OR(AC85&lt;&gt;"Abierto",Z85=""),"",TODAY()-Z85)</f>
        <v/>
      </c>
      <c r="AG85" s="11" t="str">
        <f>IF(AC85&lt;&gt;"Abierto","",IF(AB85="","Sin siguiente acción",IF(AB85&lt;TODAY(),"Vencido",IF(AB85=TODAY(),"Hoy","En tiempo"))))</f>
        <v/>
      </c>
      <c r="AH85" s="11" t="str">
        <f>IF(OR(B85="",V85=""),"",V85-B85)</f>
        <v/>
      </c>
      <c r="AI85" s="16" t="str">
        <f>IF(P85="","",P85-WEEKDAY(P85,3))</f>
        <v/>
      </c>
      <c r="AJ85" s="23" t="str">
        <f>IF(P85="","",DATE(YEAR(P85),MONTH(P85),1))</f>
        <v/>
      </c>
    </row>
    <row r="86">
      <c r="A86" s="21"/>
      <c r="B86" s="14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14"/>
      <c r="Q86" s="21"/>
      <c r="R86" s="21"/>
      <c r="S86" s="21"/>
      <c r="T86" s="21"/>
      <c r="U86" s="21"/>
      <c r="V86" s="14"/>
      <c r="W86" s="22"/>
      <c r="X86" s="14"/>
      <c r="Y86" s="11" t="str">
        <f>IF(V86="","",IF(X86&lt;&gt;"",IF(X86-V86&lt;30,"No","Sí"),IF(TODAY()-V86&gt;=30,"Sí","En curso")))</f>
        <v/>
      </c>
      <c r="Z86" s="14"/>
      <c r="AA86" s="21"/>
      <c r="AB86" s="14"/>
      <c r="AC86" s="21"/>
      <c r="AD86" s="21"/>
      <c r="AE86" s="7"/>
      <c r="AF86" s="11" t="str">
        <f>IF(OR(AC86&lt;&gt;"Abierto",Z86=""),"",TODAY()-Z86)</f>
        <v/>
      </c>
      <c r="AG86" s="11" t="str">
        <f>IF(AC86&lt;&gt;"Abierto","",IF(AB86="","Sin siguiente acción",IF(AB86&lt;TODAY(),"Vencido",IF(AB86=TODAY(),"Hoy","En tiempo"))))</f>
        <v/>
      </c>
      <c r="AH86" s="11" t="str">
        <f>IF(OR(B86="",V86=""),"",V86-B86)</f>
        <v/>
      </c>
      <c r="AI86" s="16" t="str">
        <f>IF(P86="","",P86-WEEKDAY(P86,3))</f>
        <v/>
      </c>
      <c r="AJ86" s="23" t="str">
        <f>IF(P86="","",DATE(YEAR(P86),MONTH(P86),1))</f>
        <v/>
      </c>
    </row>
    <row r="87">
      <c r="A87" s="21"/>
      <c r="B87" s="14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14"/>
      <c r="Q87" s="21"/>
      <c r="R87" s="21"/>
      <c r="S87" s="21"/>
      <c r="T87" s="21"/>
      <c r="U87" s="21"/>
      <c r="V87" s="14"/>
      <c r="W87" s="22"/>
      <c r="X87" s="14"/>
      <c r="Y87" s="11" t="str">
        <f>IF(V87="","",IF(X87&lt;&gt;"",IF(X87-V87&lt;30,"No","Sí"),IF(TODAY()-V87&gt;=30,"Sí","En curso")))</f>
        <v/>
      </c>
      <c r="Z87" s="14"/>
      <c r="AA87" s="21"/>
      <c r="AB87" s="14"/>
      <c r="AC87" s="21"/>
      <c r="AD87" s="21"/>
      <c r="AE87" s="7"/>
      <c r="AF87" s="11" t="str">
        <f>IF(OR(AC87&lt;&gt;"Abierto",Z87=""),"",TODAY()-Z87)</f>
        <v/>
      </c>
      <c r="AG87" s="11" t="str">
        <f>IF(AC87&lt;&gt;"Abierto","",IF(AB87="","Sin siguiente acción",IF(AB87&lt;TODAY(),"Vencido",IF(AB87=TODAY(),"Hoy","En tiempo"))))</f>
        <v/>
      </c>
      <c r="AH87" s="11" t="str">
        <f>IF(OR(B87="",V87=""),"",V87-B87)</f>
        <v/>
      </c>
      <c r="AI87" s="16" t="str">
        <f>IF(P87="","",P87-WEEKDAY(P87,3))</f>
        <v/>
      </c>
      <c r="AJ87" s="23" t="str">
        <f>IF(P87="","",DATE(YEAR(P87),MONTH(P87),1))</f>
        <v/>
      </c>
    </row>
    <row r="88">
      <c r="A88" s="21"/>
      <c r="B88" s="14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14"/>
      <c r="Q88" s="21"/>
      <c r="R88" s="21"/>
      <c r="S88" s="21"/>
      <c r="T88" s="21"/>
      <c r="U88" s="21"/>
      <c r="V88" s="14"/>
      <c r="W88" s="22"/>
      <c r="X88" s="14"/>
      <c r="Y88" s="11" t="str">
        <f>IF(V88="","",IF(X88&lt;&gt;"",IF(X88-V88&lt;30,"No","Sí"),IF(TODAY()-V88&gt;=30,"Sí","En curso")))</f>
        <v/>
      </c>
      <c r="Z88" s="14"/>
      <c r="AA88" s="21"/>
      <c r="AB88" s="14"/>
      <c r="AC88" s="21"/>
      <c r="AD88" s="21"/>
      <c r="AE88" s="7"/>
      <c r="AF88" s="11" t="str">
        <f>IF(OR(AC88&lt;&gt;"Abierto",Z88=""),"",TODAY()-Z88)</f>
        <v/>
      </c>
      <c r="AG88" s="11" t="str">
        <f>IF(AC88&lt;&gt;"Abierto","",IF(AB88="","Sin siguiente acción",IF(AB88&lt;TODAY(),"Vencido",IF(AB88=TODAY(),"Hoy","En tiempo"))))</f>
        <v/>
      </c>
      <c r="AH88" s="11" t="str">
        <f>IF(OR(B88="",V88=""),"",V88-B88)</f>
        <v/>
      </c>
      <c r="AI88" s="16" t="str">
        <f>IF(P88="","",P88-WEEKDAY(P88,3))</f>
        <v/>
      </c>
      <c r="AJ88" s="23" t="str">
        <f>IF(P88="","",DATE(YEAR(P88),MONTH(P88),1))</f>
        <v/>
      </c>
    </row>
    <row r="89">
      <c r="A89" s="21"/>
      <c r="B89" s="14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14"/>
      <c r="Q89" s="21"/>
      <c r="R89" s="21"/>
      <c r="S89" s="21"/>
      <c r="T89" s="21"/>
      <c r="U89" s="21"/>
      <c r="V89" s="14"/>
      <c r="W89" s="22"/>
      <c r="X89" s="14"/>
      <c r="Y89" s="11" t="str">
        <f>IF(V89="","",IF(X89&lt;&gt;"",IF(X89-V89&lt;30,"No","Sí"),IF(TODAY()-V89&gt;=30,"Sí","En curso")))</f>
        <v/>
      </c>
      <c r="Z89" s="14"/>
      <c r="AA89" s="21"/>
      <c r="AB89" s="14"/>
      <c r="AC89" s="21"/>
      <c r="AD89" s="21"/>
      <c r="AE89" s="7"/>
      <c r="AF89" s="11" t="str">
        <f>IF(OR(AC89&lt;&gt;"Abierto",Z89=""),"",TODAY()-Z89)</f>
        <v/>
      </c>
      <c r="AG89" s="11" t="str">
        <f>IF(AC89&lt;&gt;"Abierto","",IF(AB89="","Sin siguiente acción",IF(AB89&lt;TODAY(),"Vencido",IF(AB89=TODAY(),"Hoy","En tiempo"))))</f>
        <v/>
      </c>
      <c r="AH89" s="11" t="str">
        <f>IF(OR(B89="",V89=""),"",V89-B89)</f>
        <v/>
      </c>
      <c r="AI89" s="16" t="str">
        <f>IF(P89="","",P89-WEEKDAY(P89,3))</f>
        <v/>
      </c>
      <c r="AJ89" s="23" t="str">
        <f>IF(P89="","",DATE(YEAR(P89),MONTH(P89),1))</f>
        <v/>
      </c>
    </row>
    <row r="90">
      <c r="A90" s="21"/>
      <c r="B90" s="14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14"/>
      <c r="Q90" s="21"/>
      <c r="R90" s="21"/>
      <c r="S90" s="21"/>
      <c r="T90" s="21"/>
      <c r="U90" s="21"/>
      <c r="V90" s="14"/>
      <c r="W90" s="22"/>
      <c r="X90" s="14"/>
      <c r="Y90" s="11" t="str">
        <f>IF(V90="","",IF(X90&lt;&gt;"",IF(X90-V90&lt;30,"No","Sí"),IF(TODAY()-V90&gt;=30,"Sí","En curso")))</f>
        <v/>
      </c>
      <c r="Z90" s="14"/>
      <c r="AA90" s="21"/>
      <c r="AB90" s="14"/>
      <c r="AC90" s="21"/>
      <c r="AD90" s="21"/>
      <c r="AE90" s="7"/>
      <c r="AF90" s="11" t="str">
        <f>IF(OR(AC90&lt;&gt;"Abierto",Z90=""),"",TODAY()-Z90)</f>
        <v/>
      </c>
      <c r="AG90" s="11" t="str">
        <f>IF(AC90&lt;&gt;"Abierto","",IF(AB90="","Sin siguiente acción",IF(AB90&lt;TODAY(),"Vencido",IF(AB90=TODAY(),"Hoy","En tiempo"))))</f>
        <v/>
      </c>
      <c r="AH90" s="11" t="str">
        <f>IF(OR(B90="",V90=""),"",V90-B90)</f>
        <v/>
      </c>
      <c r="AI90" s="16" t="str">
        <f>IF(P90="","",P90-WEEKDAY(P90,3))</f>
        <v/>
      </c>
      <c r="AJ90" s="23" t="str">
        <f>IF(P90="","",DATE(YEAR(P90),MONTH(P90),1))</f>
        <v/>
      </c>
    </row>
    <row r="91">
      <c r="A91" s="21"/>
      <c r="B91" s="14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14"/>
      <c r="Q91" s="21"/>
      <c r="R91" s="21"/>
      <c r="S91" s="21"/>
      <c r="T91" s="21"/>
      <c r="U91" s="21"/>
      <c r="V91" s="14"/>
      <c r="W91" s="22"/>
      <c r="X91" s="14"/>
      <c r="Y91" s="11" t="str">
        <f>IF(V91="","",IF(X91&lt;&gt;"",IF(X91-V91&lt;30,"No","Sí"),IF(TODAY()-V91&gt;=30,"Sí","En curso")))</f>
        <v/>
      </c>
      <c r="Z91" s="14"/>
      <c r="AA91" s="21"/>
      <c r="AB91" s="14"/>
      <c r="AC91" s="21"/>
      <c r="AD91" s="21"/>
      <c r="AE91" s="7"/>
      <c r="AF91" s="11" t="str">
        <f>IF(OR(AC91&lt;&gt;"Abierto",Z91=""),"",TODAY()-Z91)</f>
        <v/>
      </c>
      <c r="AG91" s="11" t="str">
        <f>IF(AC91&lt;&gt;"Abierto","",IF(AB91="","Sin siguiente acción",IF(AB91&lt;TODAY(),"Vencido",IF(AB91=TODAY(),"Hoy","En tiempo"))))</f>
        <v/>
      </c>
      <c r="AH91" s="11" t="str">
        <f>IF(OR(B91="",V91=""),"",V91-B91)</f>
        <v/>
      </c>
      <c r="AI91" s="16" t="str">
        <f>IF(P91="","",P91-WEEKDAY(P91,3))</f>
        <v/>
      </c>
      <c r="AJ91" s="23" t="str">
        <f>IF(P91="","",DATE(YEAR(P91),MONTH(P91),1))</f>
        <v/>
      </c>
    </row>
    <row r="92">
      <c r="A92" s="21"/>
      <c r="B92" s="14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14"/>
      <c r="Q92" s="21"/>
      <c r="R92" s="21"/>
      <c r="S92" s="21"/>
      <c r="T92" s="21"/>
      <c r="U92" s="21"/>
      <c r="V92" s="14"/>
      <c r="W92" s="22"/>
      <c r="X92" s="14"/>
      <c r="Y92" s="11" t="str">
        <f>IF(V92="","",IF(X92&lt;&gt;"",IF(X92-V92&lt;30,"No","Sí"),IF(TODAY()-V92&gt;=30,"Sí","En curso")))</f>
        <v/>
      </c>
      <c r="Z92" s="14"/>
      <c r="AA92" s="21"/>
      <c r="AB92" s="14"/>
      <c r="AC92" s="21"/>
      <c r="AD92" s="21"/>
      <c r="AE92" s="7"/>
      <c r="AF92" s="11" t="str">
        <f>IF(OR(AC92&lt;&gt;"Abierto",Z92=""),"",TODAY()-Z92)</f>
        <v/>
      </c>
      <c r="AG92" s="11" t="str">
        <f>IF(AC92&lt;&gt;"Abierto","",IF(AB92="","Sin siguiente acción",IF(AB92&lt;TODAY(),"Vencido",IF(AB92=TODAY(),"Hoy","En tiempo"))))</f>
        <v/>
      </c>
      <c r="AH92" s="11" t="str">
        <f>IF(OR(B92="",V92=""),"",V92-B92)</f>
        <v/>
      </c>
      <c r="AI92" s="16" t="str">
        <f>IF(P92="","",P92-WEEKDAY(P92,3))</f>
        <v/>
      </c>
      <c r="AJ92" s="23" t="str">
        <f>IF(P92="","",DATE(YEAR(P92),MONTH(P92),1))</f>
        <v/>
      </c>
    </row>
    <row r="93">
      <c r="A93" s="21"/>
      <c r="B93" s="14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14"/>
      <c r="Q93" s="21"/>
      <c r="R93" s="21"/>
      <c r="S93" s="21"/>
      <c r="T93" s="21"/>
      <c r="U93" s="21"/>
      <c r="V93" s="14"/>
      <c r="W93" s="22"/>
      <c r="X93" s="14"/>
      <c r="Y93" s="11" t="str">
        <f>IF(V93="","",IF(X93&lt;&gt;"",IF(X93-V93&lt;30,"No","Sí"),IF(TODAY()-V93&gt;=30,"Sí","En curso")))</f>
        <v/>
      </c>
      <c r="Z93" s="14"/>
      <c r="AA93" s="21"/>
      <c r="AB93" s="14"/>
      <c r="AC93" s="21"/>
      <c r="AD93" s="21"/>
      <c r="AE93" s="7"/>
      <c r="AF93" s="11" t="str">
        <f>IF(OR(AC93&lt;&gt;"Abierto",Z93=""),"",TODAY()-Z93)</f>
        <v/>
      </c>
      <c r="AG93" s="11" t="str">
        <f>IF(AC93&lt;&gt;"Abierto","",IF(AB93="","Sin siguiente acción",IF(AB93&lt;TODAY(),"Vencido",IF(AB93=TODAY(),"Hoy","En tiempo"))))</f>
        <v/>
      </c>
      <c r="AH93" s="11" t="str">
        <f>IF(OR(B93="",V93=""),"",V93-B93)</f>
        <v/>
      </c>
      <c r="AI93" s="16" t="str">
        <f>IF(P93="","",P93-WEEKDAY(P93,3))</f>
        <v/>
      </c>
      <c r="AJ93" s="23" t="str">
        <f>IF(P93="","",DATE(YEAR(P93),MONTH(P93),1))</f>
        <v/>
      </c>
    </row>
    <row r="94">
      <c r="A94" s="21"/>
      <c r="B94" s="14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14"/>
      <c r="Q94" s="21"/>
      <c r="R94" s="21"/>
      <c r="S94" s="21"/>
      <c r="T94" s="21"/>
      <c r="U94" s="21"/>
      <c r="V94" s="14"/>
      <c r="W94" s="22"/>
      <c r="X94" s="14"/>
      <c r="Y94" s="11" t="str">
        <f>IF(V94="","",IF(X94&lt;&gt;"",IF(X94-V94&lt;30,"No","Sí"),IF(TODAY()-V94&gt;=30,"Sí","En curso")))</f>
        <v/>
      </c>
      <c r="Z94" s="14"/>
      <c r="AA94" s="21"/>
      <c r="AB94" s="14"/>
      <c r="AC94" s="21"/>
      <c r="AD94" s="21"/>
      <c r="AE94" s="7"/>
      <c r="AF94" s="11" t="str">
        <f>IF(OR(AC94&lt;&gt;"Abierto",Z94=""),"",TODAY()-Z94)</f>
        <v/>
      </c>
      <c r="AG94" s="11" t="str">
        <f>IF(AC94&lt;&gt;"Abierto","",IF(AB94="","Sin siguiente acción",IF(AB94&lt;TODAY(),"Vencido",IF(AB94=TODAY(),"Hoy","En tiempo"))))</f>
        <v/>
      </c>
      <c r="AH94" s="11" t="str">
        <f>IF(OR(B94="",V94=""),"",V94-B94)</f>
        <v/>
      </c>
      <c r="AI94" s="16" t="str">
        <f>IF(P94="","",P94-WEEKDAY(P94,3))</f>
        <v/>
      </c>
      <c r="AJ94" s="23" t="str">
        <f>IF(P94="","",DATE(YEAR(P94),MONTH(P94),1))</f>
        <v/>
      </c>
    </row>
    <row r="95">
      <c r="A95" s="21"/>
      <c r="B95" s="14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14"/>
      <c r="Q95" s="21"/>
      <c r="R95" s="21"/>
      <c r="S95" s="21"/>
      <c r="T95" s="21"/>
      <c r="U95" s="21"/>
      <c r="V95" s="14"/>
      <c r="W95" s="22"/>
      <c r="X95" s="14"/>
      <c r="Y95" s="11" t="str">
        <f>IF(V95="","",IF(X95&lt;&gt;"",IF(X95-V95&lt;30,"No","Sí"),IF(TODAY()-V95&gt;=30,"Sí","En curso")))</f>
        <v/>
      </c>
      <c r="Z95" s="14"/>
      <c r="AA95" s="21"/>
      <c r="AB95" s="14"/>
      <c r="AC95" s="21"/>
      <c r="AD95" s="21"/>
      <c r="AE95" s="7"/>
      <c r="AF95" s="11" t="str">
        <f>IF(OR(AC95&lt;&gt;"Abierto",Z95=""),"",TODAY()-Z95)</f>
        <v/>
      </c>
      <c r="AG95" s="11" t="str">
        <f>IF(AC95&lt;&gt;"Abierto","",IF(AB95="","Sin siguiente acción",IF(AB95&lt;TODAY(),"Vencido",IF(AB95=TODAY(),"Hoy","En tiempo"))))</f>
        <v/>
      </c>
      <c r="AH95" s="11" t="str">
        <f>IF(OR(B95="",V95=""),"",V95-B95)</f>
        <v/>
      </c>
      <c r="AI95" s="16" t="str">
        <f>IF(P95="","",P95-WEEKDAY(P95,3))</f>
        <v/>
      </c>
      <c r="AJ95" s="23" t="str">
        <f>IF(P95="","",DATE(YEAR(P95),MONTH(P95),1))</f>
        <v/>
      </c>
    </row>
    <row r="96">
      <c r="A96" s="21"/>
      <c r="B96" s="14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14"/>
      <c r="Q96" s="21"/>
      <c r="R96" s="21"/>
      <c r="S96" s="21"/>
      <c r="T96" s="21"/>
      <c r="U96" s="21"/>
      <c r="V96" s="14"/>
      <c r="W96" s="22"/>
      <c r="X96" s="14"/>
      <c r="Y96" s="11" t="str">
        <f>IF(V96="","",IF(X96&lt;&gt;"",IF(X96-V96&lt;30,"No","Sí"),IF(TODAY()-V96&gt;=30,"Sí","En curso")))</f>
        <v/>
      </c>
      <c r="Z96" s="14"/>
      <c r="AA96" s="21"/>
      <c r="AB96" s="14"/>
      <c r="AC96" s="21"/>
      <c r="AD96" s="21"/>
      <c r="AE96" s="7"/>
      <c r="AF96" s="11" t="str">
        <f>IF(OR(AC96&lt;&gt;"Abierto",Z96=""),"",TODAY()-Z96)</f>
        <v/>
      </c>
      <c r="AG96" s="11" t="str">
        <f>IF(AC96&lt;&gt;"Abierto","",IF(AB96="","Sin siguiente acción",IF(AB96&lt;TODAY(),"Vencido",IF(AB96=TODAY(),"Hoy","En tiempo"))))</f>
        <v/>
      </c>
      <c r="AH96" s="11" t="str">
        <f>IF(OR(B96="",V96=""),"",V96-B96)</f>
        <v/>
      </c>
      <c r="AI96" s="16" t="str">
        <f>IF(P96="","",P96-WEEKDAY(P96,3))</f>
        <v/>
      </c>
      <c r="AJ96" s="23" t="str">
        <f>IF(P96="","",DATE(YEAR(P96),MONTH(P96),1))</f>
        <v/>
      </c>
    </row>
    <row r="97">
      <c r="A97" s="21"/>
      <c r="B97" s="14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14"/>
      <c r="Q97" s="21"/>
      <c r="R97" s="21"/>
      <c r="S97" s="21"/>
      <c r="T97" s="21"/>
      <c r="U97" s="21"/>
      <c r="V97" s="14"/>
      <c r="W97" s="22"/>
      <c r="X97" s="14"/>
      <c r="Y97" s="11" t="str">
        <f>IF(V97="","",IF(X97&lt;&gt;"",IF(X97-V97&lt;30,"No","Sí"),IF(TODAY()-V97&gt;=30,"Sí","En curso")))</f>
        <v/>
      </c>
      <c r="Z97" s="14"/>
      <c r="AA97" s="21"/>
      <c r="AB97" s="14"/>
      <c r="AC97" s="21"/>
      <c r="AD97" s="21"/>
      <c r="AE97" s="7"/>
      <c r="AF97" s="11" t="str">
        <f>IF(OR(AC97&lt;&gt;"Abierto",Z97=""),"",TODAY()-Z97)</f>
        <v/>
      </c>
      <c r="AG97" s="11" t="str">
        <f>IF(AC97&lt;&gt;"Abierto","",IF(AB97="","Sin siguiente acción",IF(AB97&lt;TODAY(),"Vencido",IF(AB97=TODAY(),"Hoy","En tiempo"))))</f>
        <v/>
      </c>
      <c r="AH97" s="11" t="str">
        <f>IF(OR(B97="",V97=""),"",V97-B97)</f>
        <v/>
      </c>
      <c r="AI97" s="16" t="str">
        <f>IF(P97="","",P97-WEEKDAY(P97,3))</f>
        <v/>
      </c>
      <c r="AJ97" s="23" t="str">
        <f>IF(P97="","",DATE(YEAR(P97),MONTH(P97),1))</f>
        <v/>
      </c>
    </row>
    <row r="98">
      <c r="A98" s="21"/>
      <c r="B98" s="14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14"/>
      <c r="Q98" s="21"/>
      <c r="R98" s="21"/>
      <c r="S98" s="21"/>
      <c r="T98" s="21"/>
      <c r="U98" s="21"/>
      <c r="V98" s="14"/>
      <c r="W98" s="22"/>
      <c r="X98" s="14"/>
      <c r="Y98" s="11" t="str">
        <f>IF(V98="","",IF(X98&lt;&gt;"",IF(X98-V98&lt;30,"No","Sí"),IF(TODAY()-V98&gt;=30,"Sí","En curso")))</f>
        <v/>
      </c>
      <c r="Z98" s="14"/>
      <c r="AA98" s="21"/>
      <c r="AB98" s="14"/>
      <c r="AC98" s="21"/>
      <c r="AD98" s="21"/>
      <c r="AE98" s="7"/>
      <c r="AF98" s="11" t="str">
        <f>IF(OR(AC98&lt;&gt;"Abierto",Z98=""),"",TODAY()-Z98)</f>
        <v/>
      </c>
      <c r="AG98" s="11" t="str">
        <f>IF(AC98&lt;&gt;"Abierto","",IF(AB98="","Sin siguiente acción",IF(AB98&lt;TODAY(),"Vencido",IF(AB98=TODAY(),"Hoy","En tiempo"))))</f>
        <v/>
      </c>
      <c r="AH98" s="11" t="str">
        <f>IF(OR(B98="",V98=""),"",V98-B98)</f>
        <v/>
      </c>
      <c r="AI98" s="16" t="str">
        <f>IF(P98="","",P98-WEEKDAY(P98,3))</f>
        <v/>
      </c>
      <c r="AJ98" s="23" t="str">
        <f>IF(P98="","",DATE(YEAR(P98),MONTH(P98),1))</f>
        <v/>
      </c>
    </row>
    <row r="99">
      <c r="A99" s="21"/>
      <c r="B99" s="14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14"/>
      <c r="Q99" s="21"/>
      <c r="R99" s="21"/>
      <c r="S99" s="21"/>
      <c r="T99" s="21"/>
      <c r="U99" s="21"/>
      <c r="V99" s="14"/>
      <c r="W99" s="22"/>
      <c r="X99" s="14"/>
      <c r="Y99" s="11" t="str">
        <f>IF(V99="","",IF(X99&lt;&gt;"",IF(X99-V99&lt;30,"No","Sí"),IF(TODAY()-V99&gt;=30,"Sí","En curso")))</f>
        <v/>
      </c>
      <c r="Z99" s="14"/>
      <c r="AA99" s="21"/>
      <c r="AB99" s="14"/>
      <c r="AC99" s="21"/>
      <c r="AD99" s="21"/>
      <c r="AE99" s="7"/>
      <c r="AF99" s="11" t="str">
        <f>IF(OR(AC99&lt;&gt;"Abierto",Z99=""),"",TODAY()-Z99)</f>
        <v/>
      </c>
      <c r="AG99" s="11" t="str">
        <f>IF(AC99&lt;&gt;"Abierto","",IF(AB99="","Sin siguiente acción",IF(AB99&lt;TODAY(),"Vencido",IF(AB99=TODAY(),"Hoy","En tiempo"))))</f>
        <v/>
      </c>
      <c r="AH99" s="11" t="str">
        <f>IF(OR(B99="",V99=""),"",V99-B99)</f>
        <v/>
      </c>
      <c r="AI99" s="16" t="str">
        <f>IF(P99="","",P99-WEEKDAY(P99,3))</f>
        <v/>
      </c>
      <c r="AJ99" s="23" t="str">
        <f>IF(P99="","",DATE(YEAR(P99),MONTH(P99),1))</f>
        <v/>
      </c>
    </row>
    <row r="100">
      <c r="A100" s="21"/>
      <c r="B100" s="14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14"/>
      <c r="Q100" s="21"/>
      <c r="R100" s="21"/>
      <c r="S100" s="21"/>
      <c r="T100" s="21"/>
      <c r="U100" s="21"/>
      <c r="V100" s="14"/>
      <c r="W100" s="22"/>
      <c r="X100" s="14"/>
      <c r="Y100" s="11" t="str">
        <f>IF(V100="","",IF(X100&lt;&gt;"",IF(X100-V100&lt;30,"No","Sí"),IF(TODAY()-V100&gt;=30,"Sí","En curso")))</f>
        <v/>
      </c>
      <c r="Z100" s="14"/>
      <c r="AA100" s="21"/>
      <c r="AB100" s="14"/>
      <c r="AC100" s="21"/>
      <c r="AD100" s="21"/>
      <c r="AE100" s="7"/>
      <c r="AF100" s="11" t="str">
        <f>IF(OR(AC100&lt;&gt;"Abierto",Z100=""),"",TODAY()-Z100)</f>
        <v/>
      </c>
      <c r="AG100" s="11" t="str">
        <f>IF(AC100&lt;&gt;"Abierto","",IF(AB100="","Sin siguiente acción",IF(AB100&lt;TODAY(),"Vencido",IF(AB100=TODAY(),"Hoy","En tiempo"))))</f>
        <v/>
      </c>
      <c r="AH100" s="11" t="str">
        <f>IF(OR(B100="",V100=""),"",V100-B100)</f>
        <v/>
      </c>
      <c r="AI100" s="16" t="str">
        <f>IF(P100="","",P100-WEEKDAY(P100,3))</f>
        <v/>
      </c>
      <c r="AJ100" s="23" t="str">
        <f>IF(P100="","",DATE(YEAR(P100),MONTH(P100),1))</f>
        <v/>
      </c>
    </row>
    <row r="101">
      <c r="A101" s="21"/>
      <c r="B101" s="14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14"/>
      <c r="Q101" s="21"/>
      <c r="R101" s="21"/>
      <c r="S101" s="21"/>
      <c r="T101" s="21"/>
      <c r="U101" s="21"/>
      <c r="V101" s="14"/>
      <c r="W101" s="22"/>
      <c r="X101" s="14"/>
      <c r="Y101" s="11" t="str">
        <f>IF(V101="","",IF(X101&lt;&gt;"",IF(X101-V101&lt;30,"No","Sí"),IF(TODAY()-V101&gt;=30,"Sí","En curso")))</f>
        <v/>
      </c>
      <c r="Z101" s="14"/>
      <c r="AA101" s="21"/>
      <c r="AB101" s="14"/>
      <c r="AC101" s="21"/>
      <c r="AD101" s="21"/>
      <c r="AE101" s="7"/>
      <c r="AF101" s="11" t="str">
        <f>IF(OR(AC101&lt;&gt;"Abierto",Z101=""),"",TODAY()-Z101)</f>
        <v/>
      </c>
      <c r="AG101" s="11" t="str">
        <f>IF(AC101&lt;&gt;"Abierto","",IF(AB101="","Sin siguiente acción",IF(AB101&lt;TODAY(),"Vencido",IF(AB101=TODAY(),"Hoy","En tiempo"))))</f>
        <v/>
      </c>
      <c r="AH101" s="11" t="str">
        <f>IF(OR(B101="",V101=""),"",V101-B101)</f>
        <v/>
      </c>
      <c r="AI101" s="16" t="str">
        <f>IF(P101="","",P101-WEEKDAY(P101,3))</f>
        <v/>
      </c>
      <c r="AJ101" s="23" t="str">
        <f>IF(P101="","",DATE(YEAR(P101),MONTH(P101),1))</f>
        <v/>
      </c>
    </row>
    <row r="102">
      <c r="A102" s="21"/>
      <c r="B102" s="14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14"/>
      <c r="Q102" s="21"/>
      <c r="R102" s="21"/>
      <c r="S102" s="21"/>
      <c r="T102" s="21"/>
      <c r="U102" s="21"/>
      <c r="V102" s="14"/>
      <c r="W102" s="22"/>
      <c r="X102" s="14"/>
      <c r="Y102" s="11" t="str">
        <f>IF(V102="","",IF(X102&lt;&gt;"",IF(X102-V102&lt;30,"No","Sí"),IF(TODAY()-V102&gt;=30,"Sí","En curso")))</f>
        <v/>
      </c>
      <c r="Z102" s="14"/>
      <c r="AA102" s="21"/>
      <c r="AB102" s="14"/>
      <c r="AC102" s="21"/>
      <c r="AD102" s="21"/>
      <c r="AE102" s="7"/>
      <c r="AF102" s="11" t="str">
        <f>IF(OR(AC102&lt;&gt;"Abierto",Z102=""),"",TODAY()-Z102)</f>
        <v/>
      </c>
      <c r="AG102" s="11" t="str">
        <f>IF(AC102&lt;&gt;"Abierto","",IF(AB102="","Sin siguiente acción",IF(AB102&lt;TODAY(),"Vencido",IF(AB102=TODAY(),"Hoy","En tiempo"))))</f>
        <v/>
      </c>
      <c r="AH102" s="11" t="str">
        <f>IF(OR(B102="",V102=""),"",V102-B102)</f>
        <v/>
      </c>
      <c r="AI102" s="16" t="str">
        <f>IF(P102="","",P102-WEEKDAY(P102,3))</f>
        <v/>
      </c>
      <c r="AJ102" s="23" t="str">
        <f>IF(P102="","",DATE(YEAR(P102),MONTH(P102),1))</f>
        <v/>
      </c>
    </row>
    <row r="103">
      <c r="A103" s="21"/>
      <c r="B103" s="14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14"/>
      <c r="Q103" s="21"/>
      <c r="R103" s="21"/>
      <c r="S103" s="21"/>
      <c r="T103" s="21"/>
      <c r="U103" s="21"/>
      <c r="V103" s="14"/>
      <c r="W103" s="22"/>
      <c r="X103" s="14"/>
      <c r="Y103" s="11" t="str">
        <f>IF(V103="","",IF(X103&lt;&gt;"",IF(X103-V103&lt;30,"No","Sí"),IF(TODAY()-V103&gt;=30,"Sí","En curso")))</f>
        <v/>
      </c>
      <c r="Z103" s="14"/>
      <c r="AA103" s="21"/>
      <c r="AB103" s="14"/>
      <c r="AC103" s="21"/>
      <c r="AD103" s="21"/>
      <c r="AE103" s="7"/>
      <c r="AF103" s="11" t="str">
        <f>IF(OR(AC103&lt;&gt;"Abierto",Z103=""),"",TODAY()-Z103)</f>
        <v/>
      </c>
      <c r="AG103" s="11" t="str">
        <f>IF(AC103&lt;&gt;"Abierto","",IF(AB103="","Sin siguiente acción",IF(AB103&lt;TODAY(),"Vencido",IF(AB103=TODAY(),"Hoy","En tiempo"))))</f>
        <v/>
      </c>
      <c r="AH103" s="11" t="str">
        <f>IF(OR(B103="",V103=""),"",V103-B103)</f>
        <v/>
      </c>
      <c r="AI103" s="16" t="str">
        <f>IF(P103="","",P103-WEEKDAY(P103,3))</f>
        <v/>
      </c>
      <c r="AJ103" s="23" t="str">
        <f>IF(P103="","",DATE(YEAR(P103),MONTH(P103),1))</f>
        <v/>
      </c>
    </row>
    <row r="104">
      <c r="A104" s="21"/>
      <c r="B104" s="14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14"/>
      <c r="Q104" s="21"/>
      <c r="R104" s="21"/>
      <c r="S104" s="21"/>
      <c r="T104" s="21"/>
      <c r="U104" s="21"/>
      <c r="V104" s="14"/>
      <c r="W104" s="22"/>
      <c r="X104" s="14"/>
      <c r="Y104" s="11" t="str">
        <f>IF(V104="","",IF(X104&lt;&gt;"",IF(X104-V104&lt;30,"No","Sí"),IF(TODAY()-V104&gt;=30,"Sí","En curso")))</f>
        <v/>
      </c>
      <c r="Z104" s="14"/>
      <c r="AA104" s="21"/>
      <c r="AB104" s="14"/>
      <c r="AC104" s="21"/>
      <c r="AD104" s="21"/>
      <c r="AE104" s="7"/>
      <c r="AF104" s="11" t="str">
        <f>IF(OR(AC104&lt;&gt;"Abierto",Z104=""),"",TODAY()-Z104)</f>
        <v/>
      </c>
      <c r="AG104" s="11" t="str">
        <f>IF(AC104&lt;&gt;"Abierto","",IF(AB104="","Sin siguiente acción",IF(AB104&lt;TODAY(),"Vencido",IF(AB104=TODAY(),"Hoy","En tiempo"))))</f>
        <v/>
      </c>
      <c r="AH104" s="11" t="str">
        <f>IF(OR(B104="",V104=""),"",V104-B104)</f>
        <v/>
      </c>
      <c r="AI104" s="16" t="str">
        <f>IF(P104="","",P104-WEEKDAY(P104,3))</f>
        <v/>
      </c>
      <c r="AJ104" s="23" t="str">
        <f>IF(P104="","",DATE(YEAR(P104),MONTH(P104),1))</f>
        <v/>
      </c>
    </row>
    <row r="105">
      <c r="A105" s="21"/>
      <c r="B105" s="14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14"/>
      <c r="Q105" s="21"/>
      <c r="R105" s="21"/>
      <c r="S105" s="21"/>
      <c r="T105" s="21"/>
      <c r="U105" s="21"/>
      <c r="V105" s="14"/>
      <c r="W105" s="22"/>
      <c r="X105" s="14"/>
      <c r="Y105" s="11" t="str">
        <f>IF(V105="","",IF(X105&lt;&gt;"",IF(X105-V105&lt;30,"No","Sí"),IF(TODAY()-V105&gt;=30,"Sí","En curso")))</f>
        <v/>
      </c>
      <c r="Z105" s="14"/>
      <c r="AA105" s="21"/>
      <c r="AB105" s="14"/>
      <c r="AC105" s="21"/>
      <c r="AD105" s="21"/>
      <c r="AE105" s="7"/>
      <c r="AF105" s="11" t="str">
        <f>IF(OR(AC105&lt;&gt;"Abierto",Z105=""),"",TODAY()-Z105)</f>
        <v/>
      </c>
      <c r="AG105" s="11" t="str">
        <f>IF(AC105&lt;&gt;"Abierto","",IF(AB105="","Sin siguiente acción",IF(AB105&lt;TODAY(),"Vencido",IF(AB105=TODAY(),"Hoy","En tiempo"))))</f>
        <v/>
      </c>
      <c r="AH105" s="11" t="str">
        <f>IF(OR(B105="",V105=""),"",V105-B105)</f>
        <v/>
      </c>
      <c r="AI105" s="16" t="str">
        <f>IF(P105="","",P105-WEEKDAY(P105,3))</f>
        <v/>
      </c>
      <c r="AJ105" s="23" t="str">
        <f>IF(P105="","",DATE(YEAR(P105),MONTH(P105),1))</f>
        <v/>
      </c>
    </row>
    <row r="106">
      <c r="A106" s="21"/>
      <c r="B106" s="14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14"/>
      <c r="Q106" s="21"/>
      <c r="R106" s="21"/>
      <c r="S106" s="21"/>
      <c r="T106" s="21"/>
      <c r="U106" s="21"/>
      <c r="V106" s="14"/>
      <c r="W106" s="22"/>
      <c r="X106" s="14"/>
      <c r="Y106" s="11" t="str">
        <f>IF(V106="","",IF(X106&lt;&gt;"",IF(X106-V106&lt;30,"No","Sí"),IF(TODAY()-V106&gt;=30,"Sí","En curso")))</f>
        <v/>
      </c>
      <c r="Z106" s="14"/>
      <c r="AA106" s="21"/>
      <c r="AB106" s="14"/>
      <c r="AC106" s="21"/>
      <c r="AD106" s="21"/>
      <c r="AE106" s="7"/>
      <c r="AF106" s="11" t="str">
        <f>IF(OR(AC106&lt;&gt;"Abierto",Z106=""),"",TODAY()-Z106)</f>
        <v/>
      </c>
      <c r="AG106" s="11" t="str">
        <f>IF(AC106&lt;&gt;"Abierto","",IF(AB106="","Sin siguiente acción",IF(AB106&lt;TODAY(),"Vencido",IF(AB106=TODAY(),"Hoy","En tiempo"))))</f>
        <v/>
      </c>
      <c r="AH106" s="11" t="str">
        <f>IF(OR(B106="",V106=""),"",V106-B106)</f>
        <v/>
      </c>
      <c r="AI106" s="16" t="str">
        <f>IF(P106="","",P106-WEEKDAY(P106,3))</f>
        <v/>
      </c>
      <c r="AJ106" s="23" t="str">
        <f>IF(P106="","",DATE(YEAR(P106),MONTH(P106),1))</f>
        <v/>
      </c>
    </row>
    <row r="107">
      <c r="A107" s="21"/>
      <c r="B107" s="14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14"/>
      <c r="Q107" s="21"/>
      <c r="R107" s="21"/>
      <c r="S107" s="21"/>
      <c r="T107" s="21"/>
      <c r="U107" s="21"/>
      <c r="V107" s="14"/>
      <c r="W107" s="22"/>
      <c r="X107" s="14"/>
      <c r="Y107" s="11" t="str">
        <f>IF(V107="","",IF(X107&lt;&gt;"",IF(X107-V107&lt;30,"No","Sí"),IF(TODAY()-V107&gt;=30,"Sí","En curso")))</f>
        <v/>
      </c>
      <c r="Z107" s="14"/>
      <c r="AA107" s="21"/>
      <c r="AB107" s="14"/>
      <c r="AC107" s="21"/>
      <c r="AD107" s="21"/>
      <c r="AE107" s="7"/>
      <c r="AF107" s="11" t="str">
        <f>IF(OR(AC107&lt;&gt;"Abierto",Z107=""),"",TODAY()-Z107)</f>
        <v/>
      </c>
      <c r="AG107" s="11" t="str">
        <f>IF(AC107&lt;&gt;"Abierto","",IF(AB107="","Sin siguiente acción",IF(AB107&lt;TODAY(),"Vencido",IF(AB107=TODAY(),"Hoy","En tiempo"))))</f>
        <v/>
      </c>
      <c r="AH107" s="11" t="str">
        <f>IF(OR(B107="",V107=""),"",V107-B107)</f>
        <v/>
      </c>
      <c r="AI107" s="16" t="str">
        <f>IF(P107="","",P107-WEEKDAY(P107,3))</f>
        <v/>
      </c>
      <c r="AJ107" s="23" t="str">
        <f>IF(P107="","",DATE(YEAR(P107),MONTH(P107),1))</f>
        <v/>
      </c>
    </row>
    <row r="108">
      <c r="A108" s="21"/>
      <c r="B108" s="14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14"/>
      <c r="Q108" s="21"/>
      <c r="R108" s="21"/>
      <c r="S108" s="21"/>
      <c r="T108" s="21"/>
      <c r="U108" s="21"/>
      <c r="V108" s="14"/>
      <c r="W108" s="22"/>
      <c r="X108" s="14"/>
      <c r="Y108" s="11" t="str">
        <f>IF(V108="","",IF(X108&lt;&gt;"",IF(X108-V108&lt;30,"No","Sí"),IF(TODAY()-V108&gt;=30,"Sí","En curso")))</f>
        <v/>
      </c>
      <c r="Z108" s="14"/>
      <c r="AA108" s="21"/>
      <c r="AB108" s="14"/>
      <c r="AC108" s="21"/>
      <c r="AD108" s="21"/>
      <c r="AE108" s="7"/>
      <c r="AF108" s="11" t="str">
        <f>IF(OR(AC108&lt;&gt;"Abierto",Z108=""),"",TODAY()-Z108)</f>
        <v/>
      </c>
      <c r="AG108" s="11" t="str">
        <f>IF(AC108&lt;&gt;"Abierto","",IF(AB108="","Sin siguiente acción",IF(AB108&lt;TODAY(),"Vencido",IF(AB108=TODAY(),"Hoy","En tiempo"))))</f>
        <v/>
      </c>
      <c r="AH108" s="11" t="str">
        <f>IF(OR(B108="",V108=""),"",V108-B108)</f>
        <v/>
      </c>
      <c r="AI108" s="16" t="str">
        <f>IF(P108="","",P108-WEEKDAY(P108,3))</f>
        <v/>
      </c>
      <c r="AJ108" s="23" t="str">
        <f>IF(P108="","",DATE(YEAR(P108),MONTH(P108),1))</f>
        <v/>
      </c>
    </row>
    <row r="109">
      <c r="A109" s="21"/>
      <c r="B109" s="14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14"/>
      <c r="Q109" s="21"/>
      <c r="R109" s="21"/>
      <c r="S109" s="21"/>
      <c r="T109" s="21"/>
      <c r="U109" s="21"/>
      <c r="V109" s="14"/>
      <c r="W109" s="22"/>
      <c r="X109" s="14"/>
      <c r="Y109" s="11" t="str">
        <f>IF(V109="","",IF(X109&lt;&gt;"",IF(X109-V109&lt;30,"No","Sí"),IF(TODAY()-V109&gt;=30,"Sí","En curso")))</f>
        <v/>
      </c>
      <c r="Z109" s="14"/>
      <c r="AA109" s="21"/>
      <c r="AB109" s="14"/>
      <c r="AC109" s="21"/>
      <c r="AD109" s="21"/>
      <c r="AE109" s="7"/>
      <c r="AF109" s="11" t="str">
        <f>IF(OR(AC109&lt;&gt;"Abierto",Z109=""),"",TODAY()-Z109)</f>
        <v/>
      </c>
      <c r="AG109" s="11" t="str">
        <f>IF(AC109&lt;&gt;"Abierto","",IF(AB109="","Sin siguiente acción",IF(AB109&lt;TODAY(),"Vencido",IF(AB109=TODAY(),"Hoy","En tiempo"))))</f>
        <v/>
      </c>
      <c r="AH109" s="11" t="str">
        <f>IF(OR(B109="",V109=""),"",V109-B109)</f>
        <v/>
      </c>
      <c r="AI109" s="16" t="str">
        <f>IF(P109="","",P109-WEEKDAY(P109,3))</f>
        <v/>
      </c>
      <c r="AJ109" s="23" t="str">
        <f>IF(P109="","",DATE(YEAR(P109),MONTH(P109),1))</f>
        <v/>
      </c>
    </row>
    <row r="110">
      <c r="A110" s="21"/>
      <c r="B110" s="14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14"/>
      <c r="Q110" s="21"/>
      <c r="R110" s="21"/>
      <c r="S110" s="21"/>
      <c r="T110" s="21"/>
      <c r="U110" s="21"/>
      <c r="V110" s="14"/>
      <c r="W110" s="22"/>
      <c r="X110" s="14"/>
      <c r="Y110" s="11" t="str">
        <f>IF(V110="","",IF(X110&lt;&gt;"",IF(X110-V110&lt;30,"No","Sí"),IF(TODAY()-V110&gt;=30,"Sí","En curso")))</f>
        <v/>
      </c>
      <c r="Z110" s="14"/>
      <c r="AA110" s="21"/>
      <c r="AB110" s="14"/>
      <c r="AC110" s="21"/>
      <c r="AD110" s="21"/>
      <c r="AE110" s="7"/>
      <c r="AF110" s="11" t="str">
        <f>IF(OR(AC110&lt;&gt;"Abierto",Z110=""),"",TODAY()-Z110)</f>
        <v/>
      </c>
      <c r="AG110" s="11" t="str">
        <f>IF(AC110&lt;&gt;"Abierto","",IF(AB110="","Sin siguiente acción",IF(AB110&lt;TODAY(),"Vencido",IF(AB110=TODAY(),"Hoy","En tiempo"))))</f>
        <v/>
      </c>
      <c r="AH110" s="11" t="str">
        <f>IF(OR(B110="",V110=""),"",V110-B110)</f>
        <v/>
      </c>
      <c r="AI110" s="16" t="str">
        <f>IF(P110="","",P110-WEEKDAY(P110,3))</f>
        <v/>
      </c>
      <c r="AJ110" s="23" t="str">
        <f>IF(P110="","",DATE(YEAR(P110),MONTH(P110),1))</f>
        <v/>
      </c>
    </row>
    <row r="111">
      <c r="A111" s="21"/>
      <c r="B111" s="14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14"/>
      <c r="Q111" s="21"/>
      <c r="R111" s="21"/>
      <c r="S111" s="21"/>
      <c r="T111" s="21"/>
      <c r="U111" s="21"/>
      <c r="V111" s="14"/>
      <c r="W111" s="22"/>
      <c r="X111" s="14"/>
      <c r="Y111" s="11" t="str">
        <f>IF(V111="","",IF(X111&lt;&gt;"",IF(X111-V111&lt;30,"No","Sí"),IF(TODAY()-V111&gt;=30,"Sí","En curso")))</f>
        <v/>
      </c>
      <c r="Z111" s="14"/>
      <c r="AA111" s="21"/>
      <c r="AB111" s="14"/>
      <c r="AC111" s="21"/>
      <c r="AD111" s="21"/>
      <c r="AE111" s="7"/>
      <c r="AF111" s="11" t="str">
        <f>IF(OR(AC111&lt;&gt;"Abierto",Z111=""),"",TODAY()-Z111)</f>
        <v/>
      </c>
      <c r="AG111" s="11" t="str">
        <f>IF(AC111&lt;&gt;"Abierto","",IF(AB111="","Sin siguiente acción",IF(AB111&lt;TODAY(),"Vencido",IF(AB111=TODAY(),"Hoy","En tiempo"))))</f>
        <v/>
      </c>
      <c r="AH111" s="11" t="str">
        <f>IF(OR(B111="",V111=""),"",V111-B111)</f>
        <v/>
      </c>
      <c r="AI111" s="16" t="str">
        <f>IF(P111="","",P111-WEEKDAY(P111,3))</f>
        <v/>
      </c>
      <c r="AJ111" s="23" t="str">
        <f>IF(P111="","",DATE(YEAR(P111),MONTH(P111),1))</f>
        <v/>
      </c>
    </row>
    <row r="112">
      <c r="A112" s="21"/>
      <c r="B112" s="14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14"/>
      <c r="Q112" s="21"/>
      <c r="R112" s="21"/>
      <c r="S112" s="21"/>
      <c r="T112" s="21"/>
      <c r="U112" s="21"/>
      <c r="V112" s="14"/>
      <c r="W112" s="22"/>
      <c r="X112" s="14"/>
      <c r="Y112" s="11" t="str">
        <f>IF(V112="","",IF(X112&lt;&gt;"",IF(X112-V112&lt;30,"No","Sí"),IF(TODAY()-V112&gt;=30,"Sí","En curso")))</f>
        <v/>
      </c>
      <c r="Z112" s="14"/>
      <c r="AA112" s="21"/>
      <c r="AB112" s="14"/>
      <c r="AC112" s="21"/>
      <c r="AD112" s="21"/>
      <c r="AE112" s="7"/>
      <c r="AF112" s="11" t="str">
        <f>IF(OR(AC112&lt;&gt;"Abierto",Z112=""),"",TODAY()-Z112)</f>
        <v/>
      </c>
      <c r="AG112" s="11" t="str">
        <f>IF(AC112&lt;&gt;"Abierto","",IF(AB112="","Sin siguiente acción",IF(AB112&lt;TODAY(),"Vencido",IF(AB112=TODAY(),"Hoy","En tiempo"))))</f>
        <v/>
      </c>
      <c r="AH112" s="11" t="str">
        <f>IF(OR(B112="",V112=""),"",V112-B112)</f>
        <v/>
      </c>
      <c r="AI112" s="16" t="str">
        <f>IF(P112="","",P112-WEEKDAY(P112,3))</f>
        <v/>
      </c>
      <c r="AJ112" s="23" t="str">
        <f>IF(P112="","",DATE(YEAR(P112),MONTH(P112),1))</f>
        <v/>
      </c>
    </row>
    <row r="113">
      <c r="A113" s="21"/>
      <c r="B113" s="14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14"/>
      <c r="Q113" s="21"/>
      <c r="R113" s="21"/>
      <c r="S113" s="21"/>
      <c r="T113" s="21"/>
      <c r="U113" s="21"/>
      <c r="V113" s="14"/>
      <c r="W113" s="22"/>
      <c r="X113" s="14"/>
      <c r="Y113" s="11" t="str">
        <f>IF(V113="","",IF(X113&lt;&gt;"",IF(X113-V113&lt;30,"No","Sí"),IF(TODAY()-V113&gt;=30,"Sí","En curso")))</f>
        <v/>
      </c>
      <c r="Z113" s="14"/>
      <c r="AA113" s="21"/>
      <c r="AB113" s="14"/>
      <c r="AC113" s="21"/>
      <c r="AD113" s="21"/>
      <c r="AE113" s="7"/>
      <c r="AF113" s="11" t="str">
        <f>IF(OR(AC113&lt;&gt;"Abierto",Z113=""),"",TODAY()-Z113)</f>
        <v/>
      </c>
      <c r="AG113" s="11" t="str">
        <f>IF(AC113&lt;&gt;"Abierto","",IF(AB113="","Sin siguiente acción",IF(AB113&lt;TODAY(),"Vencido",IF(AB113=TODAY(),"Hoy","En tiempo"))))</f>
        <v/>
      </c>
      <c r="AH113" s="11" t="str">
        <f>IF(OR(B113="",V113=""),"",V113-B113)</f>
        <v/>
      </c>
      <c r="AI113" s="16" t="str">
        <f>IF(P113="","",P113-WEEKDAY(P113,3))</f>
        <v/>
      </c>
      <c r="AJ113" s="23" t="str">
        <f>IF(P113="","",DATE(YEAR(P113),MONTH(P113),1))</f>
        <v/>
      </c>
    </row>
    <row r="114">
      <c r="A114" s="21"/>
      <c r="B114" s="14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14"/>
      <c r="Q114" s="21"/>
      <c r="R114" s="21"/>
      <c r="S114" s="21"/>
      <c r="T114" s="21"/>
      <c r="U114" s="21"/>
      <c r="V114" s="14"/>
      <c r="W114" s="22"/>
      <c r="X114" s="14"/>
      <c r="Y114" s="11" t="str">
        <f>IF(V114="","",IF(X114&lt;&gt;"",IF(X114-V114&lt;30,"No","Sí"),IF(TODAY()-V114&gt;=30,"Sí","En curso")))</f>
        <v/>
      </c>
      <c r="Z114" s="14"/>
      <c r="AA114" s="21"/>
      <c r="AB114" s="14"/>
      <c r="AC114" s="21"/>
      <c r="AD114" s="21"/>
      <c r="AE114" s="7"/>
      <c r="AF114" s="11" t="str">
        <f>IF(OR(AC114&lt;&gt;"Abierto",Z114=""),"",TODAY()-Z114)</f>
        <v/>
      </c>
      <c r="AG114" s="11" t="str">
        <f>IF(AC114&lt;&gt;"Abierto","",IF(AB114="","Sin siguiente acción",IF(AB114&lt;TODAY(),"Vencido",IF(AB114=TODAY(),"Hoy","En tiempo"))))</f>
        <v/>
      </c>
      <c r="AH114" s="11" t="str">
        <f>IF(OR(B114="",V114=""),"",V114-B114)</f>
        <v/>
      </c>
      <c r="AI114" s="16" t="str">
        <f>IF(P114="","",P114-WEEKDAY(P114,3))</f>
        <v/>
      </c>
      <c r="AJ114" s="23" t="str">
        <f>IF(P114="","",DATE(YEAR(P114),MONTH(P114),1))</f>
        <v/>
      </c>
    </row>
    <row r="115">
      <c r="A115" s="21"/>
      <c r="B115" s="14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14"/>
      <c r="Q115" s="21"/>
      <c r="R115" s="21"/>
      <c r="S115" s="21"/>
      <c r="T115" s="21"/>
      <c r="U115" s="21"/>
      <c r="V115" s="14"/>
      <c r="W115" s="22"/>
      <c r="X115" s="14"/>
      <c r="Y115" s="11" t="str">
        <f>IF(V115="","",IF(X115&lt;&gt;"",IF(X115-V115&lt;30,"No","Sí"),IF(TODAY()-V115&gt;=30,"Sí","En curso")))</f>
        <v/>
      </c>
      <c r="Z115" s="14"/>
      <c r="AA115" s="21"/>
      <c r="AB115" s="14"/>
      <c r="AC115" s="21"/>
      <c r="AD115" s="21"/>
      <c r="AE115" s="7"/>
      <c r="AF115" s="11" t="str">
        <f>IF(OR(AC115&lt;&gt;"Abierto",Z115=""),"",TODAY()-Z115)</f>
        <v/>
      </c>
      <c r="AG115" s="11" t="str">
        <f>IF(AC115&lt;&gt;"Abierto","",IF(AB115="","Sin siguiente acción",IF(AB115&lt;TODAY(),"Vencido",IF(AB115=TODAY(),"Hoy","En tiempo"))))</f>
        <v/>
      </c>
      <c r="AH115" s="11" t="str">
        <f>IF(OR(B115="",V115=""),"",V115-B115)</f>
        <v/>
      </c>
      <c r="AI115" s="16" t="str">
        <f>IF(P115="","",P115-WEEKDAY(P115,3))</f>
        <v/>
      </c>
      <c r="AJ115" s="23" t="str">
        <f>IF(P115="","",DATE(YEAR(P115),MONTH(P115),1))</f>
        <v/>
      </c>
    </row>
    <row r="116">
      <c r="A116" s="21"/>
      <c r="B116" s="14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14"/>
      <c r="Q116" s="21"/>
      <c r="R116" s="21"/>
      <c r="S116" s="21"/>
      <c r="T116" s="21"/>
      <c r="U116" s="21"/>
      <c r="V116" s="14"/>
      <c r="W116" s="22"/>
      <c r="X116" s="14"/>
      <c r="Y116" s="11" t="str">
        <f>IF(V116="","",IF(X116&lt;&gt;"",IF(X116-V116&lt;30,"No","Sí"),IF(TODAY()-V116&gt;=30,"Sí","En curso")))</f>
        <v/>
      </c>
      <c r="Z116" s="14"/>
      <c r="AA116" s="21"/>
      <c r="AB116" s="14"/>
      <c r="AC116" s="21"/>
      <c r="AD116" s="21"/>
      <c r="AE116" s="7"/>
      <c r="AF116" s="11" t="str">
        <f>IF(OR(AC116&lt;&gt;"Abierto",Z116=""),"",TODAY()-Z116)</f>
        <v/>
      </c>
      <c r="AG116" s="11" t="str">
        <f>IF(AC116&lt;&gt;"Abierto","",IF(AB116="","Sin siguiente acción",IF(AB116&lt;TODAY(),"Vencido",IF(AB116=TODAY(),"Hoy","En tiempo"))))</f>
        <v/>
      </c>
      <c r="AH116" s="11" t="str">
        <f>IF(OR(B116="",V116=""),"",V116-B116)</f>
        <v/>
      </c>
      <c r="AI116" s="16" t="str">
        <f>IF(P116="","",P116-WEEKDAY(P116,3))</f>
        <v/>
      </c>
      <c r="AJ116" s="23" t="str">
        <f>IF(P116="","",DATE(YEAR(P116),MONTH(P116),1))</f>
        <v/>
      </c>
    </row>
    <row r="117">
      <c r="A117" s="21"/>
      <c r="B117" s="14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14"/>
      <c r="Q117" s="21"/>
      <c r="R117" s="21"/>
      <c r="S117" s="21"/>
      <c r="T117" s="21"/>
      <c r="U117" s="21"/>
      <c r="V117" s="14"/>
      <c r="W117" s="22"/>
      <c r="X117" s="14"/>
      <c r="Y117" s="11" t="str">
        <f>IF(V117="","",IF(X117&lt;&gt;"",IF(X117-V117&lt;30,"No","Sí"),IF(TODAY()-V117&gt;=30,"Sí","En curso")))</f>
        <v/>
      </c>
      <c r="Z117" s="14"/>
      <c r="AA117" s="21"/>
      <c r="AB117" s="14"/>
      <c r="AC117" s="21"/>
      <c r="AD117" s="21"/>
      <c r="AE117" s="7"/>
      <c r="AF117" s="11" t="str">
        <f>IF(OR(AC117&lt;&gt;"Abierto",Z117=""),"",TODAY()-Z117)</f>
        <v/>
      </c>
      <c r="AG117" s="11" t="str">
        <f>IF(AC117&lt;&gt;"Abierto","",IF(AB117="","Sin siguiente acción",IF(AB117&lt;TODAY(),"Vencido",IF(AB117=TODAY(),"Hoy","En tiempo"))))</f>
        <v/>
      </c>
      <c r="AH117" s="11" t="str">
        <f>IF(OR(B117="",V117=""),"",V117-B117)</f>
        <v/>
      </c>
      <c r="AI117" s="16" t="str">
        <f>IF(P117="","",P117-WEEKDAY(P117,3))</f>
        <v/>
      </c>
      <c r="AJ117" s="23" t="str">
        <f>IF(P117="","",DATE(YEAR(P117),MONTH(P117),1))</f>
        <v/>
      </c>
    </row>
    <row r="118">
      <c r="A118" s="21"/>
      <c r="B118" s="14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14"/>
      <c r="Q118" s="21"/>
      <c r="R118" s="21"/>
      <c r="S118" s="21"/>
      <c r="T118" s="21"/>
      <c r="U118" s="21"/>
      <c r="V118" s="14"/>
      <c r="W118" s="22"/>
      <c r="X118" s="14"/>
      <c r="Y118" s="11" t="str">
        <f>IF(V118="","",IF(X118&lt;&gt;"",IF(X118-V118&lt;30,"No","Sí"),IF(TODAY()-V118&gt;=30,"Sí","En curso")))</f>
        <v/>
      </c>
      <c r="Z118" s="14"/>
      <c r="AA118" s="21"/>
      <c r="AB118" s="14"/>
      <c r="AC118" s="21"/>
      <c r="AD118" s="21"/>
      <c r="AE118" s="7"/>
      <c r="AF118" s="11" t="str">
        <f>IF(OR(AC118&lt;&gt;"Abierto",Z118=""),"",TODAY()-Z118)</f>
        <v/>
      </c>
      <c r="AG118" s="11" t="str">
        <f>IF(AC118&lt;&gt;"Abierto","",IF(AB118="","Sin siguiente acción",IF(AB118&lt;TODAY(),"Vencido",IF(AB118=TODAY(),"Hoy","En tiempo"))))</f>
        <v/>
      </c>
      <c r="AH118" s="11" t="str">
        <f>IF(OR(B118="",V118=""),"",V118-B118)</f>
        <v/>
      </c>
      <c r="AI118" s="16" t="str">
        <f>IF(P118="","",P118-WEEKDAY(P118,3))</f>
        <v/>
      </c>
      <c r="AJ118" s="23" t="str">
        <f>IF(P118="","",DATE(YEAR(P118),MONTH(P118),1))</f>
        <v/>
      </c>
    </row>
    <row r="119">
      <c r="A119" s="21"/>
      <c r="B119" s="14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14"/>
      <c r="Q119" s="21"/>
      <c r="R119" s="21"/>
      <c r="S119" s="21"/>
      <c r="T119" s="21"/>
      <c r="U119" s="21"/>
      <c r="V119" s="14"/>
      <c r="W119" s="22"/>
      <c r="X119" s="14"/>
      <c r="Y119" s="11" t="str">
        <f>IF(V119="","",IF(X119&lt;&gt;"",IF(X119-V119&lt;30,"No","Sí"),IF(TODAY()-V119&gt;=30,"Sí","En curso")))</f>
        <v/>
      </c>
      <c r="Z119" s="14"/>
      <c r="AA119" s="21"/>
      <c r="AB119" s="14"/>
      <c r="AC119" s="21"/>
      <c r="AD119" s="21"/>
      <c r="AE119" s="7"/>
      <c r="AF119" s="11" t="str">
        <f>IF(OR(AC119&lt;&gt;"Abierto",Z119=""),"",TODAY()-Z119)</f>
        <v/>
      </c>
      <c r="AG119" s="11" t="str">
        <f>IF(AC119&lt;&gt;"Abierto","",IF(AB119="","Sin siguiente acción",IF(AB119&lt;TODAY(),"Vencido",IF(AB119=TODAY(),"Hoy","En tiempo"))))</f>
        <v/>
      </c>
      <c r="AH119" s="11" t="str">
        <f>IF(OR(B119="",V119=""),"",V119-B119)</f>
        <v/>
      </c>
      <c r="AI119" s="16" t="str">
        <f>IF(P119="","",P119-WEEKDAY(P119,3))</f>
        <v/>
      </c>
      <c r="AJ119" s="23" t="str">
        <f>IF(P119="","",DATE(YEAR(P119),MONTH(P119),1))</f>
        <v/>
      </c>
    </row>
    <row r="120">
      <c r="A120" s="21"/>
      <c r="B120" s="14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14"/>
      <c r="Q120" s="21"/>
      <c r="R120" s="21"/>
      <c r="S120" s="21"/>
      <c r="T120" s="21"/>
      <c r="U120" s="21"/>
      <c r="V120" s="14"/>
      <c r="W120" s="22"/>
      <c r="X120" s="14"/>
      <c r="Y120" s="11" t="str">
        <f>IF(V120="","",IF(X120&lt;&gt;"",IF(X120-V120&lt;30,"No","Sí"),IF(TODAY()-V120&gt;=30,"Sí","En curso")))</f>
        <v/>
      </c>
      <c r="Z120" s="14"/>
      <c r="AA120" s="21"/>
      <c r="AB120" s="14"/>
      <c r="AC120" s="21"/>
      <c r="AD120" s="21"/>
      <c r="AE120" s="7"/>
      <c r="AF120" s="11" t="str">
        <f>IF(OR(AC120&lt;&gt;"Abierto",Z120=""),"",TODAY()-Z120)</f>
        <v/>
      </c>
      <c r="AG120" s="11" t="str">
        <f>IF(AC120&lt;&gt;"Abierto","",IF(AB120="","Sin siguiente acción",IF(AB120&lt;TODAY(),"Vencido",IF(AB120=TODAY(),"Hoy","En tiempo"))))</f>
        <v/>
      </c>
      <c r="AH120" s="11" t="str">
        <f>IF(OR(B120="",V120=""),"",V120-B120)</f>
        <v/>
      </c>
      <c r="AI120" s="16" t="str">
        <f>IF(P120="","",P120-WEEKDAY(P120,3))</f>
        <v/>
      </c>
      <c r="AJ120" s="23" t="str">
        <f>IF(P120="","",DATE(YEAR(P120),MONTH(P120),1))</f>
        <v/>
      </c>
    </row>
    <row r="121">
      <c r="A121" s="21"/>
      <c r="B121" s="14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14"/>
      <c r="Q121" s="21"/>
      <c r="R121" s="21"/>
      <c r="S121" s="21"/>
      <c r="T121" s="21"/>
      <c r="U121" s="21"/>
      <c r="V121" s="14"/>
      <c r="W121" s="22"/>
      <c r="X121" s="14"/>
      <c r="Y121" s="11" t="str">
        <f>IF(V121="","",IF(X121&lt;&gt;"",IF(X121-V121&lt;30,"No","Sí"),IF(TODAY()-V121&gt;=30,"Sí","En curso")))</f>
        <v/>
      </c>
      <c r="Z121" s="14"/>
      <c r="AA121" s="21"/>
      <c r="AB121" s="14"/>
      <c r="AC121" s="21"/>
      <c r="AD121" s="21"/>
      <c r="AE121" s="7"/>
      <c r="AF121" s="11" t="str">
        <f>IF(OR(AC121&lt;&gt;"Abierto",Z121=""),"",TODAY()-Z121)</f>
        <v/>
      </c>
      <c r="AG121" s="11" t="str">
        <f>IF(AC121&lt;&gt;"Abierto","",IF(AB121="","Sin siguiente acción",IF(AB121&lt;TODAY(),"Vencido",IF(AB121=TODAY(),"Hoy","En tiempo"))))</f>
        <v/>
      </c>
      <c r="AH121" s="11" t="str">
        <f>IF(OR(B121="",V121=""),"",V121-B121)</f>
        <v/>
      </c>
      <c r="AI121" s="16" t="str">
        <f>IF(P121="","",P121-WEEKDAY(P121,3))</f>
        <v/>
      </c>
      <c r="AJ121" s="23" t="str">
        <f>IF(P121="","",DATE(YEAR(P121),MONTH(P121),1))</f>
        <v/>
      </c>
    </row>
    <row r="122">
      <c r="A122" s="21"/>
      <c r="B122" s="14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14"/>
      <c r="Q122" s="21"/>
      <c r="R122" s="21"/>
      <c r="S122" s="21"/>
      <c r="T122" s="21"/>
      <c r="U122" s="21"/>
      <c r="V122" s="14"/>
      <c r="W122" s="22"/>
      <c r="X122" s="14"/>
      <c r="Y122" s="11" t="str">
        <f>IF(V122="","",IF(X122&lt;&gt;"",IF(X122-V122&lt;30,"No","Sí"),IF(TODAY()-V122&gt;=30,"Sí","En curso")))</f>
        <v/>
      </c>
      <c r="Z122" s="14"/>
      <c r="AA122" s="21"/>
      <c r="AB122" s="14"/>
      <c r="AC122" s="21"/>
      <c r="AD122" s="21"/>
      <c r="AE122" s="7"/>
      <c r="AF122" s="11" t="str">
        <f>IF(OR(AC122&lt;&gt;"Abierto",Z122=""),"",TODAY()-Z122)</f>
        <v/>
      </c>
      <c r="AG122" s="11" t="str">
        <f>IF(AC122&lt;&gt;"Abierto","",IF(AB122="","Sin siguiente acción",IF(AB122&lt;TODAY(),"Vencido",IF(AB122=TODAY(),"Hoy","En tiempo"))))</f>
        <v/>
      </c>
      <c r="AH122" s="11" t="str">
        <f>IF(OR(B122="",V122=""),"",V122-B122)</f>
        <v/>
      </c>
      <c r="AI122" s="16" t="str">
        <f>IF(P122="","",P122-WEEKDAY(P122,3))</f>
        <v/>
      </c>
      <c r="AJ122" s="23" t="str">
        <f>IF(P122="","",DATE(YEAR(P122),MONTH(P122),1))</f>
        <v/>
      </c>
    </row>
    <row r="123">
      <c r="A123" s="21"/>
      <c r="B123" s="14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14"/>
      <c r="Q123" s="21"/>
      <c r="R123" s="21"/>
      <c r="S123" s="21"/>
      <c r="T123" s="21"/>
      <c r="U123" s="21"/>
      <c r="V123" s="14"/>
      <c r="W123" s="22"/>
      <c r="X123" s="14"/>
      <c r="Y123" s="11" t="str">
        <f>IF(V123="","",IF(X123&lt;&gt;"",IF(X123-V123&lt;30,"No","Sí"),IF(TODAY()-V123&gt;=30,"Sí","En curso")))</f>
        <v/>
      </c>
      <c r="Z123" s="14"/>
      <c r="AA123" s="21"/>
      <c r="AB123" s="14"/>
      <c r="AC123" s="21"/>
      <c r="AD123" s="21"/>
      <c r="AE123" s="7"/>
      <c r="AF123" s="11" t="str">
        <f>IF(OR(AC123&lt;&gt;"Abierto",Z123=""),"",TODAY()-Z123)</f>
        <v/>
      </c>
      <c r="AG123" s="11" t="str">
        <f>IF(AC123&lt;&gt;"Abierto","",IF(AB123="","Sin siguiente acción",IF(AB123&lt;TODAY(),"Vencido",IF(AB123=TODAY(),"Hoy","En tiempo"))))</f>
        <v/>
      </c>
      <c r="AH123" s="11" t="str">
        <f>IF(OR(B123="",V123=""),"",V123-B123)</f>
        <v/>
      </c>
      <c r="AI123" s="16" t="str">
        <f>IF(P123="","",P123-WEEKDAY(P123,3))</f>
        <v/>
      </c>
      <c r="AJ123" s="23" t="str">
        <f>IF(P123="","",DATE(YEAR(P123),MONTH(P123),1))</f>
        <v/>
      </c>
    </row>
    <row r="124">
      <c r="A124" s="21"/>
      <c r="B124" s="14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14"/>
      <c r="Q124" s="21"/>
      <c r="R124" s="21"/>
      <c r="S124" s="21"/>
      <c r="T124" s="21"/>
      <c r="U124" s="21"/>
      <c r="V124" s="14"/>
      <c r="W124" s="22"/>
      <c r="X124" s="14"/>
      <c r="Y124" s="11" t="str">
        <f>IF(V124="","",IF(X124&lt;&gt;"",IF(X124-V124&lt;30,"No","Sí"),IF(TODAY()-V124&gt;=30,"Sí","En curso")))</f>
        <v/>
      </c>
      <c r="Z124" s="14"/>
      <c r="AA124" s="21"/>
      <c r="AB124" s="14"/>
      <c r="AC124" s="21"/>
      <c r="AD124" s="21"/>
      <c r="AE124" s="7"/>
      <c r="AF124" s="11" t="str">
        <f>IF(OR(AC124&lt;&gt;"Abierto",Z124=""),"",TODAY()-Z124)</f>
        <v/>
      </c>
      <c r="AG124" s="11" t="str">
        <f>IF(AC124&lt;&gt;"Abierto","",IF(AB124="","Sin siguiente acción",IF(AB124&lt;TODAY(),"Vencido",IF(AB124=TODAY(),"Hoy","En tiempo"))))</f>
        <v/>
      </c>
      <c r="AH124" s="11" t="str">
        <f>IF(OR(B124="",V124=""),"",V124-B124)</f>
        <v/>
      </c>
      <c r="AI124" s="16" t="str">
        <f>IF(P124="","",P124-WEEKDAY(P124,3))</f>
        <v/>
      </c>
      <c r="AJ124" s="23" t="str">
        <f>IF(P124="","",DATE(YEAR(P124),MONTH(P124),1))</f>
        <v/>
      </c>
    </row>
    <row r="125">
      <c r="A125" s="21"/>
      <c r="B125" s="14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14"/>
      <c r="Q125" s="21"/>
      <c r="R125" s="21"/>
      <c r="S125" s="21"/>
      <c r="T125" s="21"/>
      <c r="U125" s="21"/>
      <c r="V125" s="14"/>
      <c r="W125" s="22"/>
      <c r="X125" s="14"/>
      <c r="Y125" s="11" t="str">
        <f>IF(V125="","",IF(X125&lt;&gt;"",IF(X125-V125&lt;30,"No","Sí"),IF(TODAY()-V125&gt;=30,"Sí","En curso")))</f>
        <v/>
      </c>
      <c r="Z125" s="14"/>
      <c r="AA125" s="21"/>
      <c r="AB125" s="14"/>
      <c r="AC125" s="21"/>
      <c r="AD125" s="21"/>
      <c r="AE125" s="7"/>
      <c r="AF125" s="11" t="str">
        <f>IF(OR(AC125&lt;&gt;"Abierto",Z125=""),"",TODAY()-Z125)</f>
        <v/>
      </c>
      <c r="AG125" s="11" t="str">
        <f>IF(AC125&lt;&gt;"Abierto","",IF(AB125="","Sin siguiente acción",IF(AB125&lt;TODAY(),"Vencido",IF(AB125=TODAY(),"Hoy","En tiempo"))))</f>
        <v/>
      </c>
      <c r="AH125" s="11" t="str">
        <f>IF(OR(B125="",V125=""),"",V125-B125)</f>
        <v/>
      </c>
      <c r="AI125" s="16" t="str">
        <f>IF(P125="","",P125-WEEKDAY(P125,3))</f>
        <v/>
      </c>
      <c r="AJ125" s="23" t="str">
        <f>IF(P125="","",DATE(YEAR(P125),MONTH(P125),1))</f>
        <v/>
      </c>
    </row>
    <row r="126">
      <c r="A126" s="21"/>
      <c r="B126" s="14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14"/>
      <c r="Q126" s="21"/>
      <c r="R126" s="21"/>
      <c r="S126" s="21"/>
      <c r="T126" s="21"/>
      <c r="U126" s="21"/>
      <c r="V126" s="14"/>
      <c r="W126" s="22"/>
      <c r="X126" s="14"/>
      <c r="Y126" s="11" t="str">
        <f>IF(V126="","",IF(X126&lt;&gt;"",IF(X126-V126&lt;30,"No","Sí"),IF(TODAY()-V126&gt;=30,"Sí","En curso")))</f>
        <v/>
      </c>
      <c r="Z126" s="14"/>
      <c r="AA126" s="21"/>
      <c r="AB126" s="14"/>
      <c r="AC126" s="21"/>
      <c r="AD126" s="21"/>
      <c r="AE126" s="7"/>
      <c r="AF126" s="11" t="str">
        <f>IF(OR(AC126&lt;&gt;"Abierto",Z126=""),"",TODAY()-Z126)</f>
        <v/>
      </c>
      <c r="AG126" s="11" t="str">
        <f>IF(AC126&lt;&gt;"Abierto","",IF(AB126="","Sin siguiente acción",IF(AB126&lt;TODAY(),"Vencido",IF(AB126=TODAY(),"Hoy","En tiempo"))))</f>
        <v/>
      </c>
      <c r="AH126" s="11" t="str">
        <f>IF(OR(B126="",V126=""),"",V126-B126)</f>
        <v/>
      </c>
      <c r="AI126" s="16" t="str">
        <f>IF(P126="","",P126-WEEKDAY(P126,3))</f>
        <v/>
      </c>
      <c r="AJ126" s="23" t="str">
        <f>IF(P126="","",DATE(YEAR(P126),MONTH(P126),1))</f>
        <v/>
      </c>
    </row>
    <row r="127">
      <c r="A127" s="21"/>
      <c r="B127" s="14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14"/>
      <c r="Q127" s="21"/>
      <c r="R127" s="21"/>
      <c r="S127" s="21"/>
      <c r="T127" s="21"/>
      <c r="U127" s="21"/>
      <c r="V127" s="14"/>
      <c r="W127" s="22"/>
      <c r="X127" s="14"/>
      <c r="Y127" s="11" t="str">
        <f>IF(V127="","",IF(X127&lt;&gt;"",IF(X127-V127&lt;30,"No","Sí"),IF(TODAY()-V127&gt;=30,"Sí","En curso")))</f>
        <v/>
      </c>
      <c r="Z127" s="14"/>
      <c r="AA127" s="21"/>
      <c r="AB127" s="14"/>
      <c r="AC127" s="21"/>
      <c r="AD127" s="21"/>
      <c r="AE127" s="7"/>
      <c r="AF127" s="11" t="str">
        <f>IF(OR(AC127&lt;&gt;"Abierto",Z127=""),"",TODAY()-Z127)</f>
        <v/>
      </c>
      <c r="AG127" s="11" t="str">
        <f>IF(AC127&lt;&gt;"Abierto","",IF(AB127="","Sin siguiente acción",IF(AB127&lt;TODAY(),"Vencido",IF(AB127=TODAY(),"Hoy","En tiempo"))))</f>
        <v/>
      </c>
      <c r="AH127" s="11" t="str">
        <f>IF(OR(B127="",V127=""),"",V127-B127)</f>
        <v/>
      </c>
      <c r="AI127" s="16" t="str">
        <f>IF(P127="","",P127-WEEKDAY(P127,3))</f>
        <v/>
      </c>
      <c r="AJ127" s="23" t="str">
        <f>IF(P127="","",DATE(YEAR(P127),MONTH(P127),1))</f>
        <v/>
      </c>
    </row>
    <row r="128">
      <c r="A128" s="21"/>
      <c r="B128" s="14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14"/>
      <c r="Q128" s="21"/>
      <c r="R128" s="21"/>
      <c r="S128" s="21"/>
      <c r="T128" s="21"/>
      <c r="U128" s="21"/>
      <c r="V128" s="14"/>
      <c r="W128" s="22"/>
      <c r="X128" s="14"/>
      <c r="Y128" s="11" t="str">
        <f>IF(V128="","",IF(X128&lt;&gt;"",IF(X128-V128&lt;30,"No","Sí"),IF(TODAY()-V128&gt;=30,"Sí","En curso")))</f>
        <v/>
      </c>
      <c r="Z128" s="14"/>
      <c r="AA128" s="21"/>
      <c r="AB128" s="14"/>
      <c r="AC128" s="21"/>
      <c r="AD128" s="21"/>
      <c r="AE128" s="7"/>
      <c r="AF128" s="11" t="str">
        <f>IF(OR(AC128&lt;&gt;"Abierto",Z128=""),"",TODAY()-Z128)</f>
        <v/>
      </c>
      <c r="AG128" s="11" t="str">
        <f>IF(AC128&lt;&gt;"Abierto","",IF(AB128="","Sin siguiente acción",IF(AB128&lt;TODAY(),"Vencido",IF(AB128=TODAY(),"Hoy","En tiempo"))))</f>
        <v/>
      </c>
      <c r="AH128" s="11" t="str">
        <f>IF(OR(B128="",V128=""),"",V128-B128)</f>
        <v/>
      </c>
      <c r="AI128" s="16" t="str">
        <f>IF(P128="","",P128-WEEKDAY(P128,3))</f>
        <v/>
      </c>
      <c r="AJ128" s="23" t="str">
        <f>IF(P128="","",DATE(YEAR(P128),MONTH(P128),1))</f>
        <v/>
      </c>
    </row>
    <row r="129">
      <c r="A129" s="21"/>
      <c r="B129" s="14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14"/>
      <c r="Q129" s="21"/>
      <c r="R129" s="21"/>
      <c r="S129" s="21"/>
      <c r="T129" s="21"/>
      <c r="U129" s="21"/>
      <c r="V129" s="14"/>
      <c r="W129" s="22"/>
      <c r="X129" s="14"/>
      <c r="Y129" s="11" t="str">
        <f>IF(V129="","",IF(X129&lt;&gt;"",IF(X129-V129&lt;30,"No","Sí"),IF(TODAY()-V129&gt;=30,"Sí","En curso")))</f>
        <v/>
      </c>
      <c r="Z129" s="14"/>
      <c r="AA129" s="21"/>
      <c r="AB129" s="14"/>
      <c r="AC129" s="21"/>
      <c r="AD129" s="21"/>
      <c r="AE129" s="7"/>
      <c r="AF129" s="11" t="str">
        <f>IF(OR(AC129&lt;&gt;"Abierto",Z129=""),"",TODAY()-Z129)</f>
        <v/>
      </c>
      <c r="AG129" s="11" t="str">
        <f>IF(AC129&lt;&gt;"Abierto","",IF(AB129="","Sin siguiente acción",IF(AB129&lt;TODAY(),"Vencido",IF(AB129=TODAY(),"Hoy","En tiempo"))))</f>
        <v/>
      </c>
      <c r="AH129" s="11" t="str">
        <f>IF(OR(B129="",V129=""),"",V129-B129)</f>
        <v/>
      </c>
      <c r="AI129" s="16" t="str">
        <f>IF(P129="","",P129-WEEKDAY(P129,3))</f>
        <v/>
      </c>
      <c r="AJ129" s="23" t="str">
        <f>IF(P129="","",DATE(YEAR(P129),MONTH(P129),1))</f>
        <v/>
      </c>
    </row>
    <row r="130">
      <c r="A130" s="21"/>
      <c r="B130" s="14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14"/>
      <c r="Q130" s="21"/>
      <c r="R130" s="21"/>
      <c r="S130" s="21"/>
      <c r="T130" s="21"/>
      <c r="U130" s="21"/>
      <c r="V130" s="14"/>
      <c r="W130" s="22"/>
      <c r="X130" s="14"/>
      <c r="Y130" s="11" t="str">
        <f>IF(V130="","",IF(X130&lt;&gt;"",IF(X130-V130&lt;30,"No","Sí"),IF(TODAY()-V130&gt;=30,"Sí","En curso")))</f>
        <v/>
      </c>
      <c r="Z130" s="14"/>
      <c r="AA130" s="21"/>
      <c r="AB130" s="14"/>
      <c r="AC130" s="21"/>
      <c r="AD130" s="21"/>
      <c r="AE130" s="7"/>
      <c r="AF130" s="11" t="str">
        <f>IF(OR(AC130&lt;&gt;"Abierto",Z130=""),"",TODAY()-Z130)</f>
        <v/>
      </c>
      <c r="AG130" s="11" t="str">
        <f>IF(AC130&lt;&gt;"Abierto","",IF(AB130="","Sin siguiente acción",IF(AB130&lt;TODAY(),"Vencido",IF(AB130=TODAY(),"Hoy","En tiempo"))))</f>
        <v/>
      </c>
      <c r="AH130" s="11" t="str">
        <f>IF(OR(B130="",V130=""),"",V130-B130)</f>
        <v/>
      </c>
      <c r="AI130" s="16" t="str">
        <f>IF(P130="","",P130-WEEKDAY(P130,3))</f>
        <v/>
      </c>
      <c r="AJ130" s="23" t="str">
        <f>IF(P130="","",DATE(YEAR(P130),MONTH(P130),1))</f>
        <v/>
      </c>
    </row>
    <row r="131">
      <c r="A131" s="21"/>
      <c r="B131" s="14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14"/>
      <c r="Q131" s="21"/>
      <c r="R131" s="21"/>
      <c r="S131" s="21"/>
      <c r="T131" s="21"/>
      <c r="U131" s="21"/>
      <c r="V131" s="14"/>
      <c r="W131" s="22"/>
      <c r="X131" s="14"/>
      <c r="Y131" s="11" t="str">
        <f>IF(V131="","",IF(X131&lt;&gt;"",IF(X131-V131&lt;30,"No","Sí"),IF(TODAY()-V131&gt;=30,"Sí","En curso")))</f>
        <v/>
      </c>
      <c r="Z131" s="14"/>
      <c r="AA131" s="21"/>
      <c r="AB131" s="14"/>
      <c r="AC131" s="21"/>
      <c r="AD131" s="21"/>
      <c r="AE131" s="7"/>
      <c r="AF131" s="11" t="str">
        <f>IF(OR(AC131&lt;&gt;"Abierto",Z131=""),"",TODAY()-Z131)</f>
        <v/>
      </c>
      <c r="AG131" s="11" t="str">
        <f>IF(AC131&lt;&gt;"Abierto","",IF(AB131="","Sin siguiente acción",IF(AB131&lt;TODAY(),"Vencido",IF(AB131=TODAY(),"Hoy","En tiempo"))))</f>
        <v/>
      </c>
      <c r="AH131" s="11" t="str">
        <f>IF(OR(B131="",V131=""),"",V131-B131)</f>
        <v/>
      </c>
      <c r="AI131" s="16" t="str">
        <f>IF(P131="","",P131-WEEKDAY(P131,3))</f>
        <v/>
      </c>
      <c r="AJ131" s="23" t="str">
        <f>IF(P131="","",DATE(YEAR(P131),MONTH(P131),1))</f>
        <v/>
      </c>
    </row>
    <row r="132">
      <c r="A132" s="21"/>
      <c r="B132" s="14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14"/>
      <c r="Q132" s="21"/>
      <c r="R132" s="21"/>
      <c r="S132" s="21"/>
      <c r="T132" s="21"/>
      <c r="U132" s="21"/>
      <c r="V132" s="14"/>
      <c r="W132" s="22"/>
      <c r="X132" s="14"/>
      <c r="Y132" s="11" t="str">
        <f>IF(V132="","",IF(X132&lt;&gt;"",IF(X132-V132&lt;30,"No","Sí"),IF(TODAY()-V132&gt;=30,"Sí","En curso")))</f>
        <v/>
      </c>
      <c r="Z132" s="14"/>
      <c r="AA132" s="21"/>
      <c r="AB132" s="14"/>
      <c r="AC132" s="21"/>
      <c r="AD132" s="21"/>
      <c r="AE132" s="7"/>
      <c r="AF132" s="11" t="str">
        <f>IF(OR(AC132&lt;&gt;"Abierto",Z132=""),"",TODAY()-Z132)</f>
        <v/>
      </c>
      <c r="AG132" s="11" t="str">
        <f>IF(AC132&lt;&gt;"Abierto","",IF(AB132="","Sin siguiente acción",IF(AB132&lt;TODAY(),"Vencido",IF(AB132=TODAY(),"Hoy","En tiempo"))))</f>
        <v/>
      </c>
      <c r="AH132" s="11" t="str">
        <f>IF(OR(B132="",V132=""),"",V132-B132)</f>
        <v/>
      </c>
      <c r="AI132" s="16" t="str">
        <f>IF(P132="","",P132-WEEKDAY(P132,3))</f>
        <v/>
      </c>
      <c r="AJ132" s="23" t="str">
        <f>IF(P132="","",DATE(YEAR(P132),MONTH(P132),1))</f>
        <v/>
      </c>
    </row>
    <row r="133">
      <c r="A133" s="21"/>
      <c r="B133" s="14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14"/>
      <c r="Q133" s="21"/>
      <c r="R133" s="21"/>
      <c r="S133" s="21"/>
      <c r="T133" s="21"/>
      <c r="U133" s="21"/>
      <c r="V133" s="14"/>
      <c r="W133" s="22"/>
      <c r="X133" s="14"/>
      <c r="Y133" s="11" t="str">
        <f>IF(V133="","",IF(X133&lt;&gt;"",IF(X133-V133&lt;30,"No","Sí"),IF(TODAY()-V133&gt;=30,"Sí","En curso")))</f>
        <v/>
      </c>
      <c r="Z133" s="14"/>
      <c r="AA133" s="21"/>
      <c r="AB133" s="14"/>
      <c r="AC133" s="21"/>
      <c r="AD133" s="21"/>
      <c r="AE133" s="7"/>
      <c r="AF133" s="11" t="str">
        <f>IF(OR(AC133&lt;&gt;"Abierto",Z133=""),"",TODAY()-Z133)</f>
        <v/>
      </c>
      <c r="AG133" s="11" t="str">
        <f>IF(AC133&lt;&gt;"Abierto","",IF(AB133="","Sin siguiente acción",IF(AB133&lt;TODAY(),"Vencido",IF(AB133=TODAY(),"Hoy","En tiempo"))))</f>
        <v/>
      </c>
      <c r="AH133" s="11" t="str">
        <f>IF(OR(B133="",V133=""),"",V133-B133)</f>
        <v/>
      </c>
      <c r="AI133" s="16" t="str">
        <f>IF(P133="","",P133-WEEKDAY(P133,3))</f>
        <v/>
      </c>
      <c r="AJ133" s="23" t="str">
        <f>IF(P133="","",DATE(YEAR(P133),MONTH(P133),1))</f>
        <v/>
      </c>
    </row>
    <row r="134">
      <c r="A134" s="21"/>
      <c r="B134" s="14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14"/>
      <c r="Q134" s="21"/>
      <c r="R134" s="21"/>
      <c r="S134" s="21"/>
      <c r="T134" s="21"/>
      <c r="U134" s="21"/>
      <c r="V134" s="14"/>
      <c r="W134" s="22"/>
      <c r="X134" s="14"/>
      <c r="Y134" s="11" t="str">
        <f>IF(V134="","",IF(X134&lt;&gt;"",IF(X134-V134&lt;30,"No","Sí"),IF(TODAY()-V134&gt;=30,"Sí","En curso")))</f>
        <v/>
      </c>
      <c r="Z134" s="14"/>
      <c r="AA134" s="21"/>
      <c r="AB134" s="14"/>
      <c r="AC134" s="21"/>
      <c r="AD134" s="21"/>
      <c r="AE134" s="7"/>
      <c r="AF134" s="11" t="str">
        <f>IF(OR(AC134&lt;&gt;"Abierto",Z134=""),"",TODAY()-Z134)</f>
        <v/>
      </c>
      <c r="AG134" s="11" t="str">
        <f>IF(AC134&lt;&gt;"Abierto","",IF(AB134="","Sin siguiente acción",IF(AB134&lt;TODAY(),"Vencido",IF(AB134=TODAY(),"Hoy","En tiempo"))))</f>
        <v/>
      </c>
      <c r="AH134" s="11" t="str">
        <f>IF(OR(B134="",V134=""),"",V134-B134)</f>
        <v/>
      </c>
      <c r="AI134" s="16" t="str">
        <f>IF(P134="","",P134-WEEKDAY(P134,3))</f>
        <v/>
      </c>
      <c r="AJ134" s="23" t="str">
        <f>IF(P134="","",DATE(YEAR(P134),MONTH(P134),1))</f>
        <v/>
      </c>
    </row>
    <row r="135">
      <c r="A135" s="21"/>
      <c r="B135" s="14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14"/>
      <c r="Q135" s="21"/>
      <c r="R135" s="21"/>
      <c r="S135" s="21"/>
      <c r="T135" s="21"/>
      <c r="U135" s="21"/>
      <c r="V135" s="14"/>
      <c r="W135" s="22"/>
      <c r="X135" s="14"/>
      <c r="Y135" s="11" t="str">
        <f>IF(V135="","",IF(X135&lt;&gt;"",IF(X135-V135&lt;30,"No","Sí"),IF(TODAY()-V135&gt;=30,"Sí","En curso")))</f>
        <v/>
      </c>
      <c r="Z135" s="14"/>
      <c r="AA135" s="21"/>
      <c r="AB135" s="14"/>
      <c r="AC135" s="21"/>
      <c r="AD135" s="21"/>
      <c r="AE135" s="7"/>
      <c r="AF135" s="11" t="str">
        <f>IF(OR(AC135&lt;&gt;"Abierto",Z135=""),"",TODAY()-Z135)</f>
        <v/>
      </c>
      <c r="AG135" s="11" t="str">
        <f>IF(AC135&lt;&gt;"Abierto","",IF(AB135="","Sin siguiente acción",IF(AB135&lt;TODAY(),"Vencido",IF(AB135=TODAY(),"Hoy","En tiempo"))))</f>
        <v/>
      </c>
      <c r="AH135" s="11" t="str">
        <f>IF(OR(B135="",V135=""),"",V135-B135)</f>
        <v/>
      </c>
      <c r="AI135" s="16" t="str">
        <f>IF(P135="","",P135-WEEKDAY(P135,3))</f>
        <v/>
      </c>
      <c r="AJ135" s="23" t="str">
        <f>IF(P135="","",DATE(YEAR(P135),MONTH(P135),1))</f>
        <v/>
      </c>
    </row>
    <row r="136">
      <c r="A136" s="21"/>
      <c r="B136" s="14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14"/>
      <c r="Q136" s="21"/>
      <c r="R136" s="21"/>
      <c r="S136" s="21"/>
      <c r="T136" s="21"/>
      <c r="U136" s="21"/>
      <c r="V136" s="14"/>
      <c r="W136" s="22"/>
      <c r="X136" s="14"/>
      <c r="Y136" s="11" t="str">
        <f>IF(V136="","",IF(X136&lt;&gt;"",IF(X136-V136&lt;30,"No","Sí"),IF(TODAY()-V136&gt;=30,"Sí","En curso")))</f>
        <v/>
      </c>
      <c r="Z136" s="14"/>
      <c r="AA136" s="21"/>
      <c r="AB136" s="14"/>
      <c r="AC136" s="21"/>
      <c r="AD136" s="21"/>
      <c r="AE136" s="7"/>
      <c r="AF136" s="11" t="str">
        <f>IF(OR(AC136&lt;&gt;"Abierto",Z136=""),"",TODAY()-Z136)</f>
        <v/>
      </c>
      <c r="AG136" s="11" t="str">
        <f>IF(AC136&lt;&gt;"Abierto","",IF(AB136="","Sin siguiente acción",IF(AB136&lt;TODAY(),"Vencido",IF(AB136=TODAY(),"Hoy","En tiempo"))))</f>
        <v/>
      </c>
      <c r="AH136" s="11" t="str">
        <f>IF(OR(B136="",V136=""),"",V136-B136)</f>
        <v/>
      </c>
      <c r="AI136" s="16" t="str">
        <f>IF(P136="","",P136-WEEKDAY(P136,3))</f>
        <v/>
      </c>
      <c r="AJ136" s="23" t="str">
        <f>IF(P136="","",DATE(YEAR(P136),MONTH(P136),1))</f>
        <v/>
      </c>
    </row>
    <row r="137">
      <c r="A137" s="21"/>
      <c r="B137" s="14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14"/>
      <c r="Q137" s="21"/>
      <c r="R137" s="21"/>
      <c r="S137" s="21"/>
      <c r="T137" s="21"/>
      <c r="U137" s="21"/>
      <c r="V137" s="14"/>
      <c r="W137" s="22"/>
      <c r="X137" s="14"/>
      <c r="Y137" s="11" t="str">
        <f>IF(V137="","",IF(X137&lt;&gt;"",IF(X137-V137&lt;30,"No","Sí"),IF(TODAY()-V137&gt;=30,"Sí","En curso")))</f>
        <v/>
      </c>
      <c r="Z137" s="14"/>
      <c r="AA137" s="21"/>
      <c r="AB137" s="14"/>
      <c r="AC137" s="21"/>
      <c r="AD137" s="21"/>
      <c r="AE137" s="7"/>
      <c r="AF137" s="11" t="str">
        <f>IF(OR(AC137&lt;&gt;"Abierto",Z137=""),"",TODAY()-Z137)</f>
        <v/>
      </c>
      <c r="AG137" s="11" t="str">
        <f>IF(AC137&lt;&gt;"Abierto","",IF(AB137="","Sin siguiente acción",IF(AB137&lt;TODAY(),"Vencido",IF(AB137=TODAY(),"Hoy","En tiempo"))))</f>
        <v/>
      </c>
      <c r="AH137" s="11" t="str">
        <f>IF(OR(B137="",V137=""),"",V137-B137)</f>
        <v/>
      </c>
      <c r="AI137" s="16" t="str">
        <f>IF(P137="","",P137-WEEKDAY(P137,3))</f>
        <v/>
      </c>
      <c r="AJ137" s="23" t="str">
        <f>IF(P137="","",DATE(YEAR(P137),MONTH(P137),1))</f>
        <v/>
      </c>
    </row>
    <row r="138">
      <c r="A138" s="21"/>
      <c r="B138" s="14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14"/>
      <c r="Q138" s="21"/>
      <c r="R138" s="21"/>
      <c r="S138" s="21"/>
      <c r="T138" s="21"/>
      <c r="U138" s="21"/>
      <c r="V138" s="14"/>
      <c r="W138" s="22"/>
      <c r="X138" s="14"/>
      <c r="Y138" s="11" t="str">
        <f>IF(V138="","",IF(X138&lt;&gt;"",IF(X138-V138&lt;30,"No","Sí"),IF(TODAY()-V138&gt;=30,"Sí","En curso")))</f>
        <v/>
      </c>
      <c r="Z138" s="14"/>
      <c r="AA138" s="21"/>
      <c r="AB138" s="14"/>
      <c r="AC138" s="21"/>
      <c r="AD138" s="21"/>
      <c r="AE138" s="7"/>
      <c r="AF138" s="11" t="str">
        <f>IF(OR(AC138&lt;&gt;"Abierto",Z138=""),"",TODAY()-Z138)</f>
        <v/>
      </c>
      <c r="AG138" s="11" t="str">
        <f>IF(AC138&lt;&gt;"Abierto","",IF(AB138="","Sin siguiente acción",IF(AB138&lt;TODAY(),"Vencido",IF(AB138=TODAY(),"Hoy","En tiempo"))))</f>
        <v/>
      </c>
      <c r="AH138" s="11" t="str">
        <f>IF(OR(B138="",V138=""),"",V138-B138)</f>
        <v/>
      </c>
      <c r="AI138" s="16" t="str">
        <f>IF(P138="","",P138-WEEKDAY(P138,3))</f>
        <v/>
      </c>
      <c r="AJ138" s="23" t="str">
        <f>IF(P138="","",DATE(YEAR(P138),MONTH(P138),1))</f>
        <v/>
      </c>
    </row>
    <row r="139">
      <c r="A139" s="21"/>
      <c r="B139" s="14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14"/>
      <c r="Q139" s="21"/>
      <c r="R139" s="21"/>
      <c r="S139" s="21"/>
      <c r="T139" s="21"/>
      <c r="U139" s="21"/>
      <c r="V139" s="14"/>
      <c r="W139" s="22"/>
      <c r="X139" s="14"/>
      <c r="Y139" s="11" t="str">
        <f>IF(V139="","",IF(X139&lt;&gt;"",IF(X139-V139&lt;30,"No","Sí"),IF(TODAY()-V139&gt;=30,"Sí","En curso")))</f>
        <v/>
      </c>
      <c r="Z139" s="14"/>
      <c r="AA139" s="21"/>
      <c r="AB139" s="14"/>
      <c r="AC139" s="21"/>
      <c r="AD139" s="21"/>
      <c r="AE139" s="7"/>
      <c r="AF139" s="11" t="str">
        <f>IF(OR(AC139&lt;&gt;"Abierto",Z139=""),"",TODAY()-Z139)</f>
        <v/>
      </c>
      <c r="AG139" s="11" t="str">
        <f>IF(AC139&lt;&gt;"Abierto","",IF(AB139="","Sin siguiente acción",IF(AB139&lt;TODAY(),"Vencido",IF(AB139=TODAY(),"Hoy","En tiempo"))))</f>
        <v/>
      </c>
      <c r="AH139" s="11" t="str">
        <f>IF(OR(B139="",V139=""),"",V139-B139)</f>
        <v/>
      </c>
      <c r="AI139" s="16" t="str">
        <f>IF(P139="","",P139-WEEKDAY(P139,3))</f>
        <v/>
      </c>
      <c r="AJ139" s="23" t="str">
        <f>IF(P139="","",DATE(YEAR(P139),MONTH(P139),1))</f>
        <v/>
      </c>
    </row>
    <row r="140">
      <c r="A140" s="21"/>
      <c r="B140" s="14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14"/>
      <c r="Q140" s="21"/>
      <c r="R140" s="21"/>
      <c r="S140" s="21"/>
      <c r="T140" s="21"/>
      <c r="U140" s="21"/>
      <c r="V140" s="14"/>
      <c r="W140" s="22"/>
      <c r="X140" s="14"/>
      <c r="Y140" s="11" t="str">
        <f>IF(V140="","",IF(X140&lt;&gt;"",IF(X140-V140&lt;30,"No","Sí"),IF(TODAY()-V140&gt;=30,"Sí","En curso")))</f>
        <v/>
      </c>
      <c r="Z140" s="14"/>
      <c r="AA140" s="21"/>
      <c r="AB140" s="14"/>
      <c r="AC140" s="21"/>
      <c r="AD140" s="21"/>
      <c r="AE140" s="7"/>
      <c r="AF140" s="11" t="str">
        <f>IF(OR(AC140&lt;&gt;"Abierto",Z140=""),"",TODAY()-Z140)</f>
        <v/>
      </c>
      <c r="AG140" s="11" t="str">
        <f>IF(AC140&lt;&gt;"Abierto","",IF(AB140="","Sin siguiente acción",IF(AB140&lt;TODAY(),"Vencido",IF(AB140=TODAY(),"Hoy","En tiempo"))))</f>
        <v/>
      </c>
      <c r="AH140" s="11" t="str">
        <f>IF(OR(B140="",V140=""),"",V140-B140)</f>
        <v/>
      </c>
      <c r="AI140" s="16" t="str">
        <f>IF(P140="","",P140-WEEKDAY(P140,3))</f>
        <v/>
      </c>
      <c r="AJ140" s="23" t="str">
        <f>IF(P140="","",DATE(YEAR(P140),MONTH(P140),1))</f>
        <v/>
      </c>
    </row>
    <row r="141">
      <c r="A141" s="21"/>
      <c r="B141" s="14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14"/>
      <c r="Q141" s="21"/>
      <c r="R141" s="21"/>
      <c r="S141" s="21"/>
      <c r="T141" s="21"/>
      <c r="U141" s="21"/>
      <c r="V141" s="14"/>
      <c r="W141" s="22"/>
      <c r="X141" s="14"/>
      <c r="Y141" s="11" t="str">
        <f>IF(V141="","",IF(X141&lt;&gt;"",IF(X141-V141&lt;30,"No","Sí"),IF(TODAY()-V141&gt;=30,"Sí","En curso")))</f>
        <v/>
      </c>
      <c r="Z141" s="14"/>
      <c r="AA141" s="21"/>
      <c r="AB141" s="14"/>
      <c r="AC141" s="21"/>
      <c r="AD141" s="21"/>
      <c r="AE141" s="7"/>
      <c r="AF141" s="11" t="str">
        <f>IF(OR(AC141&lt;&gt;"Abierto",Z141=""),"",TODAY()-Z141)</f>
        <v/>
      </c>
      <c r="AG141" s="11" t="str">
        <f>IF(AC141&lt;&gt;"Abierto","",IF(AB141="","Sin siguiente acción",IF(AB141&lt;TODAY(),"Vencido",IF(AB141=TODAY(),"Hoy","En tiempo"))))</f>
        <v/>
      </c>
      <c r="AH141" s="11" t="str">
        <f>IF(OR(B141="",V141=""),"",V141-B141)</f>
        <v/>
      </c>
      <c r="AI141" s="16" t="str">
        <f>IF(P141="","",P141-WEEKDAY(P141,3))</f>
        <v/>
      </c>
      <c r="AJ141" s="23" t="str">
        <f>IF(P141="","",DATE(YEAR(P141),MONTH(P141),1))</f>
        <v/>
      </c>
    </row>
    <row r="142">
      <c r="A142" s="21"/>
      <c r="B142" s="14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14"/>
      <c r="Q142" s="21"/>
      <c r="R142" s="21"/>
      <c r="S142" s="21"/>
      <c r="T142" s="21"/>
      <c r="U142" s="21"/>
      <c r="V142" s="14"/>
      <c r="W142" s="22"/>
      <c r="X142" s="14"/>
      <c r="Y142" s="11" t="str">
        <f>IF(V142="","",IF(X142&lt;&gt;"",IF(X142-V142&lt;30,"No","Sí"),IF(TODAY()-V142&gt;=30,"Sí","En curso")))</f>
        <v/>
      </c>
      <c r="Z142" s="14"/>
      <c r="AA142" s="21"/>
      <c r="AB142" s="14"/>
      <c r="AC142" s="21"/>
      <c r="AD142" s="21"/>
      <c r="AE142" s="7"/>
      <c r="AF142" s="11" t="str">
        <f>IF(OR(AC142&lt;&gt;"Abierto",Z142=""),"",TODAY()-Z142)</f>
        <v/>
      </c>
      <c r="AG142" s="11" t="str">
        <f>IF(AC142&lt;&gt;"Abierto","",IF(AB142="","Sin siguiente acción",IF(AB142&lt;TODAY(),"Vencido",IF(AB142=TODAY(),"Hoy","En tiempo"))))</f>
        <v/>
      </c>
      <c r="AH142" s="11" t="str">
        <f>IF(OR(B142="",V142=""),"",V142-B142)</f>
        <v/>
      </c>
      <c r="AI142" s="16" t="str">
        <f>IF(P142="","",P142-WEEKDAY(P142,3))</f>
        <v/>
      </c>
      <c r="AJ142" s="23" t="str">
        <f>IF(P142="","",DATE(YEAR(P142),MONTH(P142),1))</f>
        <v/>
      </c>
    </row>
    <row r="143">
      <c r="A143" s="21"/>
      <c r="B143" s="14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14"/>
      <c r="Q143" s="21"/>
      <c r="R143" s="21"/>
      <c r="S143" s="21"/>
      <c r="T143" s="21"/>
      <c r="U143" s="21"/>
      <c r="V143" s="14"/>
      <c r="W143" s="22"/>
      <c r="X143" s="14"/>
      <c r="Y143" s="11" t="str">
        <f>IF(V143="","",IF(X143&lt;&gt;"",IF(X143-V143&lt;30,"No","Sí"),IF(TODAY()-V143&gt;=30,"Sí","En curso")))</f>
        <v/>
      </c>
      <c r="Z143" s="14"/>
      <c r="AA143" s="21"/>
      <c r="AB143" s="14"/>
      <c r="AC143" s="21"/>
      <c r="AD143" s="21"/>
      <c r="AE143" s="7"/>
      <c r="AF143" s="11" t="str">
        <f>IF(OR(AC143&lt;&gt;"Abierto",Z143=""),"",TODAY()-Z143)</f>
        <v/>
      </c>
      <c r="AG143" s="11" t="str">
        <f>IF(AC143&lt;&gt;"Abierto","",IF(AB143="","Sin siguiente acción",IF(AB143&lt;TODAY(),"Vencido",IF(AB143=TODAY(),"Hoy","En tiempo"))))</f>
        <v/>
      </c>
      <c r="AH143" s="11" t="str">
        <f>IF(OR(B143="",V143=""),"",V143-B143)</f>
        <v/>
      </c>
      <c r="AI143" s="16" t="str">
        <f>IF(P143="","",P143-WEEKDAY(P143,3))</f>
        <v/>
      </c>
      <c r="AJ143" s="23" t="str">
        <f>IF(P143="","",DATE(YEAR(P143),MONTH(P143),1))</f>
        <v/>
      </c>
    </row>
    <row r="144">
      <c r="A144" s="21"/>
      <c r="B144" s="14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14"/>
      <c r="Q144" s="21"/>
      <c r="R144" s="21"/>
      <c r="S144" s="21"/>
      <c r="T144" s="21"/>
      <c r="U144" s="21"/>
      <c r="V144" s="14"/>
      <c r="W144" s="22"/>
      <c r="X144" s="14"/>
      <c r="Y144" s="11" t="str">
        <f>IF(V144="","",IF(X144&lt;&gt;"",IF(X144-V144&lt;30,"No","Sí"),IF(TODAY()-V144&gt;=30,"Sí","En curso")))</f>
        <v/>
      </c>
      <c r="Z144" s="14"/>
      <c r="AA144" s="21"/>
      <c r="AB144" s="14"/>
      <c r="AC144" s="21"/>
      <c r="AD144" s="21"/>
      <c r="AE144" s="7"/>
      <c r="AF144" s="11" t="str">
        <f>IF(OR(AC144&lt;&gt;"Abierto",Z144=""),"",TODAY()-Z144)</f>
        <v/>
      </c>
      <c r="AG144" s="11" t="str">
        <f>IF(AC144&lt;&gt;"Abierto","",IF(AB144="","Sin siguiente acción",IF(AB144&lt;TODAY(),"Vencido",IF(AB144=TODAY(),"Hoy","En tiempo"))))</f>
        <v/>
      </c>
      <c r="AH144" s="11" t="str">
        <f>IF(OR(B144="",V144=""),"",V144-B144)</f>
        <v/>
      </c>
      <c r="AI144" s="16" t="str">
        <f>IF(P144="","",P144-WEEKDAY(P144,3))</f>
        <v/>
      </c>
      <c r="AJ144" s="23" t="str">
        <f>IF(P144="","",DATE(YEAR(P144),MONTH(P144),1))</f>
        <v/>
      </c>
    </row>
    <row r="145">
      <c r="A145" s="21"/>
      <c r="B145" s="14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14"/>
      <c r="Q145" s="21"/>
      <c r="R145" s="21"/>
      <c r="S145" s="21"/>
      <c r="T145" s="21"/>
      <c r="U145" s="21"/>
      <c r="V145" s="14"/>
      <c r="W145" s="22"/>
      <c r="X145" s="14"/>
      <c r="Y145" s="11" t="str">
        <f>IF(V145="","",IF(X145&lt;&gt;"",IF(X145-V145&lt;30,"No","Sí"),IF(TODAY()-V145&gt;=30,"Sí","En curso")))</f>
        <v/>
      </c>
      <c r="Z145" s="14"/>
      <c r="AA145" s="21"/>
      <c r="AB145" s="14"/>
      <c r="AC145" s="21"/>
      <c r="AD145" s="21"/>
      <c r="AE145" s="7"/>
      <c r="AF145" s="11" t="str">
        <f>IF(OR(AC145&lt;&gt;"Abierto",Z145=""),"",TODAY()-Z145)</f>
        <v/>
      </c>
      <c r="AG145" s="11" t="str">
        <f>IF(AC145&lt;&gt;"Abierto","",IF(AB145="","Sin siguiente acción",IF(AB145&lt;TODAY(),"Vencido",IF(AB145=TODAY(),"Hoy","En tiempo"))))</f>
        <v/>
      </c>
      <c r="AH145" s="11" t="str">
        <f>IF(OR(B145="",V145=""),"",V145-B145)</f>
        <v/>
      </c>
      <c r="AI145" s="16" t="str">
        <f>IF(P145="","",P145-WEEKDAY(P145,3))</f>
        <v/>
      </c>
      <c r="AJ145" s="23" t="str">
        <f>IF(P145="","",DATE(YEAR(P145),MONTH(P145),1))</f>
        <v/>
      </c>
    </row>
    <row r="146">
      <c r="A146" s="21"/>
      <c r="B146" s="14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14"/>
      <c r="Q146" s="21"/>
      <c r="R146" s="21"/>
      <c r="S146" s="21"/>
      <c r="T146" s="21"/>
      <c r="U146" s="21"/>
      <c r="V146" s="14"/>
      <c r="W146" s="22"/>
      <c r="X146" s="14"/>
      <c r="Y146" s="11" t="str">
        <f>IF(V146="","",IF(X146&lt;&gt;"",IF(X146-V146&lt;30,"No","Sí"),IF(TODAY()-V146&gt;=30,"Sí","En curso")))</f>
        <v/>
      </c>
      <c r="Z146" s="14"/>
      <c r="AA146" s="21"/>
      <c r="AB146" s="14"/>
      <c r="AC146" s="21"/>
      <c r="AD146" s="21"/>
      <c r="AE146" s="7"/>
      <c r="AF146" s="11" t="str">
        <f>IF(OR(AC146&lt;&gt;"Abierto",Z146=""),"",TODAY()-Z146)</f>
        <v/>
      </c>
      <c r="AG146" s="11" t="str">
        <f>IF(AC146&lt;&gt;"Abierto","",IF(AB146="","Sin siguiente acción",IF(AB146&lt;TODAY(),"Vencido",IF(AB146=TODAY(),"Hoy","En tiempo"))))</f>
        <v/>
      </c>
      <c r="AH146" s="11" t="str">
        <f>IF(OR(B146="",V146=""),"",V146-B146)</f>
        <v/>
      </c>
      <c r="AI146" s="16" t="str">
        <f>IF(P146="","",P146-WEEKDAY(P146,3))</f>
        <v/>
      </c>
      <c r="AJ146" s="23" t="str">
        <f>IF(P146="","",DATE(YEAR(P146),MONTH(P146),1))</f>
        <v/>
      </c>
    </row>
    <row r="147">
      <c r="A147" s="21"/>
      <c r="B147" s="14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14"/>
      <c r="Q147" s="21"/>
      <c r="R147" s="21"/>
      <c r="S147" s="21"/>
      <c r="T147" s="21"/>
      <c r="U147" s="21"/>
      <c r="V147" s="14"/>
      <c r="W147" s="22"/>
      <c r="X147" s="14"/>
      <c r="Y147" s="11" t="str">
        <f>IF(V147="","",IF(X147&lt;&gt;"",IF(X147-V147&lt;30,"No","Sí"),IF(TODAY()-V147&gt;=30,"Sí","En curso")))</f>
        <v/>
      </c>
      <c r="Z147" s="14"/>
      <c r="AA147" s="21"/>
      <c r="AB147" s="14"/>
      <c r="AC147" s="21"/>
      <c r="AD147" s="21"/>
      <c r="AE147" s="7"/>
      <c r="AF147" s="11" t="str">
        <f>IF(OR(AC147&lt;&gt;"Abierto",Z147=""),"",TODAY()-Z147)</f>
        <v/>
      </c>
      <c r="AG147" s="11" t="str">
        <f>IF(AC147&lt;&gt;"Abierto","",IF(AB147="","Sin siguiente acción",IF(AB147&lt;TODAY(),"Vencido",IF(AB147=TODAY(),"Hoy","En tiempo"))))</f>
        <v/>
      </c>
      <c r="AH147" s="11" t="str">
        <f>IF(OR(B147="",V147=""),"",V147-B147)</f>
        <v/>
      </c>
      <c r="AI147" s="16" t="str">
        <f>IF(P147="","",P147-WEEKDAY(P147,3))</f>
        <v/>
      </c>
      <c r="AJ147" s="23" t="str">
        <f>IF(P147="","",DATE(YEAR(P147),MONTH(P147),1))</f>
        <v/>
      </c>
    </row>
    <row r="148">
      <c r="A148" s="21"/>
      <c r="B148" s="14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14"/>
      <c r="Q148" s="21"/>
      <c r="R148" s="21"/>
      <c r="S148" s="21"/>
      <c r="T148" s="21"/>
      <c r="U148" s="21"/>
      <c r="V148" s="14"/>
      <c r="W148" s="22"/>
      <c r="X148" s="14"/>
      <c r="Y148" s="11" t="str">
        <f>IF(V148="","",IF(X148&lt;&gt;"",IF(X148-V148&lt;30,"No","Sí"),IF(TODAY()-V148&gt;=30,"Sí","En curso")))</f>
        <v/>
      </c>
      <c r="Z148" s="14"/>
      <c r="AA148" s="21"/>
      <c r="AB148" s="14"/>
      <c r="AC148" s="21"/>
      <c r="AD148" s="21"/>
      <c r="AE148" s="7"/>
      <c r="AF148" s="11" t="str">
        <f>IF(OR(AC148&lt;&gt;"Abierto",Z148=""),"",TODAY()-Z148)</f>
        <v/>
      </c>
      <c r="AG148" s="11" t="str">
        <f>IF(AC148&lt;&gt;"Abierto","",IF(AB148="","Sin siguiente acción",IF(AB148&lt;TODAY(),"Vencido",IF(AB148=TODAY(),"Hoy","En tiempo"))))</f>
        <v/>
      </c>
      <c r="AH148" s="11" t="str">
        <f>IF(OR(B148="",V148=""),"",V148-B148)</f>
        <v/>
      </c>
      <c r="AI148" s="16" t="str">
        <f>IF(P148="","",P148-WEEKDAY(P148,3))</f>
        <v/>
      </c>
      <c r="AJ148" s="23" t="str">
        <f>IF(P148="","",DATE(YEAR(P148),MONTH(P148),1))</f>
        <v/>
      </c>
    </row>
    <row r="149">
      <c r="A149" s="21"/>
      <c r="B149" s="14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14"/>
      <c r="Q149" s="21"/>
      <c r="R149" s="21"/>
      <c r="S149" s="21"/>
      <c r="T149" s="21"/>
      <c r="U149" s="21"/>
      <c r="V149" s="14"/>
      <c r="W149" s="22"/>
      <c r="X149" s="14"/>
      <c r="Y149" s="11" t="str">
        <f>IF(V149="","",IF(X149&lt;&gt;"",IF(X149-V149&lt;30,"No","Sí"),IF(TODAY()-V149&gt;=30,"Sí","En curso")))</f>
        <v/>
      </c>
      <c r="Z149" s="14"/>
      <c r="AA149" s="21"/>
      <c r="AB149" s="14"/>
      <c r="AC149" s="21"/>
      <c r="AD149" s="21"/>
      <c r="AE149" s="7"/>
      <c r="AF149" s="11" t="str">
        <f>IF(OR(AC149&lt;&gt;"Abierto",Z149=""),"",TODAY()-Z149)</f>
        <v/>
      </c>
      <c r="AG149" s="11" t="str">
        <f>IF(AC149&lt;&gt;"Abierto","",IF(AB149="","Sin siguiente acción",IF(AB149&lt;TODAY(),"Vencido",IF(AB149=TODAY(),"Hoy","En tiempo"))))</f>
        <v/>
      </c>
      <c r="AH149" s="11" t="str">
        <f>IF(OR(B149="",V149=""),"",V149-B149)</f>
        <v/>
      </c>
      <c r="AI149" s="16" t="str">
        <f>IF(P149="","",P149-WEEKDAY(P149,3))</f>
        <v/>
      </c>
      <c r="AJ149" s="23" t="str">
        <f>IF(P149="","",DATE(YEAR(P149),MONTH(P149),1))</f>
        <v/>
      </c>
    </row>
    <row r="150">
      <c r="A150" s="21"/>
      <c r="B150" s="14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14"/>
      <c r="Q150" s="21"/>
      <c r="R150" s="21"/>
      <c r="S150" s="21"/>
      <c r="T150" s="21"/>
      <c r="U150" s="21"/>
      <c r="V150" s="14"/>
      <c r="W150" s="22"/>
      <c r="X150" s="14"/>
      <c r="Y150" s="11" t="str">
        <f>IF(V150="","",IF(X150&lt;&gt;"",IF(X150-V150&lt;30,"No","Sí"),IF(TODAY()-V150&gt;=30,"Sí","En curso")))</f>
        <v/>
      </c>
      <c r="Z150" s="14"/>
      <c r="AA150" s="21"/>
      <c r="AB150" s="14"/>
      <c r="AC150" s="21"/>
      <c r="AD150" s="21"/>
      <c r="AE150" s="7"/>
      <c r="AF150" s="11" t="str">
        <f>IF(OR(AC150&lt;&gt;"Abierto",Z150=""),"",TODAY()-Z150)</f>
        <v/>
      </c>
      <c r="AG150" s="11" t="str">
        <f>IF(AC150&lt;&gt;"Abierto","",IF(AB150="","Sin siguiente acción",IF(AB150&lt;TODAY(),"Vencido",IF(AB150=TODAY(),"Hoy","En tiempo"))))</f>
        <v/>
      </c>
      <c r="AH150" s="11" t="str">
        <f>IF(OR(B150="",V150=""),"",V150-B150)</f>
        <v/>
      </c>
      <c r="AI150" s="16" t="str">
        <f>IF(P150="","",P150-WEEKDAY(P150,3))</f>
        <v/>
      </c>
      <c r="AJ150" s="23" t="str">
        <f>IF(P150="","",DATE(YEAR(P150),MONTH(P150),1))</f>
        <v/>
      </c>
    </row>
    <row r="151">
      <c r="A151" s="21"/>
      <c r="B151" s="14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14"/>
      <c r="Q151" s="21"/>
      <c r="R151" s="21"/>
      <c r="S151" s="21"/>
      <c r="T151" s="21"/>
      <c r="U151" s="21"/>
      <c r="V151" s="14"/>
      <c r="W151" s="22"/>
      <c r="X151" s="14"/>
      <c r="Y151" s="11" t="str">
        <f>IF(V151="","",IF(X151&lt;&gt;"",IF(X151-V151&lt;30,"No","Sí"),IF(TODAY()-V151&gt;=30,"Sí","En curso")))</f>
        <v/>
      </c>
      <c r="Z151" s="14"/>
      <c r="AA151" s="21"/>
      <c r="AB151" s="14"/>
      <c r="AC151" s="21"/>
      <c r="AD151" s="21"/>
      <c r="AE151" s="7"/>
      <c r="AF151" s="11" t="str">
        <f>IF(OR(AC151&lt;&gt;"Abierto",Z151=""),"",TODAY()-Z151)</f>
        <v/>
      </c>
      <c r="AG151" s="11" t="str">
        <f>IF(AC151&lt;&gt;"Abierto","",IF(AB151="","Sin siguiente acción",IF(AB151&lt;TODAY(),"Vencido",IF(AB151=TODAY(),"Hoy","En tiempo"))))</f>
        <v/>
      </c>
      <c r="AH151" s="11" t="str">
        <f>IF(OR(B151="",V151=""),"",V151-B151)</f>
        <v/>
      </c>
      <c r="AI151" s="16" t="str">
        <f>IF(P151="","",P151-WEEKDAY(P151,3))</f>
        <v/>
      </c>
      <c r="AJ151" s="23" t="str">
        <f>IF(P151="","",DATE(YEAR(P151),MONTH(P151),1))</f>
        <v/>
      </c>
    </row>
    <row r="152">
      <c r="A152" s="21"/>
      <c r="B152" s="14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14"/>
      <c r="Q152" s="21"/>
      <c r="R152" s="21"/>
      <c r="S152" s="21"/>
      <c r="T152" s="21"/>
      <c r="U152" s="21"/>
      <c r="V152" s="14"/>
      <c r="W152" s="22"/>
      <c r="X152" s="14"/>
      <c r="Y152" s="11" t="str">
        <f>IF(V152="","",IF(X152&lt;&gt;"",IF(X152-V152&lt;30,"No","Sí"),IF(TODAY()-V152&gt;=30,"Sí","En curso")))</f>
        <v/>
      </c>
      <c r="Z152" s="14"/>
      <c r="AA152" s="21"/>
      <c r="AB152" s="14"/>
      <c r="AC152" s="21"/>
      <c r="AD152" s="21"/>
      <c r="AE152" s="7"/>
      <c r="AF152" s="11" t="str">
        <f>IF(OR(AC152&lt;&gt;"Abierto",Z152=""),"",TODAY()-Z152)</f>
        <v/>
      </c>
      <c r="AG152" s="11" t="str">
        <f>IF(AC152&lt;&gt;"Abierto","",IF(AB152="","Sin siguiente acción",IF(AB152&lt;TODAY(),"Vencido",IF(AB152=TODAY(),"Hoy","En tiempo"))))</f>
        <v/>
      </c>
      <c r="AH152" s="11" t="str">
        <f>IF(OR(B152="",V152=""),"",V152-B152)</f>
        <v/>
      </c>
      <c r="AI152" s="16" t="str">
        <f>IF(P152="","",P152-WEEKDAY(P152,3))</f>
        <v/>
      </c>
      <c r="AJ152" s="23" t="str">
        <f>IF(P152="","",DATE(YEAR(P152),MONTH(P152),1))</f>
        <v/>
      </c>
    </row>
    <row r="153">
      <c r="A153" s="21"/>
      <c r="B153" s="14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14"/>
      <c r="Q153" s="21"/>
      <c r="R153" s="21"/>
      <c r="S153" s="21"/>
      <c r="T153" s="21"/>
      <c r="U153" s="21"/>
      <c r="V153" s="14"/>
      <c r="W153" s="22"/>
      <c r="X153" s="14"/>
      <c r="Y153" s="11" t="str">
        <f>IF(V153="","",IF(X153&lt;&gt;"",IF(X153-V153&lt;30,"No","Sí"),IF(TODAY()-V153&gt;=30,"Sí","En curso")))</f>
        <v/>
      </c>
      <c r="Z153" s="14"/>
      <c r="AA153" s="21"/>
      <c r="AB153" s="14"/>
      <c r="AC153" s="21"/>
      <c r="AD153" s="21"/>
      <c r="AE153" s="7"/>
      <c r="AF153" s="11" t="str">
        <f>IF(OR(AC153&lt;&gt;"Abierto",Z153=""),"",TODAY()-Z153)</f>
        <v/>
      </c>
      <c r="AG153" s="11" t="str">
        <f>IF(AC153&lt;&gt;"Abierto","",IF(AB153="","Sin siguiente acción",IF(AB153&lt;TODAY(),"Vencido",IF(AB153=TODAY(),"Hoy","En tiempo"))))</f>
        <v/>
      </c>
      <c r="AH153" s="11" t="str">
        <f>IF(OR(B153="",V153=""),"",V153-B153)</f>
        <v/>
      </c>
      <c r="AI153" s="16" t="str">
        <f>IF(P153="","",P153-WEEKDAY(P153,3))</f>
        <v/>
      </c>
      <c r="AJ153" s="23" t="str">
        <f>IF(P153="","",DATE(YEAR(P153),MONTH(P153),1))</f>
        <v/>
      </c>
    </row>
    <row r="154">
      <c r="A154" s="21"/>
      <c r="B154" s="14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14"/>
      <c r="Q154" s="21"/>
      <c r="R154" s="21"/>
      <c r="S154" s="21"/>
      <c r="T154" s="21"/>
      <c r="U154" s="21"/>
      <c r="V154" s="14"/>
      <c r="W154" s="22"/>
      <c r="X154" s="14"/>
      <c r="Y154" s="11" t="str">
        <f>IF(V154="","",IF(X154&lt;&gt;"",IF(X154-V154&lt;30,"No","Sí"),IF(TODAY()-V154&gt;=30,"Sí","En curso")))</f>
        <v/>
      </c>
      <c r="Z154" s="14"/>
      <c r="AA154" s="21"/>
      <c r="AB154" s="14"/>
      <c r="AC154" s="21"/>
      <c r="AD154" s="21"/>
      <c r="AE154" s="7"/>
      <c r="AF154" s="11" t="str">
        <f>IF(OR(AC154&lt;&gt;"Abierto",Z154=""),"",TODAY()-Z154)</f>
        <v/>
      </c>
      <c r="AG154" s="11" t="str">
        <f>IF(AC154&lt;&gt;"Abierto","",IF(AB154="","Sin siguiente acción",IF(AB154&lt;TODAY(),"Vencido",IF(AB154=TODAY(),"Hoy","En tiempo"))))</f>
        <v/>
      </c>
      <c r="AH154" s="11" t="str">
        <f>IF(OR(B154="",V154=""),"",V154-B154)</f>
        <v/>
      </c>
      <c r="AI154" s="16" t="str">
        <f>IF(P154="","",P154-WEEKDAY(P154,3))</f>
        <v/>
      </c>
      <c r="AJ154" s="23" t="str">
        <f>IF(P154="","",DATE(YEAR(P154),MONTH(P154),1))</f>
        <v/>
      </c>
    </row>
    <row r="155">
      <c r="A155" s="21"/>
      <c r="B155" s="14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14"/>
      <c r="Q155" s="21"/>
      <c r="R155" s="21"/>
      <c r="S155" s="21"/>
      <c r="T155" s="21"/>
      <c r="U155" s="21"/>
      <c r="V155" s="14"/>
      <c r="W155" s="22"/>
      <c r="X155" s="14"/>
      <c r="Y155" s="11" t="str">
        <f>IF(V155="","",IF(X155&lt;&gt;"",IF(X155-V155&lt;30,"No","Sí"),IF(TODAY()-V155&gt;=30,"Sí","En curso")))</f>
        <v/>
      </c>
      <c r="Z155" s="14"/>
      <c r="AA155" s="21"/>
      <c r="AB155" s="14"/>
      <c r="AC155" s="21"/>
      <c r="AD155" s="21"/>
      <c r="AE155" s="7"/>
      <c r="AF155" s="11" t="str">
        <f>IF(OR(AC155&lt;&gt;"Abierto",Z155=""),"",TODAY()-Z155)</f>
        <v/>
      </c>
      <c r="AG155" s="11" t="str">
        <f>IF(AC155&lt;&gt;"Abierto","",IF(AB155="","Sin siguiente acción",IF(AB155&lt;TODAY(),"Vencido",IF(AB155=TODAY(),"Hoy","En tiempo"))))</f>
        <v/>
      </c>
      <c r="AH155" s="11" t="str">
        <f>IF(OR(B155="",V155=""),"",V155-B155)</f>
        <v/>
      </c>
      <c r="AI155" s="16" t="str">
        <f>IF(P155="","",P155-WEEKDAY(P155,3))</f>
        <v/>
      </c>
      <c r="AJ155" s="23" t="str">
        <f>IF(P155="","",DATE(YEAR(P155),MONTH(P155),1))</f>
        <v/>
      </c>
    </row>
    <row r="156">
      <c r="A156" s="21"/>
      <c r="B156" s="14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14"/>
      <c r="Q156" s="21"/>
      <c r="R156" s="21"/>
      <c r="S156" s="21"/>
      <c r="T156" s="21"/>
      <c r="U156" s="21"/>
      <c r="V156" s="14"/>
      <c r="W156" s="22"/>
      <c r="X156" s="14"/>
      <c r="Y156" s="11" t="str">
        <f>IF(V156="","",IF(X156&lt;&gt;"",IF(X156-V156&lt;30,"No","Sí"),IF(TODAY()-V156&gt;=30,"Sí","En curso")))</f>
        <v/>
      </c>
      <c r="Z156" s="14"/>
      <c r="AA156" s="21"/>
      <c r="AB156" s="14"/>
      <c r="AC156" s="21"/>
      <c r="AD156" s="21"/>
      <c r="AE156" s="7"/>
      <c r="AF156" s="11" t="str">
        <f>IF(OR(AC156&lt;&gt;"Abierto",Z156=""),"",TODAY()-Z156)</f>
        <v/>
      </c>
      <c r="AG156" s="11" t="str">
        <f>IF(AC156&lt;&gt;"Abierto","",IF(AB156="","Sin siguiente acción",IF(AB156&lt;TODAY(),"Vencido",IF(AB156=TODAY(),"Hoy","En tiempo"))))</f>
        <v/>
      </c>
      <c r="AH156" s="11" t="str">
        <f>IF(OR(B156="",V156=""),"",V156-B156)</f>
        <v/>
      </c>
      <c r="AI156" s="16" t="str">
        <f>IF(P156="","",P156-WEEKDAY(P156,3))</f>
        <v/>
      </c>
      <c r="AJ156" s="23" t="str">
        <f>IF(P156="","",DATE(YEAR(P156),MONTH(P156),1))</f>
        <v/>
      </c>
    </row>
    <row r="157">
      <c r="A157" s="21"/>
      <c r="B157" s="14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14"/>
      <c r="Q157" s="21"/>
      <c r="R157" s="21"/>
      <c r="S157" s="21"/>
      <c r="T157" s="21"/>
      <c r="U157" s="21"/>
      <c r="V157" s="14"/>
      <c r="W157" s="22"/>
      <c r="X157" s="14"/>
      <c r="Y157" s="11" t="str">
        <f>IF(V157="","",IF(X157&lt;&gt;"",IF(X157-V157&lt;30,"No","Sí"),IF(TODAY()-V157&gt;=30,"Sí","En curso")))</f>
        <v/>
      </c>
      <c r="Z157" s="14"/>
      <c r="AA157" s="21"/>
      <c r="AB157" s="14"/>
      <c r="AC157" s="21"/>
      <c r="AD157" s="21"/>
      <c r="AE157" s="7"/>
      <c r="AF157" s="11" t="str">
        <f>IF(OR(AC157&lt;&gt;"Abierto",Z157=""),"",TODAY()-Z157)</f>
        <v/>
      </c>
      <c r="AG157" s="11" t="str">
        <f>IF(AC157&lt;&gt;"Abierto","",IF(AB157="","Sin siguiente acción",IF(AB157&lt;TODAY(),"Vencido",IF(AB157=TODAY(),"Hoy","En tiempo"))))</f>
        <v/>
      </c>
      <c r="AH157" s="11" t="str">
        <f>IF(OR(B157="",V157=""),"",V157-B157)</f>
        <v/>
      </c>
      <c r="AI157" s="16" t="str">
        <f>IF(P157="","",P157-WEEKDAY(P157,3))</f>
        <v/>
      </c>
      <c r="AJ157" s="23" t="str">
        <f>IF(P157="","",DATE(YEAR(P157),MONTH(P157),1))</f>
        <v/>
      </c>
    </row>
    <row r="158">
      <c r="A158" s="21"/>
      <c r="B158" s="14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14"/>
      <c r="Q158" s="21"/>
      <c r="R158" s="21"/>
      <c r="S158" s="21"/>
      <c r="T158" s="21"/>
      <c r="U158" s="21"/>
      <c r="V158" s="14"/>
      <c r="W158" s="22"/>
      <c r="X158" s="14"/>
      <c r="Y158" s="11" t="str">
        <f>IF(V158="","",IF(X158&lt;&gt;"",IF(X158-V158&lt;30,"No","Sí"),IF(TODAY()-V158&gt;=30,"Sí","En curso")))</f>
        <v/>
      </c>
      <c r="Z158" s="14"/>
      <c r="AA158" s="21"/>
      <c r="AB158" s="14"/>
      <c r="AC158" s="21"/>
      <c r="AD158" s="21"/>
      <c r="AE158" s="7"/>
      <c r="AF158" s="11" t="str">
        <f>IF(OR(AC158&lt;&gt;"Abierto",Z158=""),"",TODAY()-Z158)</f>
        <v/>
      </c>
      <c r="AG158" s="11" t="str">
        <f>IF(AC158&lt;&gt;"Abierto","",IF(AB158="","Sin siguiente acción",IF(AB158&lt;TODAY(),"Vencido",IF(AB158=TODAY(),"Hoy","En tiempo"))))</f>
        <v/>
      </c>
      <c r="AH158" s="11" t="str">
        <f>IF(OR(B158="",V158=""),"",V158-B158)</f>
        <v/>
      </c>
      <c r="AI158" s="16" t="str">
        <f>IF(P158="","",P158-WEEKDAY(P158,3))</f>
        <v/>
      </c>
      <c r="AJ158" s="23" t="str">
        <f>IF(P158="","",DATE(YEAR(P158),MONTH(P158),1))</f>
        <v/>
      </c>
    </row>
    <row r="159">
      <c r="A159" s="21"/>
      <c r="B159" s="14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14"/>
      <c r="Q159" s="21"/>
      <c r="R159" s="21"/>
      <c r="S159" s="21"/>
      <c r="T159" s="21"/>
      <c r="U159" s="21"/>
      <c r="V159" s="14"/>
      <c r="W159" s="22"/>
      <c r="X159" s="14"/>
      <c r="Y159" s="11" t="str">
        <f>IF(V159="","",IF(X159&lt;&gt;"",IF(X159-V159&lt;30,"No","Sí"),IF(TODAY()-V159&gt;=30,"Sí","En curso")))</f>
        <v/>
      </c>
      <c r="Z159" s="14"/>
      <c r="AA159" s="21"/>
      <c r="AB159" s="14"/>
      <c r="AC159" s="21"/>
      <c r="AD159" s="21"/>
      <c r="AE159" s="7"/>
      <c r="AF159" s="11" t="str">
        <f>IF(OR(AC159&lt;&gt;"Abierto",Z159=""),"",TODAY()-Z159)</f>
        <v/>
      </c>
      <c r="AG159" s="11" t="str">
        <f>IF(AC159&lt;&gt;"Abierto","",IF(AB159="","Sin siguiente acción",IF(AB159&lt;TODAY(),"Vencido",IF(AB159=TODAY(),"Hoy","En tiempo"))))</f>
        <v/>
      </c>
      <c r="AH159" s="11" t="str">
        <f>IF(OR(B159="",V159=""),"",V159-B159)</f>
        <v/>
      </c>
      <c r="AI159" s="16" t="str">
        <f>IF(P159="","",P159-WEEKDAY(P159,3))</f>
        <v/>
      </c>
      <c r="AJ159" s="23" t="str">
        <f>IF(P159="","",DATE(YEAR(P159),MONTH(P159),1))</f>
        <v/>
      </c>
    </row>
    <row r="160">
      <c r="A160" s="21"/>
      <c r="B160" s="14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14"/>
      <c r="Q160" s="21"/>
      <c r="R160" s="21"/>
      <c r="S160" s="21"/>
      <c r="T160" s="21"/>
      <c r="U160" s="21"/>
      <c r="V160" s="14"/>
      <c r="W160" s="22"/>
      <c r="X160" s="14"/>
      <c r="Y160" s="11" t="str">
        <f>IF(V160="","",IF(X160&lt;&gt;"",IF(X160-V160&lt;30,"No","Sí"),IF(TODAY()-V160&gt;=30,"Sí","En curso")))</f>
        <v/>
      </c>
      <c r="Z160" s="14"/>
      <c r="AA160" s="21"/>
      <c r="AB160" s="14"/>
      <c r="AC160" s="21"/>
      <c r="AD160" s="21"/>
      <c r="AE160" s="7"/>
      <c r="AF160" s="11" t="str">
        <f>IF(OR(AC160&lt;&gt;"Abierto",Z160=""),"",TODAY()-Z160)</f>
        <v/>
      </c>
      <c r="AG160" s="11" t="str">
        <f>IF(AC160&lt;&gt;"Abierto","",IF(AB160="","Sin siguiente acción",IF(AB160&lt;TODAY(),"Vencido",IF(AB160=TODAY(),"Hoy","En tiempo"))))</f>
        <v/>
      </c>
      <c r="AH160" s="11" t="str">
        <f>IF(OR(B160="",V160=""),"",V160-B160)</f>
        <v/>
      </c>
      <c r="AI160" s="16" t="str">
        <f>IF(P160="","",P160-WEEKDAY(P160,3))</f>
        <v/>
      </c>
      <c r="AJ160" s="23" t="str">
        <f>IF(P160="","",DATE(YEAR(P160),MONTH(P160),1))</f>
        <v/>
      </c>
    </row>
    <row r="161">
      <c r="A161" s="21"/>
      <c r="B161" s="14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14"/>
      <c r="Q161" s="21"/>
      <c r="R161" s="21"/>
      <c r="S161" s="21"/>
      <c r="T161" s="21"/>
      <c r="U161" s="21"/>
      <c r="V161" s="14"/>
      <c r="W161" s="22"/>
      <c r="X161" s="14"/>
      <c r="Y161" s="11" t="str">
        <f>IF(V161="","",IF(X161&lt;&gt;"",IF(X161-V161&lt;30,"No","Sí"),IF(TODAY()-V161&gt;=30,"Sí","En curso")))</f>
        <v/>
      </c>
      <c r="Z161" s="14"/>
      <c r="AA161" s="21"/>
      <c r="AB161" s="14"/>
      <c r="AC161" s="21"/>
      <c r="AD161" s="21"/>
      <c r="AE161" s="7"/>
      <c r="AF161" s="11" t="str">
        <f>IF(OR(AC161&lt;&gt;"Abierto",Z161=""),"",TODAY()-Z161)</f>
        <v/>
      </c>
      <c r="AG161" s="11" t="str">
        <f>IF(AC161&lt;&gt;"Abierto","",IF(AB161="","Sin siguiente acción",IF(AB161&lt;TODAY(),"Vencido",IF(AB161=TODAY(),"Hoy","En tiempo"))))</f>
        <v/>
      </c>
      <c r="AH161" s="11" t="str">
        <f>IF(OR(B161="",V161=""),"",V161-B161)</f>
        <v/>
      </c>
      <c r="AI161" s="16" t="str">
        <f>IF(P161="","",P161-WEEKDAY(P161,3))</f>
        <v/>
      </c>
      <c r="AJ161" s="23" t="str">
        <f>IF(P161="","",DATE(YEAR(P161),MONTH(P161),1))</f>
        <v/>
      </c>
    </row>
    <row r="162">
      <c r="A162" s="21"/>
      <c r="B162" s="14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14"/>
      <c r="Q162" s="21"/>
      <c r="R162" s="21"/>
      <c r="S162" s="21"/>
      <c r="T162" s="21"/>
      <c r="U162" s="21"/>
      <c r="V162" s="14"/>
      <c r="W162" s="22"/>
      <c r="X162" s="14"/>
      <c r="Y162" s="11" t="str">
        <f>IF(V162="","",IF(X162&lt;&gt;"",IF(X162-V162&lt;30,"No","Sí"),IF(TODAY()-V162&gt;=30,"Sí","En curso")))</f>
        <v/>
      </c>
      <c r="Z162" s="14"/>
      <c r="AA162" s="21"/>
      <c r="AB162" s="14"/>
      <c r="AC162" s="21"/>
      <c r="AD162" s="21"/>
      <c r="AE162" s="7"/>
      <c r="AF162" s="11" t="str">
        <f>IF(OR(AC162&lt;&gt;"Abierto",Z162=""),"",TODAY()-Z162)</f>
        <v/>
      </c>
      <c r="AG162" s="11" t="str">
        <f>IF(AC162&lt;&gt;"Abierto","",IF(AB162="","Sin siguiente acción",IF(AB162&lt;TODAY(),"Vencido",IF(AB162=TODAY(),"Hoy","En tiempo"))))</f>
        <v/>
      </c>
      <c r="AH162" s="11" t="str">
        <f>IF(OR(B162="",V162=""),"",V162-B162)</f>
        <v/>
      </c>
      <c r="AI162" s="16" t="str">
        <f>IF(P162="","",P162-WEEKDAY(P162,3))</f>
        <v/>
      </c>
      <c r="AJ162" s="23" t="str">
        <f>IF(P162="","",DATE(YEAR(P162),MONTH(P162),1))</f>
        <v/>
      </c>
    </row>
    <row r="163">
      <c r="A163" s="21"/>
      <c r="B163" s="14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14"/>
      <c r="Q163" s="21"/>
      <c r="R163" s="21"/>
      <c r="S163" s="21"/>
      <c r="T163" s="21"/>
      <c r="U163" s="21"/>
      <c r="V163" s="14"/>
      <c r="W163" s="22"/>
      <c r="X163" s="14"/>
      <c r="Y163" s="11" t="str">
        <f>IF(V163="","",IF(X163&lt;&gt;"",IF(X163-V163&lt;30,"No","Sí"),IF(TODAY()-V163&gt;=30,"Sí","En curso")))</f>
        <v/>
      </c>
      <c r="Z163" s="14"/>
      <c r="AA163" s="21"/>
      <c r="AB163" s="14"/>
      <c r="AC163" s="21"/>
      <c r="AD163" s="21"/>
      <c r="AE163" s="7"/>
      <c r="AF163" s="11" t="str">
        <f>IF(OR(AC163&lt;&gt;"Abierto",Z163=""),"",TODAY()-Z163)</f>
        <v/>
      </c>
      <c r="AG163" s="11" t="str">
        <f>IF(AC163&lt;&gt;"Abierto","",IF(AB163="","Sin siguiente acción",IF(AB163&lt;TODAY(),"Vencido",IF(AB163=TODAY(),"Hoy","En tiempo"))))</f>
        <v/>
      </c>
      <c r="AH163" s="11" t="str">
        <f>IF(OR(B163="",V163=""),"",V163-B163)</f>
        <v/>
      </c>
      <c r="AI163" s="16" t="str">
        <f>IF(P163="","",P163-WEEKDAY(P163,3))</f>
        <v/>
      </c>
      <c r="AJ163" s="23" t="str">
        <f>IF(P163="","",DATE(YEAR(P163),MONTH(P163),1))</f>
        <v/>
      </c>
    </row>
    <row r="164">
      <c r="A164" s="21"/>
      <c r="B164" s="14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14"/>
      <c r="Q164" s="21"/>
      <c r="R164" s="21"/>
      <c r="S164" s="21"/>
      <c r="T164" s="21"/>
      <c r="U164" s="21"/>
      <c r="V164" s="14"/>
      <c r="W164" s="22"/>
      <c r="X164" s="14"/>
      <c r="Y164" s="11" t="str">
        <f>IF(V164="","",IF(X164&lt;&gt;"",IF(X164-V164&lt;30,"No","Sí"),IF(TODAY()-V164&gt;=30,"Sí","En curso")))</f>
        <v/>
      </c>
      <c r="Z164" s="14"/>
      <c r="AA164" s="21"/>
      <c r="AB164" s="14"/>
      <c r="AC164" s="21"/>
      <c r="AD164" s="21"/>
      <c r="AE164" s="7"/>
      <c r="AF164" s="11" t="str">
        <f>IF(OR(AC164&lt;&gt;"Abierto",Z164=""),"",TODAY()-Z164)</f>
        <v/>
      </c>
      <c r="AG164" s="11" t="str">
        <f>IF(AC164&lt;&gt;"Abierto","",IF(AB164="","Sin siguiente acción",IF(AB164&lt;TODAY(),"Vencido",IF(AB164=TODAY(),"Hoy","En tiempo"))))</f>
        <v/>
      </c>
      <c r="AH164" s="11" t="str">
        <f>IF(OR(B164="",V164=""),"",V164-B164)</f>
        <v/>
      </c>
      <c r="AI164" s="16" t="str">
        <f>IF(P164="","",P164-WEEKDAY(P164,3))</f>
        <v/>
      </c>
      <c r="AJ164" s="23" t="str">
        <f>IF(P164="","",DATE(YEAR(P164),MONTH(P164),1))</f>
        <v/>
      </c>
    </row>
    <row r="165">
      <c r="A165" s="21"/>
      <c r="B165" s="14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14"/>
      <c r="Q165" s="21"/>
      <c r="R165" s="21"/>
      <c r="S165" s="21"/>
      <c r="T165" s="21"/>
      <c r="U165" s="21"/>
      <c r="V165" s="14"/>
      <c r="W165" s="22"/>
      <c r="X165" s="14"/>
      <c r="Y165" s="11" t="str">
        <f>IF(V165="","",IF(X165&lt;&gt;"",IF(X165-V165&lt;30,"No","Sí"),IF(TODAY()-V165&gt;=30,"Sí","En curso")))</f>
        <v/>
      </c>
      <c r="Z165" s="14"/>
      <c r="AA165" s="21"/>
      <c r="AB165" s="14"/>
      <c r="AC165" s="21"/>
      <c r="AD165" s="21"/>
      <c r="AE165" s="7"/>
      <c r="AF165" s="11" t="str">
        <f>IF(OR(AC165&lt;&gt;"Abierto",Z165=""),"",TODAY()-Z165)</f>
        <v/>
      </c>
      <c r="AG165" s="11" t="str">
        <f>IF(AC165&lt;&gt;"Abierto","",IF(AB165="","Sin siguiente acción",IF(AB165&lt;TODAY(),"Vencido",IF(AB165=TODAY(),"Hoy","En tiempo"))))</f>
        <v/>
      </c>
      <c r="AH165" s="11" t="str">
        <f>IF(OR(B165="",V165=""),"",V165-B165)</f>
        <v/>
      </c>
      <c r="AI165" s="16" t="str">
        <f>IF(P165="","",P165-WEEKDAY(P165,3))</f>
        <v/>
      </c>
      <c r="AJ165" s="23" t="str">
        <f>IF(P165="","",DATE(YEAR(P165),MONTH(P165),1))</f>
        <v/>
      </c>
    </row>
    <row r="166">
      <c r="A166" s="21"/>
      <c r="B166" s="14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14"/>
      <c r="Q166" s="21"/>
      <c r="R166" s="21"/>
      <c r="S166" s="21"/>
      <c r="T166" s="21"/>
      <c r="U166" s="21"/>
      <c r="V166" s="14"/>
      <c r="W166" s="22"/>
      <c r="X166" s="14"/>
      <c r="Y166" s="11" t="str">
        <f>IF(V166="","",IF(X166&lt;&gt;"",IF(X166-V166&lt;30,"No","Sí"),IF(TODAY()-V166&gt;=30,"Sí","En curso")))</f>
        <v/>
      </c>
      <c r="Z166" s="14"/>
      <c r="AA166" s="21"/>
      <c r="AB166" s="14"/>
      <c r="AC166" s="21"/>
      <c r="AD166" s="21"/>
      <c r="AE166" s="7"/>
      <c r="AF166" s="11" t="str">
        <f>IF(OR(AC166&lt;&gt;"Abierto",Z166=""),"",TODAY()-Z166)</f>
        <v/>
      </c>
      <c r="AG166" s="11" t="str">
        <f>IF(AC166&lt;&gt;"Abierto","",IF(AB166="","Sin siguiente acción",IF(AB166&lt;TODAY(),"Vencido",IF(AB166=TODAY(),"Hoy","En tiempo"))))</f>
        <v/>
      </c>
      <c r="AH166" s="11" t="str">
        <f>IF(OR(B166="",V166=""),"",V166-B166)</f>
        <v/>
      </c>
      <c r="AI166" s="16" t="str">
        <f>IF(P166="","",P166-WEEKDAY(P166,3))</f>
        <v/>
      </c>
      <c r="AJ166" s="23" t="str">
        <f>IF(P166="","",DATE(YEAR(P166),MONTH(P166),1))</f>
        <v/>
      </c>
    </row>
    <row r="167">
      <c r="A167" s="21"/>
      <c r="B167" s="14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14"/>
      <c r="Q167" s="21"/>
      <c r="R167" s="21"/>
      <c r="S167" s="21"/>
      <c r="T167" s="21"/>
      <c r="U167" s="21"/>
      <c r="V167" s="14"/>
      <c r="W167" s="22"/>
      <c r="X167" s="14"/>
      <c r="Y167" s="11" t="str">
        <f>IF(V167="","",IF(X167&lt;&gt;"",IF(X167-V167&lt;30,"No","Sí"),IF(TODAY()-V167&gt;=30,"Sí","En curso")))</f>
        <v/>
      </c>
      <c r="Z167" s="14"/>
      <c r="AA167" s="21"/>
      <c r="AB167" s="14"/>
      <c r="AC167" s="21"/>
      <c r="AD167" s="21"/>
      <c r="AE167" s="7"/>
      <c r="AF167" s="11" t="str">
        <f>IF(OR(AC167&lt;&gt;"Abierto",Z167=""),"",TODAY()-Z167)</f>
        <v/>
      </c>
      <c r="AG167" s="11" t="str">
        <f>IF(AC167&lt;&gt;"Abierto","",IF(AB167="","Sin siguiente acción",IF(AB167&lt;TODAY(),"Vencido",IF(AB167=TODAY(),"Hoy","En tiempo"))))</f>
        <v/>
      </c>
      <c r="AH167" s="11" t="str">
        <f>IF(OR(B167="",V167=""),"",V167-B167)</f>
        <v/>
      </c>
      <c r="AI167" s="16" t="str">
        <f>IF(P167="","",P167-WEEKDAY(P167,3))</f>
        <v/>
      </c>
      <c r="AJ167" s="23" t="str">
        <f>IF(P167="","",DATE(YEAR(P167),MONTH(P167),1))</f>
        <v/>
      </c>
    </row>
    <row r="168">
      <c r="A168" s="21"/>
      <c r="B168" s="14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14"/>
      <c r="Q168" s="21"/>
      <c r="R168" s="21"/>
      <c r="S168" s="21"/>
      <c r="T168" s="21"/>
      <c r="U168" s="21"/>
      <c r="V168" s="14"/>
      <c r="W168" s="22"/>
      <c r="X168" s="14"/>
      <c r="Y168" s="11" t="str">
        <f>IF(V168="","",IF(X168&lt;&gt;"",IF(X168-V168&lt;30,"No","Sí"),IF(TODAY()-V168&gt;=30,"Sí","En curso")))</f>
        <v/>
      </c>
      <c r="Z168" s="14"/>
      <c r="AA168" s="21"/>
      <c r="AB168" s="14"/>
      <c r="AC168" s="21"/>
      <c r="AD168" s="21"/>
      <c r="AE168" s="7"/>
      <c r="AF168" s="11" t="str">
        <f>IF(OR(AC168&lt;&gt;"Abierto",Z168=""),"",TODAY()-Z168)</f>
        <v/>
      </c>
      <c r="AG168" s="11" t="str">
        <f>IF(AC168&lt;&gt;"Abierto","",IF(AB168="","Sin siguiente acción",IF(AB168&lt;TODAY(),"Vencido",IF(AB168=TODAY(),"Hoy","En tiempo"))))</f>
        <v/>
      </c>
      <c r="AH168" s="11" t="str">
        <f>IF(OR(B168="",V168=""),"",V168-B168)</f>
        <v/>
      </c>
      <c r="AI168" s="16" t="str">
        <f>IF(P168="","",P168-WEEKDAY(P168,3))</f>
        <v/>
      </c>
      <c r="AJ168" s="23" t="str">
        <f>IF(P168="","",DATE(YEAR(P168),MONTH(P168),1))</f>
        <v/>
      </c>
    </row>
    <row r="169">
      <c r="A169" s="21"/>
      <c r="B169" s="14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14"/>
      <c r="Q169" s="21"/>
      <c r="R169" s="21"/>
      <c r="S169" s="21"/>
      <c r="T169" s="21"/>
      <c r="U169" s="21"/>
      <c r="V169" s="14"/>
      <c r="W169" s="22"/>
      <c r="X169" s="14"/>
      <c r="Y169" s="11" t="str">
        <f>IF(V169="","",IF(X169&lt;&gt;"",IF(X169-V169&lt;30,"No","Sí"),IF(TODAY()-V169&gt;=30,"Sí","En curso")))</f>
        <v/>
      </c>
      <c r="Z169" s="14"/>
      <c r="AA169" s="21"/>
      <c r="AB169" s="14"/>
      <c r="AC169" s="21"/>
      <c r="AD169" s="21"/>
      <c r="AE169" s="7"/>
      <c r="AF169" s="11" t="str">
        <f>IF(OR(AC169&lt;&gt;"Abierto",Z169=""),"",TODAY()-Z169)</f>
        <v/>
      </c>
      <c r="AG169" s="11" t="str">
        <f>IF(AC169&lt;&gt;"Abierto","",IF(AB169="","Sin siguiente acción",IF(AB169&lt;TODAY(),"Vencido",IF(AB169=TODAY(),"Hoy","En tiempo"))))</f>
        <v/>
      </c>
      <c r="AH169" s="11" t="str">
        <f>IF(OR(B169="",V169=""),"",V169-B169)</f>
        <v/>
      </c>
      <c r="AI169" s="16" t="str">
        <f>IF(P169="","",P169-WEEKDAY(P169,3))</f>
        <v/>
      </c>
      <c r="AJ169" s="23" t="str">
        <f>IF(P169="","",DATE(YEAR(P169),MONTH(P169),1))</f>
        <v/>
      </c>
    </row>
    <row r="170">
      <c r="A170" s="21"/>
      <c r="B170" s="14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14"/>
      <c r="Q170" s="21"/>
      <c r="R170" s="21"/>
      <c r="S170" s="21"/>
      <c r="T170" s="21"/>
      <c r="U170" s="21"/>
      <c r="V170" s="14"/>
      <c r="W170" s="22"/>
      <c r="X170" s="14"/>
      <c r="Y170" s="11" t="str">
        <f>IF(V170="","",IF(X170&lt;&gt;"",IF(X170-V170&lt;30,"No","Sí"),IF(TODAY()-V170&gt;=30,"Sí","En curso")))</f>
        <v/>
      </c>
      <c r="Z170" s="14"/>
      <c r="AA170" s="21"/>
      <c r="AB170" s="14"/>
      <c r="AC170" s="21"/>
      <c r="AD170" s="21"/>
      <c r="AE170" s="7"/>
      <c r="AF170" s="11" t="str">
        <f>IF(OR(AC170&lt;&gt;"Abierto",Z170=""),"",TODAY()-Z170)</f>
        <v/>
      </c>
      <c r="AG170" s="11" t="str">
        <f>IF(AC170&lt;&gt;"Abierto","",IF(AB170="","Sin siguiente acción",IF(AB170&lt;TODAY(),"Vencido",IF(AB170=TODAY(),"Hoy","En tiempo"))))</f>
        <v/>
      </c>
      <c r="AH170" s="11" t="str">
        <f>IF(OR(B170="",V170=""),"",V170-B170)</f>
        <v/>
      </c>
      <c r="AI170" s="16" t="str">
        <f>IF(P170="","",P170-WEEKDAY(P170,3))</f>
        <v/>
      </c>
      <c r="AJ170" s="23" t="str">
        <f>IF(P170="","",DATE(YEAR(P170),MONTH(P170),1))</f>
        <v/>
      </c>
    </row>
    <row r="171">
      <c r="A171" s="21"/>
      <c r="B171" s="14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14"/>
      <c r="Q171" s="21"/>
      <c r="R171" s="21"/>
      <c r="S171" s="21"/>
      <c r="T171" s="21"/>
      <c r="U171" s="21"/>
      <c r="V171" s="14"/>
      <c r="W171" s="22"/>
      <c r="X171" s="14"/>
      <c r="Y171" s="11" t="str">
        <f>IF(V171="","",IF(X171&lt;&gt;"",IF(X171-V171&lt;30,"No","Sí"),IF(TODAY()-V171&gt;=30,"Sí","En curso")))</f>
        <v/>
      </c>
      <c r="Z171" s="14"/>
      <c r="AA171" s="21"/>
      <c r="AB171" s="14"/>
      <c r="AC171" s="21"/>
      <c r="AD171" s="21"/>
      <c r="AE171" s="7"/>
      <c r="AF171" s="11" t="str">
        <f>IF(OR(AC171&lt;&gt;"Abierto",Z171=""),"",TODAY()-Z171)</f>
        <v/>
      </c>
      <c r="AG171" s="11" t="str">
        <f>IF(AC171&lt;&gt;"Abierto","",IF(AB171="","Sin siguiente acción",IF(AB171&lt;TODAY(),"Vencido",IF(AB171=TODAY(),"Hoy","En tiempo"))))</f>
        <v/>
      </c>
      <c r="AH171" s="11" t="str">
        <f>IF(OR(B171="",V171=""),"",V171-B171)</f>
        <v/>
      </c>
      <c r="AI171" s="16" t="str">
        <f>IF(P171="","",P171-WEEKDAY(P171,3))</f>
        <v/>
      </c>
      <c r="AJ171" s="23" t="str">
        <f>IF(P171="","",DATE(YEAR(P171),MONTH(P171),1))</f>
        <v/>
      </c>
    </row>
    <row r="172">
      <c r="A172" s="21"/>
      <c r="B172" s="14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14"/>
      <c r="Q172" s="21"/>
      <c r="R172" s="21"/>
      <c r="S172" s="21"/>
      <c r="T172" s="21"/>
      <c r="U172" s="21"/>
      <c r="V172" s="14"/>
      <c r="W172" s="22"/>
      <c r="X172" s="14"/>
      <c r="Y172" s="11" t="str">
        <f>IF(V172="","",IF(X172&lt;&gt;"",IF(X172-V172&lt;30,"No","Sí"),IF(TODAY()-V172&gt;=30,"Sí","En curso")))</f>
        <v/>
      </c>
      <c r="Z172" s="14"/>
      <c r="AA172" s="21"/>
      <c r="AB172" s="14"/>
      <c r="AC172" s="21"/>
      <c r="AD172" s="21"/>
      <c r="AE172" s="7"/>
      <c r="AF172" s="11" t="str">
        <f>IF(OR(AC172&lt;&gt;"Abierto",Z172=""),"",TODAY()-Z172)</f>
        <v/>
      </c>
      <c r="AG172" s="11" t="str">
        <f>IF(AC172&lt;&gt;"Abierto","",IF(AB172="","Sin siguiente acción",IF(AB172&lt;TODAY(),"Vencido",IF(AB172=TODAY(),"Hoy","En tiempo"))))</f>
        <v/>
      </c>
      <c r="AH172" s="11" t="str">
        <f>IF(OR(B172="",V172=""),"",V172-B172)</f>
        <v/>
      </c>
      <c r="AI172" s="16" t="str">
        <f>IF(P172="","",P172-WEEKDAY(P172,3))</f>
        <v/>
      </c>
      <c r="AJ172" s="23" t="str">
        <f>IF(P172="","",DATE(YEAR(P172),MONTH(P172),1))</f>
        <v/>
      </c>
    </row>
    <row r="173">
      <c r="A173" s="21"/>
      <c r="B173" s="14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14"/>
      <c r="Q173" s="21"/>
      <c r="R173" s="21"/>
      <c r="S173" s="21"/>
      <c r="T173" s="21"/>
      <c r="U173" s="21"/>
      <c r="V173" s="14"/>
      <c r="W173" s="22"/>
      <c r="X173" s="14"/>
      <c r="Y173" s="11" t="str">
        <f>IF(V173="","",IF(X173&lt;&gt;"",IF(X173-V173&lt;30,"No","Sí"),IF(TODAY()-V173&gt;=30,"Sí","En curso")))</f>
        <v/>
      </c>
      <c r="Z173" s="14"/>
      <c r="AA173" s="21"/>
      <c r="AB173" s="14"/>
      <c r="AC173" s="21"/>
      <c r="AD173" s="21"/>
      <c r="AE173" s="7"/>
      <c r="AF173" s="11" t="str">
        <f>IF(OR(AC173&lt;&gt;"Abierto",Z173=""),"",TODAY()-Z173)</f>
        <v/>
      </c>
      <c r="AG173" s="11" t="str">
        <f>IF(AC173&lt;&gt;"Abierto","",IF(AB173="","Sin siguiente acción",IF(AB173&lt;TODAY(),"Vencido",IF(AB173=TODAY(),"Hoy","En tiempo"))))</f>
        <v/>
      </c>
      <c r="AH173" s="11" t="str">
        <f>IF(OR(B173="",V173=""),"",V173-B173)</f>
        <v/>
      </c>
      <c r="AI173" s="16" t="str">
        <f>IF(P173="","",P173-WEEKDAY(P173,3))</f>
        <v/>
      </c>
      <c r="AJ173" s="23" t="str">
        <f>IF(P173="","",DATE(YEAR(P173),MONTH(P173),1))</f>
        <v/>
      </c>
    </row>
    <row r="174">
      <c r="A174" s="21"/>
      <c r="B174" s="14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14"/>
      <c r="Q174" s="21"/>
      <c r="R174" s="21"/>
      <c r="S174" s="21"/>
      <c r="T174" s="21"/>
      <c r="U174" s="21"/>
      <c r="V174" s="14"/>
      <c r="W174" s="22"/>
      <c r="X174" s="14"/>
      <c r="Y174" s="11" t="str">
        <f>IF(V174="","",IF(X174&lt;&gt;"",IF(X174-V174&lt;30,"No","Sí"),IF(TODAY()-V174&gt;=30,"Sí","En curso")))</f>
        <v/>
      </c>
      <c r="Z174" s="14"/>
      <c r="AA174" s="21"/>
      <c r="AB174" s="14"/>
      <c r="AC174" s="21"/>
      <c r="AD174" s="21"/>
      <c r="AE174" s="7"/>
      <c r="AF174" s="11" t="str">
        <f>IF(OR(AC174&lt;&gt;"Abierto",Z174=""),"",TODAY()-Z174)</f>
        <v/>
      </c>
      <c r="AG174" s="11" t="str">
        <f>IF(AC174&lt;&gt;"Abierto","",IF(AB174="","Sin siguiente acción",IF(AB174&lt;TODAY(),"Vencido",IF(AB174=TODAY(),"Hoy","En tiempo"))))</f>
        <v/>
      </c>
      <c r="AH174" s="11" t="str">
        <f>IF(OR(B174="",V174=""),"",V174-B174)</f>
        <v/>
      </c>
      <c r="AI174" s="16" t="str">
        <f>IF(P174="","",P174-WEEKDAY(P174,3))</f>
        <v/>
      </c>
      <c r="AJ174" s="23" t="str">
        <f>IF(P174="","",DATE(YEAR(P174),MONTH(P174),1))</f>
        <v/>
      </c>
    </row>
    <row r="175">
      <c r="A175" s="21"/>
      <c r="B175" s="14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14"/>
      <c r="Q175" s="21"/>
      <c r="R175" s="21"/>
      <c r="S175" s="21"/>
      <c r="T175" s="21"/>
      <c r="U175" s="21"/>
      <c r="V175" s="14"/>
      <c r="W175" s="22"/>
      <c r="X175" s="14"/>
      <c r="Y175" s="11" t="str">
        <f>IF(V175="","",IF(X175&lt;&gt;"",IF(X175-V175&lt;30,"No","Sí"),IF(TODAY()-V175&gt;=30,"Sí","En curso")))</f>
        <v/>
      </c>
      <c r="Z175" s="14"/>
      <c r="AA175" s="21"/>
      <c r="AB175" s="14"/>
      <c r="AC175" s="21"/>
      <c r="AD175" s="21"/>
      <c r="AE175" s="7"/>
      <c r="AF175" s="11" t="str">
        <f>IF(OR(AC175&lt;&gt;"Abierto",Z175=""),"",TODAY()-Z175)</f>
        <v/>
      </c>
      <c r="AG175" s="11" t="str">
        <f>IF(AC175&lt;&gt;"Abierto","",IF(AB175="","Sin siguiente acción",IF(AB175&lt;TODAY(),"Vencido",IF(AB175=TODAY(),"Hoy","En tiempo"))))</f>
        <v/>
      </c>
      <c r="AH175" s="11" t="str">
        <f>IF(OR(B175="",V175=""),"",V175-B175)</f>
        <v/>
      </c>
      <c r="AI175" s="16" t="str">
        <f>IF(P175="","",P175-WEEKDAY(P175,3))</f>
        <v/>
      </c>
      <c r="AJ175" s="23" t="str">
        <f>IF(P175="","",DATE(YEAR(P175),MONTH(P175),1))</f>
        <v/>
      </c>
    </row>
    <row r="176">
      <c r="A176" s="21"/>
      <c r="B176" s="14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14"/>
      <c r="Q176" s="21"/>
      <c r="R176" s="21"/>
      <c r="S176" s="21"/>
      <c r="T176" s="21"/>
      <c r="U176" s="21"/>
      <c r="V176" s="14"/>
      <c r="W176" s="22"/>
      <c r="X176" s="14"/>
      <c r="Y176" s="11" t="str">
        <f>IF(V176="","",IF(X176&lt;&gt;"",IF(X176-V176&lt;30,"No","Sí"),IF(TODAY()-V176&gt;=30,"Sí","En curso")))</f>
        <v/>
      </c>
      <c r="Z176" s="14"/>
      <c r="AA176" s="21"/>
      <c r="AB176" s="14"/>
      <c r="AC176" s="21"/>
      <c r="AD176" s="21"/>
      <c r="AE176" s="7"/>
      <c r="AF176" s="11" t="str">
        <f>IF(OR(AC176&lt;&gt;"Abierto",Z176=""),"",TODAY()-Z176)</f>
        <v/>
      </c>
      <c r="AG176" s="11" t="str">
        <f>IF(AC176&lt;&gt;"Abierto","",IF(AB176="","Sin siguiente acción",IF(AB176&lt;TODAY(),"Vencido",IF(AB176=TODAY(),"Hoy","En tiempo"))))</f>
        <v/>
      </c>
      <c r="AH176" s="11" t="str">
        <f>IF(OR(B176="",V176=""),"",V176-B176)</f>
        <v/>
      </c>
      <c r="AI176" s="16" t="str">
        <f>IF(P176="","",P176-WEEKDAY(P176,3))</f>
        <v/>
      </c>
      <c r="AJ176" s="23" t="str">
        <f>IF(P176="","",DATE(YEAR(P176),MONTH(P176),1))</f>
        <v/>
      </c>
    </row>
    <row r="177">
      <c r="A177" s="21"/>
      <c r="B177" s="14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14"/>
      <c r="Q177" s="21"/>
      <c r="R177" s="21"/>
      <c r="S177" s="21"/>
      <c r="T177" s="21"/>
      <c r="U177" s="21"/>
      <c r="V177" s="14"/>
      <c r="W177" s="22"/>
      <c r="X177" s="14"/>
      <c r="Y177" s="11" t="str">
        <f>IF(V177="","",IF(X177&lt;&gt;"",IF(X177-V177&lt;30,"No","Sí"),IF(TODAY()-V177&gt;=30,"Sí","En curso")))</f>
        <v/>
      </c>
      <c r="Z177" s="14"/>
      <c r="AA177" s="21"/>
      <c r="AB177" s="14"/>
      <c r="AC177" s="21"/>
      <c r="AD177" s="21"/>
      <c r="AE177" s="7"/>
      <c r="AF177" s="11" t="str">
        <f>IF(OR(AC177&lt;&gt;"Abierto",Z177=""),"",TODAY()-Z177)</f>
        <v/>
      </c>
      <c r="AG177" s="11" t="str">
        <f>IF(AC177&lt;&gt;"Abierto","",IF(AB177="","Sin siguiente acción",IF(AB177&lt;TODAY(),"Vencido",IF(AB177=TODAY(),"Hoy","En tiempo"))))</f>
        <v/>
      </c>
      <c r="AH177" s="11" t="str">
        <f>IF(OR(B177="",V177=""),"",V177-B177)</f>
        <v/>
      </c>
      <c r="AI177" s="16" t="str">
        <f>IF(P177="","",P177-WEEKDAY(P177,3))</f>
        <v/>
      </c>
      <c r="AJ177" s="23" t="str">
        <f>IF(P177="","",DATE(YEAR(P177),MONTH(P177),1))</f>
        <v/>
      </c>
    </row>
    <row r="178">
      <c r="A178" s="21"/>
      <c r="B178" s="14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14"/>
      <c r="Q178" s="21"/>
      <c r="R178" s="21"/>
      <c r="S178" s="21"/>
      <c r="T178" s="21"/>
      <c r="U178" s="21"/>
      <c r="V178" s="14"/>
      <c r="W178" s="22"/>
      <c r="X178" s="14"/>
      <c r="Y178" s="11" t="str">
        <f>IF(V178="","",IF(X178&lt;&gt;"",IF(X178-V178&lt;30,"No","Sí"),IF(TODAY()-V178&gt;=30,"Sí","En curso")))</f>
        <v/>
      </c>
      <c r="Z178" s="14"/>
      <c r="AA178" s="21"/>
      <c r="AB178" s="14"/>
      <c r="AC178" s="21"/>
      <c r="AD178" s="21"/>
      <c r="AE178" s="7"/>
      <c r="AF178" s="11" t="str">
        <f>IF(OR(AC178&lt;&gt;"Abierto",Z178=""),"",TODAY()-Z178)</f>
        <v/>
      </c>
      <c r="AG178" s="11" t="str">
        <f>IF(AC178&lt;&gt;"Abierto","",IF(AB178="","Sin siguiente acción",IF(AB178&lt;TODAY(),"Vencido",IF(AB178=TODAY(),"Hoy","En tiempo"))))</f>
        <v/>
      </c>
      <c r="AH178" s="11" t="str">
        <f>IF(OR(B178="",V178=""),"",V178-B178)</f>
        <v/>
      </c>
      <c r="AI178" s="16" t="str">
        <f>IF(P178="","",P178-WEEKDAY(P178,3))</f>
        <v/>
      </c>
      <c r="AJ178" s="23" t="str">
        <f>IF(P178="","",DATE(YEAR(P178),MONTH(P178),1))</f>
        <v/>
      </c>
    </row>
    <row r="179">
      <c r="A179" s="21"/>
      <c r="B179" s="14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14"/>
      <c r="Q179" s="21"/>
      <c r="R179" s="21"/>
      <c r="S179" s="21"/>
      <c r="T179" s="21"/>
      <c r="U179" s="21"/>
      <c r="V179" s="14"/>
      <c r="W179" s="22"/>
      <c r="X179" s="14"/>
      <c r="Y179" s="11" t="str">
        <f>IF(V179="","",IF(X179&lt;&gt;"",IF(X179-V179&lt;30,"No","Sí"),IF(TODAY()-V179&gt;=30,"Sí","En curso")))</f>
        <v/>
      </c>
      <c r="Z179" s="14"/>
      <c r="AA179" s="21"/>
      <c r="AB179" s="14"/>
      <c r="AC179" s="21"/>
      <c r="AD179" s="21"/>
      <c r="AE179" s="7"/>
      <c r="AF179" s="11" t="str">
        <f>IF(OR(AC179&lt;&gt;"Abierto",Z179=""),"",TODAY()-Z179)</f>
        <v/>
      </c>
      <c r="AG179" s="11" t="str">
        <f>IF(AC179&lt;&gt;"Abierto","",IF(AB179="","Sin siguiente acción",IF(AB179&lt;TODAY(),"Vencido",IF(AB179=TODAY(),"Hoy","En tiempo"))))</f>
        <v/>
      </c>
      <c r="AH179" s="11" t="str">
        <f>IF(OR(B179="",V179=""),"",V179-B179)</f>
        <v/>
      </c>
      <c r="AI179" s="16" t="str">
        <f>IF(P179="","",P179-WEEKDAY(P179,3))</f>
        <v/>
      </c>
      <c r="AJ179" s="23" t="str">
        <f>IF(P179="","",DATE(YEAR(P179),MONTH(P179),1))</f>
        <v/>
      </c>
    </row>
    <row r="180">
      <c r="A180" s="21"/>
      <c r="B180" s="14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14"/>
      <c r="Q180" s="21"/>
      <c r="R180" s="21"/>
      <c r="S180" s="21"/>
      <c r="T180" s="21"/>
      <c r="U180" s="21"/>
      <c r="V180" s="14"/>
      <c r="W180" s="22"/>
      <c r="X180" s="14"/>
      <c r="Y180" s="11" t="str">
        <f>IF(V180="","",IF(X180&lt;&gt;"",IF(X180-V180&lt;30,"No","Sí"),IF(TODAY()-V180&gt;=30,"Sí","En curso")))</f>
        <v/>
      </c>
      <c r="Z180" s="14"/>
      <c r="AA180" s="21"/>
      <c r="AB180" s="14"/>
      <c r="AC180" s="21"/>
      <c r="AD180" s="21"/>
      <c r="AE180" s="7"/>
      <c r="AF180" s="11" t="str">
        <f>IF(OR(AC180&lt;&gt;"Abierto",Z180=""),"",TODAY()-Z180)</f>
        <v/>
      </c>
      <c r="AG180" s="11" t="str">
        <f>IF(AC180&lt;&gt;"Abierto","",IF(AB180="","Sin siguiente acción",IF(AB180&lt;TODAY(),"Vencido",IF(AB180=TODAY(),"Hoy","En tiempo"))))</f>
        <v/>
      </c>
      <c r="AH180" s="11" t="str">
        <f>IF(OR(B180="",V180=""),"",V180-B180)</f>
        <v/>
      </c>
      <c r="AI180" s="16" t="str">
        <f>IF(P180="","",P180-WEEKDAY(P180,3))</f>
        <v/>
      </c>
      <c r="AJ180" s="23" t="str">
        <f>IF(P180="","",DATE(YEAR(P180),MONTH(P180),1))</f>
        <v/>
      </c>
    </row>
    <row r="181">
      <c r="A181" s="21"/>
      <c r="B181" s="14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14"/>
      <c r="Q181" s="21"/>
      <c r="R181" s="21"/>
      <c r="S181" s="21"/>
      <c r="T181" s="21"/>
      <c r="U181" s="21"/>
      <c r="V181" s="14"/>
      <c r="W181" s="22"/>
      <c r="X181" s="14"/>
      <c r="Y181" s="11" t="str">
        <f>IF(V181="","",IF(X181&lt;&gt;"",IF(X181-V181&lt;30,"No","Sí"),IF(TODAY()-V181&gt;=30,"Sí","En curso")))</f>
        <v/>
      </c>
      <c r="Z181" s="14"/>
      <c r="AA181" s="21"/>
      <c r="AB181" s="14"/>
      <c r="AC181" s="21"/>
      <c r="AD181" s="21"/>
      <c r="AE181" s="7"/>
      <c r="AF181" s="11" t="str">
        <f>IF(OR(AC181&lt;&gt;"Abierto",Z181=""),"",TODAY()-Z181)</f>
        <v/>
      </c>
      <c r="AG181" s="11" t="str">
        <f>IF(AC181&lt;&gt;"Abierto","",IF(AB181="","Sin siguiente acción",IF(AB181&lt;TODAY(),"Vencido",IF(AB181=TODAY(),"Hoy","En tiempo"))))</f>
        <v/>
      </c>
      <c r="AH181" s="11" t="str">
        <f>IF(OR(B181="",V181=""),"",V181-B181)</f>
        <v/>
      </c>
      <c r="AI181" s="16" t="str">
        <f>IF(P181="","",P181-WEEKDAY(P181,3))</f>
        <v/>
      </c>
      <c r="AJ181" s="23" t="str">
        <f>IF(P181="","",DATE(YEAR(P181),MONTH(P181),1))</f>
        <v/>
      </c>
    </row>
    <row r="182">
      <c r="A182" s="21"/>
      <c r="B182" s="14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14"/>
      <c r="Q182" s="21"/>
      <c r="R182" s="21"/>
      <c r="S182" s="21"/>
      <c r="T182" s="21"/>
      <c r="U182" s="21"/>
      <c r="V182" s="14"/>
      <c r="W182" s="22"/>
      <c r="X182" s="14"/>
      <c r="Y182" s="11" t="str">
        <f>IF(V182="","",IF(X182&lt;&gt;"",IF(X182-V182&lt;30,"No","Sí"),IF(TODAY()-V182&gt;=30,"Sí","En curso")))</f>
        <v/>
      </c>
      <c r="Z182" s="14"/>
      <c r="AA182" s="21"/>
      <c r="AB182" s="14"/>
      <c r="AC182" s="21"/>
      <c r="AD182" s="21"/>
      <c r="AE182" s="7"/>
      <c r="AF182" s="11" t="str">
        <f>IF(OR(AC182&lt;&gt;"Abierto",Z182=""),"",TODAY()-Z182)</f>
        <v/>
      </c>
      <c r="AG182" s="11" t="str">
        <f>IF(AC182&lt;&gt;"Abierto","",IF(AB182="","Sin siguiente acción",IF(AB182&lt;TODAY(),"Vencido",IF(AB182=TODAY(),"Hoy","En tiempo"))))</f>
        <v/>
      </c>
      <c r="AH182" s="11" t="str">
        <f>IF(OR(B182="",V182=""),"",V182-B182)</f>
        <v/>
      </c>
      <c r="AI182" s="16" t="str">
        <f>IF(P182="","",P182-WEEKDAY(P182,3))</f>
        <v/>
      </c>
      <c r="AJ182" s="23" t="str">
        <f>IF(P182="","",DATE(YEAR(P182),MONTH(P182),1))</f>
        <v/>
      </c>
    </row>
    <row r="183">
      <c r="A183" s="21"/>
      <c r="B183" s="14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14"/>
      <c r="Q183" s="21"/>
      <c r="R183" s="21"/>
      <c r="S183" s="21"/>
      <c r="T183" s="21"/>
      <c r="U183" s="21"/>
      <c r="V183" s="14"/>
      <c r="W183" s="22"/>
      <c r="X183" s="14"/>
      <c r="Y183" s="11" t="str">
        <f>IF(V183="","",IF(X183&lt;&gt;"",IF(X183-V183&lt;30,"No","Sí"),IF(TODAY()-V183&gt;=30,"Sí","En curso")))</f>
        <v/>
      </c>
      <c r="Z183" s="14"/>
      <c r="AA183" s="21"/>
      <c r="AB183" s="14"/>
      <c r="AC183" s="21"/>
      <c r="AD183" s="21"/>
      <c r="AE183" s="7"/>
      <c r="AF183" s="11" t="str">
        <f>IF(OR(AC183&lt;&gt;"Abierto",Z183=""),"",TODAY()-Z183)</f>
        <v/>
      </c>
      <c r="AG183" s="11" t="str">
        <f>IF(AC183&lt;&gt;"Abierto","",IF(AB183="","Sin siguiente acción",IF(AB183&lt;TODAY(),"Vencido",IF(AB183=TODAY(),"Hoy","En tiempo"))))</f>
        <v/>
      </c>
      <c r="AH183" s="11" t="str">
        <f>IF(OR(B183="",V183=""),"",V183-B183)</f>
        <v/>
      </c>
      <c r="AI183" s="16" t="str">
        <f>IF(P183="","",P183-WEEKDAY(P183,3))</f>
        <v/>
      </c>
      <c r="AJ183" s="23" t="str">
        <f>IF(P183="","",DATE(YEAR(P183),MONTH(P183),1))</f>
        <v/>
      </c>
    </row>
    <row r="184">
      <c r="A184" s="21"/>
      <c r="B184" s="14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14"/>
      <c r="Q184" s="21"/>
      <c r="R184" s="21"/>
      <c r="S184" s="21"/>
      <c r="T184" s="21"/>
      <c r="U184" s="21"/>
      <c r="V184" s="14"/>
      <c r="W184" s="22"/>
      <c r="X184" s="14"/>
      <c r="Y184" s="11" t="str">
        <f>IF(V184="","",IF(X184&lt;&gt;"",IF(X184-V184&lt;30,"No","Sí"),IF(TODAY()-V184&gt;=30,"Sí","En curso")))</f>
        <v/>
      </c>
      <c r="Z184" s="14"/>
      <c r="AA184" s="21"/>
      <c r="AB184" s="14"/>
      <c r="AC184" s="21"/>
      <c r="AD184" s="21"/>
      <c r="AE184" s="7"/>
      <c r="AF184" s="11" t="str">
        <f>IF(OR(AC184&lt;&gt;"Abierto",Z184=""),"",TODAY()-Z184)</f>
        <v/>
      </c>
      <c r="AG184" s="11" t="str">
        <f>IF(AC184&lt;&gt;"Abierto","",IF(AB184="","Sin siguiente acción",IF(AB184&lt;TODAY(),"Vencido",IF(AB184=TODAY(),"Hoy","En tiempo"))))</f>
        <v/>
      </c>
      <c r="AH184" s="11" t="str">
        <f>IF(OR(B184="",V184=""),"",V184-B184)</f>
        <v/>
      </c>
      <c r="AI184" s="16" t="str">
        <f>IF(P184="","",P184-WEEKDAY(P184,3))</f>
        <v/>
      </c>
      <c r="AJ184" s="23" t="str">
        <f>IF(P184="","",DATE(YEAR(P184),MONTH(P184),1))</f>
        <v/>
      </c>
    </row>
    <row r="185">
      <c r="A185" s="21"/>
      <c r="B185" s="14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14"/>
      <c r="Q185" s="21"/>
      <c r="R185" s="21"/>
      <c r="S185" s="21"/>
      <c r="T185" s="21"/>
      <c r="U185" s="21"/>
      <c r="V185" s="14"/>
      <c r="W185" s="22"/>
      <c r="X185" s="14"/>
      <c r="Y185" s="11" t="str">
        <f>IF(V185="","",IF(X185&lt;&gt;"",IF(X185-V185&lt;30,"No","Sí"),IF(TODAY()-V185&gt;=30,"Sí","En curso")))</f>
        <v/>
      </c>
      <c r="Z185" s="14"/>
      <c r="AA185" s="21"/>
      <c r="AB185" s="14"/>
      <c r="AC185" s="21"/>
      <c r="AD185" s="21"/>
      <c r="AE185" s="7"/>
      <c r="AF185" s="11" t="str">
        <f>IF(OR(AC185&lt;&gt;"Abierto",Z185=""),"",TODAY()-Z185)</f>
        <v/>
      </c>
      <c r="AG185" s="11" t="str">
        <f>IF(AC185&lt;&gt;"Abierto","",IF(AB185="","Sin siguiente acción",IF(AB185&lt;TODAY(),"Vencido",IF(AB185=TODAY(),"Hoy","En tiempo"))))</f>
        <v/>
      </c>
      <c r="AH185" s="11" t="str">
        <f>IF(OR(B185="",V185=""),"",V185-B185)</f>
        <v/>
      </c>
      <c r="AI185" s="16" t="str">
        <f>IF(P185="","",P185-WEEKDAY(P185,3))</f>
        <v/>
      </c>
      <c r="AJ185" s="23" t="str">
        <f>IF(P185="","",DATE(YEAR(P185),MONTH(P185),1))</f>
        <v/>
      </c>
    </row>
    <row r="186">
      <c r="A186" s="21"/>
      <c r="B186" s="14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14"/>
      <c r="Q186" s="21"/>
      <c r="R186" s="21"/>
      <c r="S186" s="21"/>
      <c r="T186" s="21"/>
      <c r="U186" s="21"/>
      <c r="V186" s="14"/>
      <c r="W186" s="22"/>
      <c r="X186" s="14"/>
      <c r="Y186" s="11" t="str">
        <f>IF(V186="","",IF(X186&lt;&gt;"",IF(X186-V186&lt;30,"No","Sí"),IF(TODAY()-V186&gt;=30,"Sí","En curso")))</f>
        <v/>
      </c>
      <c r="Z186" s="14"/>
      <c r="AA186" s="21"/>
      <c r="AB186" s="14"/>
      <c r="AC186" s="21"/>
      <c r="AD186" s="21"/>
      <c r="AE186" s="7"/>
      <c r="AF186" s="11" t="str">
        <f>IF(OR(AC186&lt;&gt;"Abierto",Z186=""),"",TODAY()-Z186)</f>
        <v/>
      </c>
      <c r="AG186" s="11" t="str">
        <f>IF(AC186&lt;&gt;"Abierto","",IF(AB186="","Sin siguiente acción",IF(AB186&lt;TODAY(),"Vencido",IF(AB186=TODAY(),"Hoy","En tiempo"))))</f>
        <v/>
      </c>
      <c r="AH186" s="11" t="str">
        <f>IF(OR(B186="",V186=""),"",V186-B186)</f>
        <v/>
      </c>
      <c r="AI186" s="16" t="str">
        <f>IF(P186="","",P186-WEEKDAY(P186,3))</f>
        <v/>
      </c>
      <c r="AJ186" s="23" t="str">
        <f>IF(P186="","",DATE(YEAR(P186),MONTH(P186),1))</f>
        <v/>
      </c>
    </row>
    <row r="187">
      <c r="A187" s="21"/>
      <c r="B187" s="14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14"/>
      <c r="Q187" s="21"/>
      <c r="R187" s="21"/>
      <c r="S187" s="21"/>
      <c r="T187" s="21"/>
      <c r="U187" s="21"/>
      <c r="V187" s="14"/>
      <c r="W187" s="22"/>
      <c r="X187" s="14"/>
      <c r="Y187" s="11" t="str">
        <f>IF(V187="","",IF(X187&lt;&gt;"",IF(X187-V187&lt;30,"No","Sí"),IF(TODAY()-V187&gt;=30,"Sí","En curso")))</f>
        <v/>
      </c>
      <c r="Z187" s="14"/>
      <c r="AA187" s="21"/>
      <c r="AB187" s="14"/>
      <c r="AC187" s="21"/>
      <c r="AD187" s="21"/>
      <c r="AE187" s="7"/>
      <c r="AF187" s="11" t="str">
        <f>IF(OR(AC187&lt;&gt;"Abierto",Z187=""),"",TODAY()-Z187)</f>
        <v/>
      </c>
      <c r="AG187" s="11" t="str">
        <f>IF(AC187&lt;&gt;"Abierto","",IF(AB187="","Sin siguiente acción",IF(AB187&lt;TODAY(),"Vencido",IF(AB187=TODAY(),"Hoy","En tiempo"))))</f>
        <v/>
      </c>
      <c r="AH187" s="11" t="str">
        <f>IF(OR(B187="",V187=""),"",V187-B187)</f>
        <v/>
      </c>
      <c r="AI187" s="16" t="str">
        <f>IF(P187="","",P187-WEEKDAY(P187,3))</f>
        <v/>
      </c>
      <c r="AJ187" s="23" t="str">
        <f>IF(P187="","",DATE(YEAR(P187),MONTH(P187),1))</f>
        <v/>
      </c>
    </row>
    <row r="188">
      <c r="A188" s="21"/>
      <c r="B188" s="14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14"/>
      <c r="Q188" s="21"/>
      <c r="R188" s="21"/>
      <c r="S188" s="21"/>
      <c r="T188" s="21"/>
      <c r="U188" s="21"/>
      <c r="V188" s="14"/>
      <c r="W188" s="22"/>
      <c r="X188" s="14"/>
      <c r="Y188" s="11" t="str">
        <f>IF(V188="","",IF(X188&lt;&gt;"",IF(X188-V188&lt;30,"No","Sí"),IF(TODAY()-V188&gt;=30,"Sí","En curso")))</f>
        <v/>
      </c>
      <c r="Z188" s="14"/>
      <c r="AA188" s="21"/>
      <c r="AB188" s="14"/>
      <c r="AC188" s="21"/>
      <c r="AD188" s="21"/>
      <c r="AE188" s="7"/>
      <c r="AF188" s="11" t="str">
        <f>IF(OR(AC188&lt;&gt;"Abierto",Z188=""),"",TODAY()-Z188)</f>
        <v/>
      </c>
      <c r="AG188" s="11" t="str">
        <f>IF(AC188&lt;&gt;"Abierto","",IF(AB188="","Sin siguiente acción",IF(AB188&lt;TODAY(),"Vencido",IF(AB188=TODAY(),"Hoy","En tiempo"))))</f>
        <v/>
      </c>
      <c r="AH188" s="11" t="str">
        <f>IF(OR(B188="",V188=""),"",V188-B188)</f>
        <v/>
      </c>
      <c r="AI188" s="16" t="str">
        <f>IF(P188="","",P188-WEEKDAY(P188,3))</f>
        <v/>
      </c>
      <c r="AJ188" s="23" t="str">
        <f>IF(P188="","",DATE(YEAR(P188),MONTH(P188),1))</f>
        <v/>
      </c>
    </row>
    <row r="189">
      <c r="A189" s="21"/>
      <c r="B189" s="14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14"/>
      <c r="Q189" s="21"/>
      <c r="R189" s="21"/>
      <c r="S189" s="21"/>
      <c r="T189" s="21"/>
      <c r="U189" s="21"/>
      <c r="V189" s="14"/>
      <c r="W189" s="22"/>
      <c r="X189" s="14"/>
      <c r="Y189" s="11" t="str">
        <f>IF(V189="","",IF(X189&lt;&gt;"",IF(X189-V189&lt;30,"No","Sí"),IF(TODAY()-V189&gt;=30,"Sí","En curso")))</f>
        <v/>
      </c>
      <c r="Z189" s="14"/>
      <c r="AA189" s="21"/>
      <c r="AB189" s="14"/>
      <c r="AC189" s="21"/>
      <c r="AD189" s="21"/>
      <c r="AE189" s="7"/>
      <c r="AF189" s="11" t="str">
        <f>IF(OR(AC189&lt;&gt;"Abierto",Z189=""),"",TODAY()-Z189)</f>
        <v/>
      </c>
      <c r="AG189" s="11" t="str">
        <f>IF(AC189&lt;&gt;"Abierto","",IF(AB189="","Sin siguiente acción",IF(AB189&lt;TODAY(),"Vencido",IF(AB189=TODAY(),"Hoy","En tiempo"))))</f>
        <v/>
      </c>
      <c r="AH189" s="11" t="str">
        <f>IF(OR(B189="",V189=""),"",V189-B189)</f>
        <v/>
      </c>
      <c r="AI189" s="16" t="str">
        <f>IF(P189="","",P189-WEEKDAY(P189,3))</f>
        <v/>
      </c>
      <c r="AJ189" s="23" t="str">
        <f>IF(P189="","",DATE(YEAR(P189),MONTH(P189),1))</f>
        <v/>
      </c>
    </row>
    <row r="190">
      <c r="A190" s="21"/>
      <c r="B190" s="14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14"/>
      <c r="Q190" s="21"/>
      <c r="R190" s="21"/>
      <c r="S190" s="21"/>
      <c r="T190" s="21"/>
      <c r="U190" s="21"/>
      <c r="V190" s="14"/>
      <c r="W190" s="22"/>
      <c r="X190" s="14"/>
      <c r="Y190" s="11" t="str">
        <f>IF(V190="","",IF(X190&lt;&gt;"",IF(X190-V190&lt;30,"No","Sí"),IF(TODAY()-V190&gt;=30,"Sí","En curso")))</f>
        <v/>
      </c>
      <c r="Z190" s="14"/>
      <c r="AA190" s="21"/>
      <c r="AB190" s="14"/>
      <c r="AC190" s="21"/>
      <c r="AD190" s="21"/>
      <c r="AE190" s="7"/>
      <c r="AF190" s="11" t="str">
        <f>IF(OR(AC190&lt;&gt;"Abierto",Z190=""),"",TODAY()-Z190)</f>
        <v/>
      </c>
      <c r="AG190" s="11" t="str">
        <f>IF(AC190&lt;&gt;"Abierto","",IF(AB190="","Sin siguiente acción",IF(AB190&lt;TODAY(),"Vencido",IF(AB190=TODAY(),"Hoy","En tiempo"))))</f>
        <v/>
      </c>
      <c r="AH190" s="11" t="str">
        <f>IF(OR(B190="",V190=""),"",V190-B190)</f>
        <v/>
      </c>
      <c r="AI190" s="16" t="str">
        <f>IF(P190="","",P190-WEEKDAY(P190,3))</f>
        <v/>
      </c>
      <c r="AJ190" s="23" t="str">
        <f>IF(P190="","",DATE(YEAR(P190),MONTH(P190),1))</f>
        <v/>
      </c>
    </row>
    <row r="191">
      <c r="A191" s="21"/>
      <c r="B191" s="14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14"/>
      <c r="Q191" s="21"/>
      <c r="R191" s="21"/>
      <c r="S191" s="21"/>
      <c r="T191" s="21"/>
      <c r="U191" s="21"/>
      <c r="V191" s="14"/>
      <c r="W191" s="22"/>
      <c r="X191" s="14"/>
      <c r="Y191" s="11" t="str">
        <f>IF(V191="","",IF(X191&lt;&gt;"",IF(X191-V191&lt;30,"No","Sí"),IF(TODAY()-V191&gt;=30,"Sí","En curso")))</f>
        <v/>
      </c>
      <c r="Z191" s="14"/>
      <c r="AA191" s="21"/>
      <c r="AB191" s="14"/>
      <c r="AC191" s="21"/>
      <c r="AD191" s="21"/>
      <c r="AE191" s="7"/>
      <c r="AF191" s="11" t="str">
        <f>IF(OR(AC191&lt;&gt;"Abierto",Z191=""),"",TODAY()-Z191)</f>
        <v/>
      </c>
      <c r="AG191" s="11" t="str">
        <f>IF(AC191&lt;&gt;"Abierto","",IF(AB191="","Sin siguiente acción",IF(AB191&lt;TODAY(),"Vencido",IF(AB191=TODAY(),"Hoy","En tiempo"))))</f>
        <v/>
      </c>
      <c r="AH191" s="11" t="str">
        <f>IF(OR(B191="",V191=""),"",V191-B191)</f>
        <v/>
      </c>
      <c r="AI191" s="16" t="str">
        <f>IF(P191="","",P191-WEEKDAY(P191,3))</f>
        <v/>
      </c>
      <c r="AJ191" s="23" t="str">
        <f>IF(P191="","",DATE(YEAR(P191),MONTH(P191),1))</f>
        <v/>
      </c>
    </row>
    <row r="192">
      <c r="A192" s="21"/>
      <c r="B192" s="14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14"/>
      <c r="Q192" s="21"/>
      <c r="R192" s="21"/>
      <c r="S192" s="21"/>
      <c r="T192" s="21"/>
      <c r="U192" s="21"/>
      <c r="V192" s="14"/>
      <c r="W192" s="22"/>
      <c r="X192" s="14"/>
      <c r="Y192" s="11" t="str">
        <f>IF(V192="","",IF(X192&lt;&gt;"",IF(X192-V192&lt;30,"No","Sí"),IF(TODAY()-V192&gt;=30,"Sí","En curso")))</f>
        <v/>
      </c>
      <c r="Z192" s="14"/>
      <c r="AA192" s="21"/>
      <c r="AB192" s="14"/>
      <c r="AC192" s="21"/>
      <c r="AD192" s="21"/>
      <c r="AE192" s="7"/>
      <c r="AF192" s="11" t="str">
        <f>IF(OR(AC192&lt;&gt;"Abierto",Z192=""),"",TODAY()-Z192)</f>
        <v/>
      </c>
      <c r="AG192" s="11" t="str">
        <f>IF(AC192&lt;&gt;"Abierto","",IF(AB192="","Sin siguiente acción",IF(AB192&lt;TODAY(),"Vencido",IF(AB192=TODAY(),"Hoy","En tiempo"))))</f>
        <v/>
      </c>
      <c r="AH192" s="11" t="str">
        <f>IF(OR(B192="",V192=""),"",V192-B192)</f>
        <v/>
      </c>
      <c r="AI192" s="16" t="str">
        <f>IF(P192="","",P192-WEEKDAY(P192,3))</f>
        <v/>
      </c>
      <c r="AJ192" s="23" t="str">
        <f>IF(P192="","",DATE(YEAR(P192),MONTH(P192),1))</f>
        <v/>
      </c>
    </row>
    <row r="193">
      <c r="A193" s="21"/>
      <c r="B193" s="14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14"/>
      <c r="Q193" s="21"/>
      <c r="R193" s="21"/>
      <c r="S193" s="21"/>
      <c r="T193" s="21"/>
      <c r="U193" s="21"/>
      <c r="V193" s="14"/>
      <c r="W193" s="22"/>
      <c r="X193" s="14"/>
      <c r="Y193" s="11" t="str">
        <f>IF(V193="","",IF(X193&lt;&gt;"",IF(X193-V193&lt;30,"No","Sí"),IF(TODAY()-V193&gt;=30,"Sí","En curso")))</f>
        <v/>
      </c>
      <c r="Z193" s="14"/>
      <c r="AA193" s="21"/>
      <c r="AB193" s="14"/>
      <c r="AC193" s="21"/>
      <c r="AD193" s="21"/>
      <c r="AE193" s="7"/>
      <c r="AF193" s="11" t="str">
        <f>IF(OR(AC193&lt;&gt;"Abierto",Z193=""),"",TODAY()-Z193)</f>
        <v/>
      </c>
      <c r="AG193" s="11" t="str">
        <f>IF(AC193&lt;&gt;"Abierto","",IF(AB193="","Sin siguiente acción",IF(AB193&lt;TODAY(),"Vencido",IF(AB193=TODAY(),"Hoy","En tiempo"))))</f>
        <v/>
      </c>
      <c r="AH193" s="11" t="str">
        <f>IF(OR(B193="",V193=""),"",V193-B193)</f>
        <v/>
      </c>
      <c r="AI193" s="16" t="str">
        <f>IF(P193="","",P193-WEEKDAY(P193,3))</f>
        <v/>
      </c>
      <c r="AJ193" s="23" t="str">
        <f>IF(P193="","",DATE(YEAR(P193),MONTH(P193),1))</f>
        <v/>
      </c>
    </row>
    <row r="194">
      <c r="A194" s="21"/>
      <c r="B194" s="14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14"/>
      <c r="Q194" s="21"/>
      <c r="R194" s="21"/>
      <c r="S194" s="21"/>
      <c r="T194" s="21"/>
      <c r="U194" s="21"/>
      <c r="V194" s="14"/>
      <c r="W194" s="22"/>
      <c r="X194" s="14"/>
      <c r="Y194" s="11" t="str">
        <f>IF(V194="","",IF(X194&lt;&gt;"",IF(X194-V194&lt;30,"No","Sí"),IF(TODAY()-V194&gt;=30,"Sí","En curso")))</f>
        <v/>
      </c>
      <c r="Z194" s="14"/>
      <c r="AA194" s="21"/>
      <c r="AB194" s="14"/>
      <c r="AC194" s="21"/>
      <c r="AD194" s="21"/>
      <c r="AE194" s="7"/>
      <c r="AF194" s="11" t="str">
        <f>IF(OR(AC194&lt;&gt;"Abierto",Z194=""),"",TODAY()-Z194)</f>
        <v/>
      </c>
      <c r="AG194" s="11" t="str">
        <f>IF(AC194&lt;&gt;"Abierto","",IF(AB194="","Sin siguiente acción",IF(AB194&lt;TODAY(),"Vencido",IF(AB194=TODAY(),"Hoy","En tiempo"))))</f>
        <v/>
      </c>
      <c r="AH194" s="11" t="str">
        <f>IF(OR(B194="",V194=""),"",V194-B194)</f>
        <v/>
      </c>
      <c r="AI194" s="16" t="str">
        <f>IF(P194="","",P194-WEEKDAY(P194,3))</f>
        <v/>
      </c>
      <c r="AJ194" s="23" t="str">
        <f>IF(P194="","",DATE(YEAR(P194),MONTH(P194),1))</f>
        <v/>
      </c>
    </row>
    <row r="195">
      <c r="A195" s="21"/>
      <c r="B195" s="14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14"/>
      <c r="Q195" s="21"/>
      <c r="R195" s="21"/>
      <c r="S195" s="21"/>
      <c r="T195" s="21"/>
      <c r="U195" s="21"/>
      <c r="V195" s="14"/>
      <c r="W195" s="22"/>
      <c r="X195" s="14"/>
      <c r="Y195" s="11" t="str">
        <f>IF(V195="","",IF(X195&lt;&gt;"",IF(X195-V195&lt;30,"No","Sí"),IF(TODAY()-V195&gt;=30,"Sí","En curso")))</f>
        <v/>
      </c>
      <c r="Z195" s="14"/>
      <c r="AA195" s="21"/>
      <c r="AB195" s="14"/>
      <c r="AC195" s="21"/>
      <c r="AD195" s="21"/>
      <c r="AE195" s="7"/>
      <c r="AF195" s="11" t="str">
        <f>IF(OR(AC195&lt;&gt;"Abierto",Z195=""),"",TODAY()-Z195)</f>
        <v/>
      </c>
      <c r="AG195" s="11" t="str">
        <f>IF(AC195&lt;&gt;"Abierto","",IF(AB195="","Sin siguiente acción",IF(AB195&lt;TODAY(),"Vencido",IF(AB195=TODAY(),"Hoy","En tiempo"))))</f>
        <v/>
      </c>
      <c r="AH195" s="11" t="str">
        <f>IF(OR(B195="",V195=""),"",V195-B195)</f>
        <v/>
      </c>
      <c r="AI195" s="16" t="str">
        <f>IF(P195="","",P195-WEEKDAY(P195,3))</f>
        <v/>
      </c>
      <c r="AJ195" s="23" t="str">
        <f>IF(P195="","",DATE(YEAR(P195),MONTH(P195),1))</f>
        <v/>
      </c>
    </row>
    <row r="196">
      <c r="A196" s="21"/>
      <c r="B196" s="14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14"/>
      <c r="Q196" s="21"/>
      <c r="R196" s="21"/>
      <c r="S196" s="21"/>
      <c r="T196" s="21"/>
      <c r="U196" s="21"/>
      <c r="V196" s="14"/>
      <c r="W196" s="22"/>
      <c r="X196" s="14"/>
      <c r="Y196" s="11" t="str">
        <f>IF(V196="","",IF(X196&lt;&gt;"",IF(X196-V196&lt;30,"No","Sí"),IF(TODAY()-V196&gt;=30,"Sí","En curso")))</f>
        <v/>
      </c>
      <c r="Z196" s="14"/>
      <c r="AA196" s="21"/>
      <c r="AB196" s="14"/>
      <c r="AC196" s="21"/>
      <c r="AD196" s="21"/>
      <c r="AE196" s="7"/>
      <c r="AF196" s="11" t="str">
        <f>IF(OR(AC196&lt;&gt;"Abierto",Z196=""),"",TODAY()-Z196)</f>
        <v/>
      </c>
      <c r="AG196" s="11" t="str">
        <f>IF(AC196&lt;&gt;"Abierto","",IF(AB196="","Sin siguiente acción",IF(AB196&lt;TODAY(),"Vencido",IF(AB196=TODAY(),"Hoy","En tiempo"))))</f>
        <v/>
      </c>
      <c r="AH196" s="11" t="str">
        <f>IF(OR(B196="",V196=""),"",V196-B196)</f>
        <v/>
      </c>
      <c r="AI196" s="16" t="str">
        <f>IF(P196="","",P196-WEEKDAY(P196,3))</f>
        <v/>
      </c>
      <c r="AJ196" s="23" t="str">
        <f>IF(P196="","",DATE(YEAR(P196),MONTH(P196),1))</f>
        <v/>
      </c>
    </row>
    <row r="197">
      <c r="A197" s="21"/>
      <c r="B197" s="14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14"/>
      <c r="Q197" s="21"/>
      <c r="R197" s="21"/>
      <c r="S197" s="21"/>
      <c r="T197" s="21"/>
      <c r="U197" s="21"/>
      <c r="V197" s="14"/>
      <c r="W197" s="22"/>
      <c r="X197" s="14"/>
      <c r="Y197" s="11" t="str">
        <f>IF(V197="","",IF(X197&lt;&gt;"",IF(X197-V197&lt;30,"No","Sí"),IF(TODAY()-V197&gt;=30,"Sí","En curso")))</f>
        <v/>
      </c>
      <c r="Z197" s="14"/>
      <c r="AA197" s="21"/>
      <c r="AB197" s="14"/>
      <c r="AC197" s="21"/>
      <c r="AD197" s="21"/>
      <c r="AE197" s="7"/>
      <c r="AF197" s="11" t="str">
        <f>IF(OR(AC197&lt;&gt;"Abierto",Z197=""),"",TODAY()-Z197)</f>
        <v/>
      </c>
      <c r="AG197" s="11" t="str">
        <f>IF(AC197&lt;&gt;"Abierto","",IF(AB197="","Sin siguiente acción",IF(AB197&lt;TODAY(),"Vencido",IF(AB197=TODAY(),"Hoy","En tiempo"))))</f>
        <v/>
      </c>
      <c r="AH197" s="11" t="str">
        <f>IF(OR(B197="",V197=""),"",V197-B197)</f>
        <v/>
      </c>
      <c r="AI197" s="16" t="str">
        <f>IF(P197="","",P197-WEEKDAY(P197,3))</f>
        <v/>
      </c>
      <c r="AJ197" s="23" t="str">
        <f>IF(P197="","",DATE(YEAR(P197),MONTH(P197),1))</f>
        <v/>
      </c>
    </row>
    <row r="198">
      <c r="A198" s="21"/>
      <c r="B198" s="14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14"/>
      <c r="Q198" s="21"/>
      <c r="R198" s="21"/>
      <c r="S198" s="21"/>
      <c r="T198" s="21"/>
      <c r="U198" s="21"/>
      <c r="V198" s="14"/>
      <c r="W198" s="22"/>
      <c r="X198" s="14"/>
      <c r="Y198" s="11" t="str">
        <f>IF(V198="","",IF(X198&lt;&gt;"",IF(X198-V198&lt;30,"No","Sí"),IF(TODAY()-V198&gt;=30,"Sí","En curso")))</f>
        <v/>
      </c>
      <c r="Z198" s="14"/>
      <c r="AA198" s="21"/>
      <c r="AB198" s="14"/>
      <c r="AC198" s="21"/>
      <c r="AD198" s="21"/>
      <c r="AE198" s="7"/>
      <c r="AF198" s="11" t="str">
        <f>IF(OR(AC198&lt;&gt;"Abierto",Z198=""),"",TODAY()-Z198)</f>
        <v/>
      </c>
      <c r="AG198" s="11" t="str">
        <f>IF(AC198&lt;&gt;"Abierto","",IF(AB198="","Sin siguiente acción",IF(AB198&lt;TODAY(),"Vencido",IF(AB198=TODAY(),"Hoy","En tiempo"))))</f>
        <v/>
      </c>
      <c r="AH198" s="11" t="str">
        <f>IF(OR(B198="",V198=""),"",V198-B198)</f>
        <v/>
      </c>
      <c r="AI198" s="16" t="str">
        <f>IF(P198="","",P198-WEEKDAY(P198,3))</f>
        <v/>
      </c>
      <c r="AJ198" s="23" t="str">
        <f>IF(P198="","",DATE(YEAR(P198),MONTH(P198),1))</f>
        <v/>
      </c>
    </row>
    <row r="199">
      <c r="A199" s="21"/>
      <c r="B199" s="14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14"/>
      <c r="Q199" s="21"/>
      <c r="R199" s="21"/>
      <c r="S199" s="21"/>
      <c r="T199" s="21"/>
      <c r="U199" s="21"/>
      <c r="V199" s="14"/>
      <c r="W199" s="22"/>
      <c r="X199" s="14"/>
      <c r="Y199" s="11" t="str">
        <f>IF(V199="","",IF(X199&lt;&gt;"",IF(X199-V199&lt;30,"No","Sí"),IF(TODAY()-V199&gt;=30,"Sí","En curso")))</f>
        <v/>
      </c>
      <c r="Z199" s="14"/>
      <c r="AA199" s="21"/>
      <c r="AB199" s="14"/>
      <c r="AC199" s="21"/>
      <c r="AD199" s="21"/>
      <c r="AE199" s="7"/>
      <c r="AF199" s="11" t="str">
        <f>IF(OR(AC199&lt;&gt;"Abierto",Z199=""),"",TODAY()-Z199)</f>
        <v/>
      </c>
      <c r="AG199" s="11" t="str">
        <f>IF(AC199&lt;&gt;"Abierto","",IF(AB199="","Sin siguiente acción",IF(AB199&lt;TODAY(),"Vencido",IF(AB199=TODAY(),"Hoy","En tiempo"))))</f>
        <v/>
      </c>
      <c r="AH199" s="11" t="str">
        <f>IF(OR(B199="",V199=""),"",V199-B199)</f>
        <v/>
      </c>
      <c r="AI199" s="16" t="str">
        <f>IF(P199="","",P199-WEEKDAY(P199,3))</f>
        <v/>
      </c>
      <c r="AJ199" s="23" t="str">
        <f>IF(P199="","",DATE(YEAR(P199),MONTH(P199),1))</f>
        <v/>
      </c>
    </row>
    <row r="200">
      <c r="A200" s="21"/>
      <c r="B200" s="14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14"/>
      <c r="Q200" s="21"/>
      <c r="R200" s="21"/>
      <c r="S200" s="21"/>
      <c r="T200" s="21"/>
      <c r="U200" s="21"/>
      <c r="V200" s="14"/>
      <c r="W200" s="22"/>
      <c r="X200" s="14"/>
      <c r="Y200" s="11" t="str">
        <f>IF(V200="","",IF(X200&lt;&gt;"",IF(X200-V200&lt;30,"No","Sí"),IF(TODAY()-V200&gt;=30,"Sí","En curso")))</f>
        <v/>
      </c>
      <c r="Z200" s="14"/>
      <c r="AA200" s="21"/>
      <c r="AB200" s="14"/>
      <c r="AC200" s="21"/>
      <c r="AD200" s="21"/>
      <c r="AE200" s="7"/>
      <c r="AF200" s="11" t="str">
        <f>IF(OR(AC200&lt;&gt;"Abierto",Z200=""),"",TODAY()-Z200)</f>
        <v/>
      </c>
      <c r="AG200" s="11" t="str">
        <f>IF(AC200&lt;&gt;"Abierto","",IF(AB200="","Sin siguiente acción",IF(AB200&lt;TODAY(),"Vencido",IF(AB200=TODAY(),"Hoy","En tiempo"))))</f>
        <v/>
      </c>
      <c r="AH200" s="11" t="str">
        <f>IF(OR(B200="",V200=""),"",V200-B200)</f>
        <v/>
      </c>
      <c r="AI200" s="16" t="str">
        <f>IF(P200="","",P200-WEEKDAY(P200,3))</f>
        <v/>
      </c>
      <c r="AJ200" s="23" t="str">
        <f>IF(P200="","",DATE(YEAR(P200),MONTH(P200),1))</f>
        <v/>
      </c>
    </row>
    <row r="201">
      <c r="A201" s="21"/>
      <c r="B201" s="14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14"/>
      <c r="Q201" s="21"/>
      <c r="R201" s="21"/>
      <c r="S201" s="21"/>
      <c r="T201" s="21"/>
      <c r="U201" s="21"/>
      <c r="V201" s="14"/>
      <c r="W201" s="22"/>
      <c r="X201" s="14"/>
      <c r="Y201" s="11" t="str">
        <f>IF(V201="","",IF(X201&lt;&gt;"",IF(X201-V201&lt;30,"No","Sí"),IF(TODAY()-V201&gt;=30,"Sí","En curso")))</f>
        <v/>
      </c>
      <c r="Z201" s="14"/>
      <c r="AA201" s="21"/>
      <c r="AB201" s="14"/>
      <c r="AC201" s="21"/>
      <c r="AD201" s="21"/>
      <c r="AE201" s="7"/>
      <c r="AF201" s="11" t="str">
        <f>IF(OR(AC201&lt;&gt;"Abierto",Z201=""),"",TODAY()-Z201)</f>
        <v/>
      </c>
      <c r="AG201" s="11" t="str">
        <f>IF(AC201&lt;&gt;"Abierto","",IF(AB201="","Sin siguiente acción",IF(AB201&lt;TODAY(),"Vencido",IF(AB201=TODAY(),"Hoy","En tiempo"))))</f>
        <v/>
      </c>
      <c r="AH201" s="11" t="str">
        <f>IF(OR(B201="",V201=""),"",V201-B201)</f>
        <v/>
      </c>
      <c r="AI201" s="16" t="str">
        <f>IF(P201="","",P201-WEEKDAY(P201,3))</f>
        <v/>
      </c>
      <c r="AJ201" s="23" t="str">
        <f>IF(P201="","",DATE(YEAR(P201),MONTH(P201),1))</f>
        <v/>
      </c>
    </row>
    <row r="202">
      <c r="A202" s="21"/>
      <c r="B202" s="14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14"/>
      <c r="Q202" s="21"/>
      <c r="R202" s="21"/>
      <c r="S202" s="21"/>
      <c r="T202" s="21"/>
      <c r="U202" s="21"/>
      <c r="V202" s="14"/>
      <c r="W202" s="22"/>
      <c r="X202" s="14"/>
      <c r="Y202" s="11" t="str">
        <f>IF(V202="","",IF(X202&lt;&gt;"",IF(X202-V202&lt;30,"No","Sí"),IF(TODAY()-V202&gt;=30,"Sí","En curso")))</f>
        <v/>
      </c>
      <c r="Z202" s="14"/>
      <c r="AA202" s="21"/>
      <c r="AB202" s="14"/>
      <c r="AC202" s="21"/>
      <c r="AD202" s="21"/>
      <c r="AE202" s="7"/>
      <c r="AF202" s="11" t="str">
        <f>IF(OR(AC202&lt;&gt;"Abierto",Z202=""),"",TODAY()-Z202)</f>
        <v/>
      </c>
      <c r="AG202" s="11" t="str">
        <f>IF(AC202&lt;&gt;"Abierto","",IF(AB202="","Sin siguiente acción",IF(AB202&lt;TODAY(),"Vencido",IF(AB202=TODAY(),"Hoy","En tiempo"))))</f>
        <v/>
      </c>
      <c r="AH202" s="11" t="str">
        <f>IF(OR(B202="",V202=""),"",V202-B202)</f>
        <v/>
      </c>
      <c r="AI202" s="16" t="str">
        <f>IF(P202="","",P202-WEEKDAY(P202,3))</f>
        <v/>
      </c>
      <c r="AJ202" s="23" t="str">
        <f>IF(P202="","",DATE(YEAR(P202),MONTH(P202),1))</f>
        <v/>
      </c>
    </row>
    <row r="203">
      <c r="A203" s="21"/>
      <c r="B203" s="14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14"/>
      <c r="Q203" s="21"/>
      <c r="R203" s="21"/>
      <c r="S203" s="21"/>
      <c r="T203" s="21"/>
      <c r="U203" s="21"/>
      <c r="V203" s="14"/>
      <c r="W203" s="22"/>
      <c r="X203" s="14"/>
      <c r="Y203" s="11" t="str">
        <f>IF(V203="","",IF(X203&lt;&gt;"",IF(X203-V203&lt;30,"No","Sí"),IF(TODAY()-V203&gt;=30,"Sí","En curso")))</f>
        <v/>
      </c>
      <c r="Z203" s="14"/>
      <c r="AA203" s="21"/>
      <c r="AB203" s="14"/>
      <c r="AC203" s="21"/>
      <c r="AD203" s="21"/>
      <c r="AE203" s="7"/>
      <c r="AF203" s="11" t="str">
        <f>IF(OR(AC203&lt;&gt;"Abierto",Z203=""),"",TODAY()-Z203)</f>
        <v/>
      </c>
      <c r="AG203" s="11" t="str">
        <f>IF(AC203&lt;&gt;"Abierto","",IF(AB203="","Sin siguiente acción",IF(AB203&lt;TODAY(),"Vencido",IF(AB203=TODAY(),"Hoy","En tiempo"))))</f>
        <v/>
      </c>
      <c r="AH203" s="11" t="str">
        <f>IF(OR(B203="",V203=""),"",V203-B203)</f>
        <v/>
      </c>
      <c r="AI203" s="16" t="str">
        <f>IF(P203="","",P203-WEEKDAY(P203,3))</f>
        <v/>
      </c>
      <c r="AJ203" s="23" t="str">
        <f>IF(P203="","",DATE(YEAR(P203),MONTH(P203),1))</f>
        <v/>
      </c>
    </row>
    <row r="204">
      <c r="A204" s="21"/>
      <c r="B204" s="14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14"/>
      <c r="Q204" s="21"/>
      <c r="R204" s="21"/>
      <c r="S204" s="21"/>
      <c r="T204" s="21"/>
      <c r="U204" s="21"/>
      <c r="V204" s="14"/>
      <c r="W204" s="22"/>
      <c r="X204" s="14"/>
      <c r="Y204" s="11" t="str">
        <f>IF(V204="","",IF(X204&lt;&gt;"",IF(X204-V204&lt;30,"No","Sí"),IF(TODAY()-V204&gt;=30,"Sí","En curso")))</f>
        <v/>
      </c>
      <c r="Z204" s="14"/>
      <c r="AA204" s="21"/>
      <c r="AB204" s="14"/>
      <c r="AC204" s="21"/>
      <c r="AD204" s="21"/>
      <c r="AE204" s="7"/>
      <c r="AF204" s="11" t="str">
        <f>IF(OR(AC204&lt;&gt;"Abierto",Z204=""),"",TODAY()-Z204)</f>
        <v/>
      </c>
      <c r="AG204" s="11" t="str">
        <f>IF(AC204&lt;&gt;"Abierto","",IF(AB204="","Sin siguiente acción",IF(AB204&lt;TODAY(),"Vencido",IF(AB204=TODAY(),"Hoy","En tiempo"))))</f>
        <v/>
      </c>
      <c r="AH204" s="11" t="str">
        <f>IF(OR(B204="",V204=""),"",V204-B204)</f>
        <v/>
      </c>
      <c r="AI204" s="16" t="str">
        <f>IF(P204="","",P204-WEEKDAY(P204,3))</f>
        <v/>
      </c>
      <c r="AJ204" s="23" t="str">
        <f>IF(P204="","",DATE(YEAR(P204),MONTH(P204),1))</f>
        <v/>
      </c>
    </row>
    <row r="205">
      <c r="A205" s="21"/>
      <c r="B205" s="14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14"/>
      <c r="Q205" s="21"/>
      <c r="R205" s="21"/>
      <c r="S205" s="21"/>
      <c r="T205" s="21"/>
      <c r="U205" s="21"/>
      <c r="V205" s="14"/>
      <c r="W205" s="22"/>
      <c r="X205" s="14"/>
      <c r="Y205" s="11" t="str">
        <f>IF(V205="","",IF(X205&lt;&gt;"",IF(X205-V205&lt;30,"No","Sí"),IF(TODAY()-V205&gt;=30,"Sí","En curso")))</f>
        <v/>
      </c>
      <c r="Z205" s="14"/>
      <c r="AA205" s="21"/>
      <c r="AB205" s="14"/>
      <c r="AC205" s="21"/>
      <c r="AD205" s="21"/>
      <c r="AE205" s="7"/>
      <c r="AF205" s="11" t="str">
        <f>IF(OR(AC205&lt;&gt;"Abierto",Z205=""),"",TODAY()-Z205)</f>
        <v/>
      </c>
      <c r="AG205" s="11" t="str">
        <f>IF(AC205&lt;&gt;"Abierto","",IF(AB205="","Sin siguiente acción",IF(AB205&lt;TODAY(),"Vencido",IF(AB205=TODAY(),"Hoy","En tiempo"))))</f>
        <v/>
      </c>
      <c r="AH205" s="11" t="str">
        <f>IF(OR(B205="",V205=""),"",V205-B205)</f>
        <v/>
      </c>
      <c r="AI205" s="16" t="str">
        <f>IF(P205="","",P205-WEEKDAY(P205,3))</f>
        <v/>
      </c>
      <c r="AJ205" s="23" t="str">
        <f>IF(P205="","",DATE(YEAR(P205),MONTH(P205),1))</f>
        <v/>
      </c>
    </row>
    <row r="206">
      <c r="A206" s="21"/>
      <c r="B206" s="14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14"/>
      <c r="Q206" s="21"/>
      <c r="R206" s="21"/>
      <c r="S206" s="21"/>
      <c r="T206" s="21"/>
      <c r="U206" s="21"/>
      <c r="V206" s="14"/>
      <c r="W206" s="22"/>
      <c r="X206" s="14"/>
      <c r="Y206" s="11" t="str">
        <f>IF(V206="","",IF(X206&lt;&gt;"",IF(X206-V206&lt;30,"No","Sí"),IF(TODAY()-V206&gt;=30,"Sí","En curso")))</f>
        <v/>
      </c>
      <c r="Z206" s="14"/>
      <c r="AA206" s="21"/>
      <c r="AB206" s="14"/>
      <c r="AC206" s="21"/>
      <c r="AD206" s="21"/>
      <c r="AE206" s="7"/>
      <c r="AF206" s="11" t="str">
        <f>IF(OR(AC206&lt;&gt;"Abierto",Z206=""),"",TODAY()-Z206)</f>
        <v/>
      </c>
      <c r="AG206" s="11" t="str">
        <f>IF(AC206&lt;&gt;"Abierto","",IF(AB206="","Sin siguiente acción",IF(AB206&lt;TODAY(),"Vencido",IF(AB206=TODAY(),"Hoy","En tiempo"))))</f>
        <v/>
      </c>
      <c r="AH206" s="11" t="str">
        <f>IF(OR(B206="",V206=""),"",V206-B206)</f>
        <v/>
      </c>
      <c r="AI206" s="16" t="str">
        <f>IF(P206="","",P206-WEEKDAY(P206,3))</f>
        <v/>
      </c>
      <c r="AJ206" s="23" t="str">
        <f>IF(P206="","",DATE(YEAR(P206),MONTH(P206),1))</f>
        <v/>
      </c>
    </row>
    <row r="207">
      <c r="A207" s="21"/>
      <c r="B207" s="14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14"/>
      <c r="Q207" s="21"/>
      <c r="R207" s="21"/>
      <c r="S207" s="21"/>
      <c r="T207" s="21"/>
      <c r="U207" s="21"/>
      <c r="V207" s="14"/>
      <c r="W207" s="22"/>
      <c r="X207" s="14"/>
      <c r="Y207" s="11" t="str">
        <f>IF(V207="","",IF(X207&lt;&gt;"",IF(X207-V207&lt;30,"No","Sí"),IF(TODAY()-V207&gt;=30,"Sí","En curso")))</f>
        <v/>
      </c>
      <c r="Z207" s="14"/>
      <c r="AA207" s="21"/>
      <c r="AB207" s="14"/>
      <c r="AC207" s="21"/>
      <c r="AD207" s="21"/>
      <c r="AE207" s="7"/>
      <c r="AF207" s="11" t="str">
        <f>IF(OR(AC207&lt;&gt;"Abierto",Z207=""),"",TODAY()-Z207)</f>
        <v/>
      </c>
      <c r="AG207" s="11" t="str">
        <f>IF(AC207&lt;&gt;"Abierto","",IF(AB207="","Sin siguiente acción",IF(AB207&lt;TODAY(),"Vencido",IF(AB207=TODAY(),"Hoy","En tiempo"))))</f>
        <v/>
      </c>
      <c r="AH207" s="11" t="str">
        <f>IF(OR(B207="",V207=""),"",V207-B207)</f>
        <v/>
      </c>
      <c r="AI207" s="16" t="str">
        <f>IF(P207="","",P207-WEEKDAY(P207,3))</f>
        <v/>
      </c>
      <c r="AJ207" s="23" t="str">
        <f>IF(P207="","",DATE(YEAR(P207),MONTH(P207),1))</f>
        <v/>
      </c>
    </row>
    <row r="208">
      <c r="A208" s="21"/>
      <c r="B208" s="14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14"/>
      <c r="Q208" s="21"/>
      <c r="R208" s="21"/>
      <c r="S208" s="21"/>
      <c r="T208" s="21"/>
      <c r="U208" s="21"/>
      <c r="V208" s="14"/>
      <c r="W208" s="22"/>
      <c r="X208" s="14"/>
      <c r="Y208" s="11" t="str">
        <f>IF(V208="","",IF(X208&lt;&gt;"",IF(X208-V208&lt;30,"No","Sí"),IF(TODAY()-V208&gt;=30,"Sí","En curso")))</f>
        <v/>
      </c>
      <c r="Z208" s="14"/>
      <c r="AA208" s="21"/>
      <c r="AB208" s="14"/>
      <c r="AC208" s="21"/>
      <c r="AD208" s="21"/>
      <c r="AE208" s="7"/>
      <c r="AF208" s="11" t="str">
        <f>IF(OR(AC208&lt;&gt;"Abierto",Z208=""),"",TODAY()-Z208)</f>
        <v/>
      </c>
      <c r="AG208" s="11" t="str">
        <f>IF(AC208&lt;&gt;"Abierto","",IF(AB208="","Sin siguiente acción",IF(AB208&lt;TODAY(),"Vencido",IF(AB208=TODAY(),"Hoy","En tiempo"))))</f>
        <v/>
      </c>
      <c r="AH208" s="11" t="str">
        <f>IF(OR(B208="",V208=""),"",V208-B208)</f>
        <v/>
      </c>
      <c r="AI208" s="16" t="str">
        <f>IF(P208="","",P208-WEEKDAY(P208,3))</f>
        <v/>
      </c>
      <c r="AJ208" s="23" t="str">
        <f>IF(P208="","",DATE(YEAR(P208),MONTH(P208),1))</f>
        <v/>
      </c>
    </row>
    <row r="209">
      <c r="A209" s="21"/>
      <c r="B209" s="14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14"/>
      <c r="Q209" s="21"/>
      <c r="R209" s="21"/>
      <c r="S209" s="21"/>
      <c r="T209" s="21"/>
      <c r="U209" s="21"/>
      <c r="V209" s="14"/>
      <c r="W209" s="22"/>
      <c r="X209" s="14"/>
      <c r="Y209" s="11" t="str">
        <f>IF(V209="","",IF(X209&lt;&gt;"",IF(X209-V209&lt;30,"No","Sí"),IF(TODAY()-V209&gt;=30,"Sí","En curso")))</f>
        <v/>
      </c>
      <c r="Z209" s="14"/>
      <c r="AA209" s="21"/>
      <c r="AB209" s="14"/>
      <c r="AC209" s="21"/>
      <c r="AD209" s="21"/>
      <c r="AE209" s="7"/>
      <c r="AF209" s="11" t="str">
        <f>IF(OR(AC209&lt;&gt;"Abierto",Z209=""),"",TODAY()-Z209)</f>
        <v/>
      </c>
      <c r="AG209" s="11" t="str">
        <f>IF(AC209&lt;&gt;"Abierto","",IF(AB209="","Sin siguiente acción",IF(AB209&lt;TODAY(),"Vencido",IF(AB209=TODAY(),"Hoy","En tiempo"))))</f>
        <v/>
      </c>
      <c r="AH209" s="11" t="str">
        <f>IF(OR(B209="",V209=""),"",V209-B209)</f>
        <v/>
      </c>
      <c r="AI209" s="16" t="str">
        <f>IF(P209="","",P209-WEEKDAY(P209,3))</f>
        <v/>
      </c>
      <c r="AJ209" s="23" t="str">
        <f>IF(P209="","",DATE(YEAR(P209),MONTH(P209),1))</f>
        <v/>
      </c>
    </row>
    <row r="210">
      <c r="A210" s="21"/>
      <c r="B210" s="14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14"/>
      <c r="Q210" s="21"/>
      <c r="R210" s="21"/>
      <c r="S210" s="21"/>
      <c r="T210" s="21"/>
      <c r="U210" s="21"/>
      <c r="V210" s="14"/>
      <c r="W210" s="22"/>
      <c r="X210" s="14"/>
      <c r="Y210" s="11" t="str">
        <f>IF(V210="","",IF(X210&lt;&gt;"",IF(X210-V210&lt;30,"No","Sí"),IF(TODAY()-V210&gt;=30,"Sí","En curso")))</f>
        <v/>
      </c>
      <c r="Z210" s="14"/>
      <c r="AA210" s="21"/>
      <c r="AB210" s="14"/>
      <c r="AC210" s="21"/>
      <c r="AD210" s="21"/>
      <c r="AE210" s="7"/>
      <c r="AF210" s="11" t="str">
        <f>IF(OR(AC210&lt;&gt;"Abierto",Z210=""),"",TODAY()-Z210)</f>
        <v/>
      </c>
      <c r="AG210" s="11" t="str">
        <f>IF(AC210&lt;&gt;"Abierto","",IF(AB210="","Sin siguiente acción",IF(AB210&lt;TODAY(),"Vencido",IF(AB210=TODAY(),"Hoy","En tiempo"))))</f>
        <v/>
      </c>
      <c r="AH210" s="11" t="str">
        <f>IF(OR(B210="",V210=""),"",V210-B210)</f>
        <v/>
      </c>
      <c r="AI210" s="16" t="str">
        <f>IF(P210="","",P210-WEEKDAY(P210,3))</f>
        <v/>
      </c>
      <c r="AJ210" s="23" t="str">
        <f>IF(P210="","",DATE(YEAR(P210),MONTH(P210),1))</f>
        <v/>
      </c>
    </row>
    <row r="211">
      <c r="A211" s="21"/>
      <c r="B211" s="14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14"/>
      <c r="Q211" s="21"/>
      <c r="R211" s="21"/>
      <c r="S211" s="21"/>
      <c r="T211" s="21"/>
      <c r="U211" s="21"/>
      <c r="V211" s="14"/>
      <c r="W211" s="22"/>
      <c r="X211" s="14"/>
      <c r="Y211" s="11" t="str">
        <f>IF(V211="","",IF(X211&lt;&gt;"",IF(X211-V211&lt;30,"No","Sí"),IF(TODAY()-V211&gt;=30,"Sí","En curso")))</f>
        <v/>
      </c>
      <c r="Z211" s="14"/>
      <c r="AA211" s="21"/>
      <c r="AB211" s="14"/>
      <c r="AC211" s="21"/>
      <c r="AD211" s="21"/>
      <c r="AE211" s="7"/>
      <c r="AF211" s="11" t="str">
        <f>IF(OR(AC211&lt;&gt;"Abierto",Z211=""),"",TODAY()-Z211)</f>
        <v/>
      </c>
      <c r="AG211" s="11" t="str">
        <f>IF(AC211&lt;&gt;"Abierto","",IF(AB211="","Sin siguiente acción",IF(AB211&lt;TODAY(),"Vencido",IF(AB211=TODAY(),"Hoy","En tiempo"))))</f>
        <v/>
      </c>
      <c r="AH211" s="11" t="str">
        <f>IF(OR(B211="",V211=""),"",V211-B211)</f>
        <v/>
      </c>
      <c r="AI211" s="16" t="str">
        <f>IF(P211="","",P211-WEEKDAY(P211,3))</f>
        <v/>
      </c>
      <c r="AJ211" s="23" t="str">
        <f>IF(P211="","",DATE(YEAR(P211),MONTH(P211),1))</f>
        <v/>
      </c>
    </row>
    <row r="212">
      <c r="A212" s="21"/>
      <c r="B212" s="14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14"/>
      <c r="Q212" s="21"/>
      <c r="R212" s="21"/>
      <c r="S212" s="21"/>
      <c r="T212" s="21"/>
      <c r="U212" s="21"/>
      <c r="V212" s="14"/>
      <c r="W212" s="22"/>
      <c r="X212" s="14"/>
      <c r="Y212" s="11" t="str">
        <f>IF(V212="","",IF(X212&lt;&gt;"",IF(X212-V212&lt;30,"No","Sí"),IF(TODAY()-V212&gt;=30,"Sí","En curso")))</f>
        <v/>
      </c>
      <c r="Z212" s="14"/>
      <c r="AA212" s="21"/>
      <c r="AB212" s="14"/>
      <c r="AC212" s="21"/>
      <c r="AD212" s="21"/>
      <c r="AE212" s="7"/>
      <c r="AF212" s="11" t="str">
        <f>IF(OR(AC212&lt;&gt;"Abierto",Z212=""),"",TODAY()-Z212)</f>
        <v/>
      </c>
      <c r="AG212" s="11" t="str">
        <f>IF(AC212&lt;&gt;"Abierto","",IF(AB212="","Sin siguiente acción",IF(AB212&lt;TODAY(),"Vencido",IF(AB212=TODAY(),"Hoy","En tiempo"))))</f>
        <v/>
      </c>
      <c r="AH212" s="11" t="str">
        <f>IF(OR(B212="",V212=""),"",V212-B212)</f>
        <v/>
      </c>
      <c r="AI212" s="16" t="str">
        <f>IF(P212="","",P212-WEEKDAY(P212,3))</f>
        <v/>
      </c>
      <c r="AJ212" s="23" t="str">
        <f>IF(P212="","",DATE(YEAR(P212),MONTH(P212),1))</f>
        <v/>
      </c>
    </row>
    <row r="213">
      <c r="A213" s="21"/>
      <c r="B213" s="14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14"/>
      <c r="Q213" s="21"/>
      <c r="R213" s="21"/>
      <c r="S213" s="21"/>
      <c r="T213" s="21"/>
      <c r="U213" s="21"/>
      <c r="V213" s="14"/>
      <c r="W213" s="22"/>
      <c r="X213" s="14"/>
      <c r="Y213" s="11" t="str">
        <f>IF(V213="","",IF(X213&lt;&gt;"",IF(X213-V213&lt;30,"No","Sí"),IF(TODAY()-V213&gt;=30,"Sí","En curso")))</f>
        <v/>
      </c>
      <c r="Z213" s="14"/>
      <c r="AA213" s="21"/>
      <c r="AB213" s="14"/>
      <c r="AC213" s="21"/>
      <c r="AD213" s="21"/>
      <c r="AE213" s="7"/>
      <c r="AF213" s="11" t="str">
        <f>IF(OR(AC213&lt;&gt;"Abierto",Z213=""),"",TODAY()-Z213)</f>
        <v/>
      </c>
      <c r="AG213" s="11" t="str">
        <f>IF(AC213&lt;&gt;"Abierto","",IF(AB213="","Sin siguiente acción",IF(AB213&lt;TODAY(),"Vencido",IF(AB213=TODAY(),"Hoy","En tiempo"))))</f>
        <v/>
      </c>
      <c r="AH213" s="11" t="str">
        <f>IF(OR(B213="",V213=""),"",V213-B213)</f>
        <v/>
      </c>
      <c r="AI213" s="16" t="str">
        <f>IF(P213="","",P213-WEEKDAY(P213,3))</f>
        <v/>
      </c>
      <c r="AJ213" s="23" t="str">
        <f>IF(P213="","",DATE(YEAR(P213),MONTH(P213),1))</f>
        <v/>
      </c>
    </row>
    <row r="214">
      <c r="A214" s="21"/>
      <c r="B214" s="14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14"/>
      <c r="Q214" s="21"/>
      <c r="R214" s="21"/>
      <c r="S214" s="21"/>
      <c r="T214" s="21"/>
      <c r="U214" s="21"/>
      <c r="V214" s="14"/>
      <c r="W214" s="22"/>
      <c r="X214" s="14"/>
      <c r="Y214" s="11" t="str">
        <f>IF(V214="","",IF(X214&lt;&gt;"",IF(X214-V214&lt;30,"No","Sí"),IF(TODAY()-V214&gt;=30,"Sí","En curso")))</f>
        <v/>
      </c>
      <c r="Z214" s="14"/>
      <c r="AA214" s="21"/>
      <c r="AB214" s="14"/>
      <c r="AC214" s="21"/>
      <c r="AD214" s="21"/>
      <c r="AE214" s="7"/>
      <c r="AF214" s="11" t="str">
        <f>IF(OR(AC214&lt;&gt;"Abierto",Z214=""),"",TODAY()-Z214)</f>
        <v/>
      </c>
      <c r="AG214" s="11" t="str">
        <f>IF(AC214&lt;&gt;"Abierto","",IF(AB214="","Sin siguiente acción",IF(AB214&lt;TODAY(),"Vencido",IF(AB214=TODAY(),"Hoy","En tiempo"))))</f>
        <v/>
      </c>
      <c r="AH214" s="11" t="str">
        <f>IF(OR(B214="",V214=""),"",V214-B214)</f>
        <v/>
      </c>
      <c r="AI214" s="16" t="str">
        <f>IF(P214="","",P214-WEEKDAY(P214,3))</f>
        <v/>
      </c>
      <c r="AJ214" s="23" t="str">
        <f>IF(P214="","",DATE(YEAR(P214),MONTH(P214),1))</f>
        <v/>
      </c>
    </row>
    <row r="215">
      <c r="A215" s="21"/>
      <c r="B215" s="14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14"/>
      <c r="Q215" s="21"/>
      <c r="R215" s="21"/>
      <c r="S215" s="21"/>
      <c r="T215" s="21"/>
      <c r="U215" s="21"/>
      <c r="V215" s="14"/>
      <c r="W215" s="22"/>
      <c r="X215" s="14"/>
      <c r="Y215" s="11" t="str">
        <f>IF(V215="","",IF(X215&lt;&gt;"",IF(X215-V215&lt;30,"No","Sí"),IF(TODAY()-V215&gt;=30,"Sí","En curso")))</f>
        <v/>
      </c>
      <c r="Z215" s="14"/>
      <c r="AA215" s="21"/>
      <c r="AB215" s="14"/>
      <c r="AC215" s="21"/>
      <c r="AD215" s="21"/>
      <c r="AE215" s="7"/>
      <c r="AF215" s="11" t="str">
        <f>IF(OR(AC215&lt;&gt;"Abierto",Z215=""),"",TODAY()-Z215)</f>
        <v/>
      </c>
      <c r="AG215" s="11" t="str">
        <f>IF(AC215&lt;&gt;"Abierto","",IF(AB215="","Sin siguiente acción",IF(AB215&lt;TODAY(),"Vencido",IF(AB215=TODAY(),"Hoy","En tiempo"))))</f>
        <v/>
      </c>
      <c r="AH215" s="11" t="str">
        <f>IF(OR(B215="",V215=""),"",V215-B215)</f>
        <v/>
      </c>
      <c r="AI215" s="16" t="str">
        <f>IF(P215="","",P215-WEEKDAY(P215,3))</f>
        <v/>
      </c>
      <c r="AJ215" s="23" t="str">
        <f>IF(P215="","",DATE(YEAR(P215),MONTH(P215),1))</f>
        <v/>
      </c>
    </row>
    <row r="216">
      <c r="A216" s="21"/>
      <c r="B216" s="14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14"/>
      <c r="Q216" s="21"/>
      <c r="R216" s="21"/>
      <c r="S216" s="21"/>
      <c r="T216" s="21"/>
      <c r="U216" s="21"/>
      <c r="V216" s="14"/>
      <c r="W216" s="22"/>
      <c r="X216" s="14"/>
      <c r="Y216" s="11" t="str">
        <f>IF(V216="","",IF(X216&lt;&gt;"",IF(X216-V216&lt;30,"No","Sí"),IF(TODAY()-V216&gt;=30,"Sí","En curso")))</f>
        <v/>
      </c>
      <c r="Z216" s="14"/>
      <c r="AA216" s="21"/>
      <c r="AB216" s="14"/>
      <c r="AC216" s="21"/>
      <c r="AD216" s="21"/>
      <c r="AE216" s="7"/>
      <c r="AF216" s="11" t="str">
        <f>IF(OR(AC216&lt;&gt;"Abierto",Z216=""),"",TODAY()-Z216)</f>
        <v/>
      </c>
      <c r="AG216" s="11" t="str">
        <f>IF(AC216&lt;&gt;"Abierto","",IF(AB216="","Sin siguiente acción",IF(AB216&lt;TODAY(),"Vencido",IF(AB216=TODAY(),"Hoy","En tiempo"))))</f>
        <v/>
      </c>
      <c r="AH216" s="11" t="str">
        <f>IF(OR(B216="",V216=""),"",V216-B216)</f>
        <v/>
      </c>
      <c r="AI216" s="16" t="str">
        <f>IF(P216="","",P216-WEEKDAY(P216,3))</f>
        <v/>
      </c>
      <c r="AJ216" s="23" t="str">
        <f>IF(P216="","",DATE(YEAR(P216),MONTH(P216),1))</f>
        <v/>
      </c>
    </row>
    <row r="217">
      <c r="A217" s="21"/>
      <c r="B217" s="14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14"/>
      <c r="Q217" s="21"/>
      <c r="R217" s="21"/>
      <c r="S217" s="21"/>
      <c r="T217" s="21"/>
      <c r="U217" s="21"/>
      <c r="V217" s="14"/>
      <c r="W217" s="22"/>
      <c r="X217" s="14"/>
      <c r="Y217" s="11" t="str">
        <f>IF(V217="","",IF(X217&lt;&gt;"",IF(X217-V217&lt;30,"No","Sí"),IF(TODAY()-V217&gt;=30,"Sí","En curso")))</f>
        <v/>
      </c>
      <c r="Z217" s="14"/>
      <c r="AA217" s="21"/>
      <c r="AB217" s="14"/>
      <c r="AC217" s="21"/>
      <c r="AD217" s="21"/>
      <c r="AE217" s="7"/>
      <c r="AF217" s="11" t="str">
        <f>IF(OR(AC217&lt;&gt;"Abierto",Z217=""),"",TODAY()-Z217)</f>
        <v/>
      </c>
      <c r="AG217" s="11" t="str">
        <f>IF(AC217&lt;&gt;"Abierto","",IF(AB217="","Sin siguiente acción",IF(AB217&lt;TODAY(),"Vencido",IF(AB217=TODAY(),"Hoy","En tiempo"))))</f>
        <v/>
      </c>
      <c r="AH217" s="11" t="str">
        <f>IF(OR(B217="",V217=""),"",V217-B217)</f>
        <v/>
      </c>
      <c r="AI217" s="16" t="str">
        <f>IF(P217="","",P217-WEEKDAY(P217,3))</f>
        <v/>
      </c>
      <c r="AJ217" s="23" t="str">
        <f>IF(P217="","",DATE(YEAR(P217),MONTH(P217),1))</f>
        <v/>
      </c>
    </row>
    <row r="218">
      <c r="A218" s="21"/>
      <c r="B218" s="14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14"/>
      <c r="Q218" s="21"/>
      <c r="R218" s="21"/>
      <c r="S218" s="21"/>
      <c r="T218" s="21"/>
      <c r="U218" s="21"/>
      <c r="V218" s="14"/>
      <c r="W218" s="22"/>
      <c r="X218" s="14"/>
      <c r="Y218" s="11" t="str">
        <f>IF(V218="","",IF(X218&lt;&gt;"",IF(X218-V218&lt;30,"No","Sí"),IF(TODAY()-V218&gt;=30,"Sí","En curso")))</f>
        <v/>
      </c>
      <c r="Z218" s="14"/>
      <c r="AA218" s="21"/>
      <c r="AB218" s="14"/>
      <c r="AC218" s="21"/>
      <c r="AD218" s="21"/>
      <c r="AE218" s="7"/>
      <c r="AF218" s="11" t="str">
        <f>IF(OR(AC218&lt;&gt;"Abierto",Z218=""),"",TODAY()-Z218)</f>
        <v/>
      </c>
      <c r="AG218" s="11" t="str">
        <f>IF(AC218&lt;&gt;"Abierto","",IF(AB218="","Sin siguiente acción",IF(AB218&lt;TODAY(),"Vencido",IF(AB218=TODAY(),"Hoy","En tiempo"))))</f>
        <v/>
      </c>
      <c r="AH218" s="11" t="str">
        <f>IF(OR(B218="",V218=""),"",V218-B218)</f>
        <v/>
      </c>
      <c r="AI218" s="16" t="str">
        <f>IF(P218="","",P218-WEEKDAY(P218,3))</f>
        <v/>
      </c>
      <c r="AJ218" s="23" t="str">
        <f>IF(P218="","",DATE(YEAR(P218),MONTH(P218),1))</f>
        <v/>
      </c>
    </row>
    <row r="219">
      <c r="A219" s="21"/>
      <c r="B219" s="14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14"/>
      <c r="Q219" s="21"/>
      <c r="R219" s="21"/>
      <c r="S219" s="21"/>
      <c r="T219" s="21"/>
      <c r="U219" s="21"/>
      <c r="V219" s="14"/>
      <c r="W219" s="22"/>
      <c r="X219" s="14"/>
      <c r="Y219" s="11" t="str">
        <f>IF(V219="","",IF(X219&lt;&gt;"",IF(X219-V219&lt;30,"No","Sí"),IF(TODAY()-V219&gt;=30,"Sí","En curso")))</f>
        <v/>
      </c>
      <c r="Z219" s="14"/>
      <c r="AA219" s="21"/>
      <c r="AB219" s="14"/>
      <c r="AC219" s="21"/>
      <c r="AD219" s="21"/>
      <c r="AE219" s="7"/>
      <c r="AF219" s="11" t="str">
        <f>IF(OR(AC219&lt;&gt;"Abierto",Z219=""),"",TODAY()-Z219)</f>
        <v/>
      </c>
      <c r="AG219" s="11" t="str">
        <f>IF(AC219&lt;&gt;"Abierto","",IF(AB219="","Sin siguiente acción",IF(AB219&lt;TODAY(),"Vencido",IF(AB219=TODAY(),"Hoy","En tiempo"))))</f>
        <v/>
      </c>
      <c r="AH219" s="11" t="str">
        <f>IF(OR(B219="",V219=""),"",V219-B219)</f>
        <v/>
      </c>
      <c r="AI219" s="16" t="str">
        <f>IF(P219="","",P219-WEEKDAY(P219,3))</f>
        <v/>
      </c>
      <c r="AJ219" s="23" t="str">
        <f>IF(P219="","",DATE(YEAR(P219),MONTH(P219),1))</f>
        <v/>
      </c>
    </row>
    <row r="220">
      <c r="A220" s="21"/>
      <c r="B220" s="14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14"/>
      <c r="Q220" s="21"/>
      <c r="R220" s="21"/>
      <c r="S220" s="21"/>
      <c r="T220" s="21"/>
      <c r="U220" s="21"/>
      <c r="V220" s="14"/>
      <c r="W220" s="22"/>
      <c r="X220" s="14"/>
      <c r="Y220" s="11" t="str">
        <f>IF(V220="","",IF(X220&lt;&gt;"",IF(X220-V220&lt;30,"No","Sí"),IF(TODAY()-V220&gt;=30,"Sí","En curso")))</f>
        <v/>
      </c>
      <c r="Z220" s="14"/>
      <c r="AA220" s="21"/>
      <c r="AB220" s="14"/>
      <c r="AC220" s="21"/>
      <c r="AD220" s="21"/>
      <c r="AE220" s="7"/>
      <c r="AF220" s="11" t="str">
        <f>IF(OR(AC220&lt;&gt;"Abierto",Z220=""),"",TODAY()-Z220)</f>
        <v/>
      </c>
      <c r="AG220" s="11" t="str">
        <f>IF(AC220&lt;&gt;"Abierto","",IF(AB220="","Sin siguiente acción",IF(AB220&lt;TODAY(),"Vencido",IF(AB220=TODAY(),"Hoy","En tiempo"))))</f>
        <v/>
      </c>
      <c r="AH220" s="11" t="str">
        <f>IF(OR(B220="",V220=""),"",V220-B220)</f>
        <v/>
      </c>
      <c r="AI220" s="16" t="str">
        <f>IF(P220="","",P220-WEEKDAY(P220,3))</f>
        <v/>
      </c>
      <c r="AJ220" s="23" t="str">
        <f>IF(P220="","",DATE(YEAR(P220),MONTH(P220),1))</f>
        <v/>
      </c>
    </row>
    <row r="221">
      <c r="A221" s="21"/>
      <c r="B221" s="14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14"/>
      <c r="Q221" s="21"/>
      <c r="R221" s="21"/>
      <c r="S221" s="21"/>
      <c r="T221" s="21"/>
      <c r="U221" s="21"/>
      <c r="V221" s="14"/>
      <c r="W221" s="22"/>
      <c r="X221" s="14"/>
      <c r="Y221" s="11" t="str">
        <f>IF(V221="","",IF(X221&lt;&gt;"",IF(X221-V221&lt;30,"No","Sí"),IF(TODAY()-V221&gt;=30,"Sí","En curso")))</f>
        <v/>
      </c>
      <c r="Z221" s="14"/>
      <c r="AA221" s="21"/>
      <c r="AB221" s="14"/>
      <c r="AC221" s="21"/>
      <c r="AD221" s="21"/>
      <c r="AE221" s="7"/>
      <c r="AF221" s="11" t="str">
        <f>IF(OR(AC221&lt;&gt;"Abierto",Z221=""),"",TODAY()-Z221)</f>
        <v/>
      </c>
      <c r="AG221" s="11" t="str">
        <f>IF(AC221&lt;&gt;"Abierto","",IF(AB221="","Sin siguiente acción",IF(AB221&lt;TODAY(),"Vencido",IF(AB221=TODAY(),"Hoy","En tiempo"))))</f>
        <v/>
      </c>
      <c r="AH221" s="11" t="str">
        <f>IF(OR(B221="",V221=""),"",V221-B221)</f>
        <v/>
      </c>
      <c r="AI221" s="16" t="str">
        <f>IF(P221="","",P221-WEEKDAY(P221,3))</f>
        <v/>
      </c>
      <c r="AJ221" s="23" t="str">
        <f>IF(P221="","",DATE(YEAR(P221),MONTH(P221),1))</f>
        <v/>
      </c>
    </row>
    <row r="222">
      <c r="A222" s="21"/>
      <c r="B222" s="14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14"/>
      <c r="Q222" s="21"/>
      <c r="R222" s="21"/>
      <c r="S222" s="21"/>
      <c r="T222" s="21"/>
      <c r="U222" s="21"/>
      <c r="V222" s="14"/>
      <c r="W222" s="22"/>
      <c r="X222" s="14"/>
      <c r="Y222" s="11" t="str">
        <f>IF(V222="","",IF(X222&lt;&gt;"",IF(X222-V222&lt;30,"No","Sí"),IF(TODAY()-V222&gt;=30,"Sí","En curso")))</f>
        <v/>
      </c>
      <c r="Z222" s="14"/>
      <c r="AA222" s="21"/>
      <c r="AB222" s="14"/>
      <c r="AC222" s="21"/>
      <c r="AD222" s="21"/>
      <c r="AE222" s="7"/>
      <c r="AF222" s="11" t="str">
        <f>IF(OR(AC222&lt;&gt;"Abierto",Z222=""),"",TODAY()-Z222)</f>
        <v/>
      </c>
      <c r="AG222" s="11" t="str">
        <f>IF(AC222&lt;&gt;"Abierto","",IF(AB222="","Sin siguiente acción",IF(AB222&lt;TODAY(),"Vencido",IF(AB222=TODAY(),"Hoy","En tiempo"))))</f>
        <v/>
      </c>
      <c r="AH222" s="11" t="str">
        <f>IF(OR(B222="",V222=""),"",V222-B222)</f>
        <v/>
      </c>
      <c r="AI222" s="16" t="str">
        <f>IF(P222="","",P222-WEEKDAY(P222,3))</f>
        <v/>
      </c>
      <c r="AJ222" s="23" t="str">
        <f>IF(P222="","",DATE(YEAR(P222),MONTH(P222),1))</f>
        <v/>
      </c>
    </row>
    <row r="223">
      <c r="A223" s="21"/>
      <c r="B223" s="14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14"/>
      <c r="Q223" s="21"/>
      <c r="R223" s="21"/>
      <c r="S223" s="21"/>
      <c r="T223" s="21"/>
      <c r="U223" s="21"/>
      <c r="V223" s="14"/>
      <c r="W223" s="22"/>
      <c r="X223" s="14"/>
      <c r="Y223" s="11" t="str">
        <f>IF(V223="","",IF(X223&lt;&gt;"",IF(X223-V223&lt;30,"No","Sí"),IF(TODAY()-V223&gt;=30,"Sí","En curso")))</f>
        <v/>
      </c>
      <c r="Z223" s="14"/>
      <c r="AA223" s="21"/>
      <c r="AB223" s="14"/>
      <c r="AC223" s="21"/>
      <c r="AD223" s="21"/>
      <c r="AE223" s="7"/>
      <c r="AF223" s="11" t="str">
        <f>IF(OR(AC223&lt;&gt;"Abierto",Z223=""),"",TODAY()-Z223)</f>
        <v/>
      </c>
      <c r="AG223" s="11" t="str">
        <f>IF(AC223&lt;&gt;"Abierto","",IF(AB223="","Sin siguiente acción",IF(AB223&lt;TODAY(),"Vencido",IF(AB223=TODAY(),"Hoy","En tiempo"))))</f>
        <v/>
      </c>
      <c r="AH223" s="11" t="str">
        <f>IF(OR(B223="",V223=""),"",V223-B223)</f>
        <v/>
      </c>
      <c r="AI223" s="16" t="str">
        <f>IF(P223="","",P223-WEEKDAY(P223,3))</f>
        <v/>
      </c>
      <c r="AJ223" s="23" t="str">
        <f>IF(P223="","",DATE(YEAR(P223),MONTH(P223),1))</f>
        <v/>
      </c>
    </row>
    <row r="224">
      <c r="A224" s="21"/>
      <c r="B224" s="14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14"/>
      <c r="Q224" s="21"/>
      <c r="R224" s="21"/>
      <c r="S224" s="21"/>
      <c r="T224" s="21"/>
      <c r="U224" s="21"/>
      <c r="V224" s="14"/>
      <c r="W224" s="22"/>
      <c r="X224" s="14"/>
      <c r="Y224" s="11" t="str">
        <f>IF(V224="","",IF(X224&lt;&gt;"",IF(X224-V224&lt;30,"No","Sí"),IF(TODAY()-V224&gt;=30,"Sí","En curso")))</f>
        <v/>
      </c>
      <c r="Z224" s="14"/>
      <c r="AA224" s="21"/>
      <c r="AB224" s="14"/>
      <c r="AC224" s="21"/>
      <c r="AD224" s="21"/>
      <c r="AE224" s="7"/>
      <c r="AF224" s="11" t="str">
        <f>IF(OR(AC224&lt;&gt;"Abierto",Z224=""),"",TODAY()-Z224)</f>
        <v/>
      </c>
      <c r="AG224" s="11" t="str">
        <f>IF(AC224&lt;&gt;"Abierto","",IF(AB224="","Sin siguiente acción",IF(AB224&lt;TODAY(),"Vencido",IF(AB224=TODAY(),"Hoy","En tiempo"))))</f>
        <v/>
      </c>
      <c r="AH224" s="11" t="str">
        <f>IF(OR(B224="",V224=""),"",V224-B224)</f>
        <v/>
      </c>
      <c r="AI224" s="16" t="str">
        <f>IF(P224="","",P224-WEEKDAY(P224,3))</f>
        <v/>
      </c>
      <c r="AJ224" s="23" t="str">
        <f>IF(P224="","",DATE(YEAR(P224),MONTH(P224),1))</f>
        <v/>
      </c>
    </row>
    <row r="225">
      <c r="A225" s="21"/>
      <c r="B225" s="14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14"/>
      <c r="Q225" s="21"/>
      <c r="R225" s="21"/>
      <c r="S225" s="21"/>
      <c r="T225" s="21"/>
      <c r="U225" s="21"/>
      <c r="V225" s="14"/>
      <c r="W225" s="22"/>
      <c r="X225" s="14"/>
      <c r="Y225" s="11" t="str">
        <f>IF(V225="","",IF(X225&lt;&gt;"",IF(X225-V225&lt;30,"No","Sí"),IF(TODAY()-V225&gt;=30,"Sí","En curso")))</f>
        <v/>
      </c>
      <c r="Z225" s="14"/>
      <c r="AA225" s="21"/>
      <c r="AB225" s="14"/>
      <c r="AC225" s="21"/>
      <c r="AD225" s="21"/>
      <c r="AE225" s="7"/>
      <c r="AF225" s="11" t="str">
        <f>IF(OR(AC225&lt;&gt;"Abierto",Z225=""),"",TODAY()-Z225)</f>
        <v/>
      </c>
      <c r="AG225" s="11" t="str">
        <f>IF(AC225&lt;&gt;"Abierto","",IF(AB225="","Sin siguiente acción",IF(AB225&lt;TODAY(),"Vencido",IF(AB225=TODAY(),"Hoy","En tiempo"))))</f>
        <v/>
      </c>
      <c r="AH225" s="11" t="str">
        <f>IF(OR(B225="",V225=""),"",V225-B225)</f>
        <v/>
      </c>
      <c r="AI225" s="16" t="str">
        <f>IF(P225="","",P225-WEEKDAY(P225,3))</f>
        <v/>
      </c>
      <c r="AJ225" s="23" t="str">
        <f>IF(P225="","",DATE(YEAR(P225),MONTH(P225),1))</f>
        <v/>
      </c>
    </row>
    <row r="226">
      <c r="A226" s="21"/>
      <c r="B226" s="14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14"/>
      <c r="Q226" s="21"/>
      <c r="R226" s="21"/>
      <c r="S226" s="21"/>
      <c r="T226" s="21"/>
      <c r="U226" s="21"/>
      <c r="V226" s="14"/>
      <c r="W226" s="22"/>
      <c r="X226" s="14"/>
      <c r="Y226" s="11" t="str">
        <f>IF(V226="","",IF(X226&lt;&gt;"",IF(X226-V226&lt;30,"No","Sí"),IF(TODAY()-V226&gt;=30,"Sí","En curso")))</f>
        <v/>
      </c>
      <c r="Z226" s="14"/>
      <c r="AA226" s="21"/>
      <c r="AB226" s="14"/>
      <c r="AC226" s="21"/>
      <c r="AD226" s="21"/>
      <c r="AE226" s="7"/>
      <c r="AF226" s="11" t="str">
        <f>IF(OR(AC226&lt;&gt;"Abierto",Z226=""),"",TODAY()-Z226)</f>
        <v/>
      </c>
      <c r="AG226" s="11" t="str">
        <f>IF(AC226&lt;&gt;"Abierto","",IF(AB226="","Sin siguiente acción",IF(AB226&lt;TODAY(),"Vencido",IF(AB226=TODAY(),"Hoy","En tiempo"))))</f>
        <v/>
      </c>
      <c r="AH226" s="11" t="str">
        <f>IF(OR(B226="",V226=""),"",V226-B226)</f>
        <v/>
      </c>
      <c r="AI226" s="16" t="str">
        <f>IF(P226="","",P226-WEEKDAY(P226,3))</f>
        <v/>
      </c>
      <c r="AJ226" s="23" t="str">
        <f>IF(P226="","",DATE(YEAR(P226),MONTH(P226),1))</f>
        <v/>
      </c>
    </row>
    <row r="227">
      <c r="A227" s="21"/>
      <c r="B227" s="14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14"/>
      <c r="Q227" s="21"/>
      <c r="R227" s="21"/>
      <c r="S227" s="21"/>
      <c r="T227" s="21"/>
      <c r="U227" s="21"/>
      <c r="V227" s="14"/>
      <c r="W227" s="22"/>
      <c r="X227" s="14"/>
      <c r="Y227" s="11" t="str">
        <f>IF(V227="","",IF(X227&lt;&gt;"",IF(X227-V227&lt;30,"No","Sí"),IF(TODAY()-V227&gt;=30,"Sí","En curso")))</f>
        <v/>
      </c>
      <c r="Z227" s="14"/>
      <c r="AA227" s="21"/>
      <c r="AB227" s="14"/>
      <c r="AC227" s="21"/>
      <c r="AD227" s="21"/>
      <c r="AE227" s="7"/>
      <c r="AF227" s="11" t="str">
        <f>IF(OR(AC227&lt;&gt;"Abierto",Z227=""),"",TODAY()-Z227)</f>
        <v/>
      </c>
      <c r="AG227" s="11" t="str">
        <f>IF(AC227&lt;&gt;"Abierto","",IF(AB227="","Sin siguiente acción",IF(AB227&lt;TODAY(),"Vencido",IF(AB227=TODAY(),"Hoy","En tiempo"))))</f>
        <v/>
      </c>
      <c r="AH227" s="11" t="str">
        <f>IF(OR(B227="",V227=""),"",V227-B227)</f>
        <v/>
      </c>
      <c r="AI227" s="16" t="str">
        <f>IF(P227="","",P227-WEEKDAY(P227,3))</f>
        <v/>
      </c>
      <c r="AJ227" s="23" t="str">
        <f>IF(P227="","",DATE(YEAR(P227),MONTH(P227),1))</f>
        <v/>
      </c>
    </row>
    <row r="228">
      <c r="A228" s="21"/>
      <c r="B228" s="14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14"/>
      <c r="Q228" s="21"/>
      <c r="R228" s="21"/>
      <c r="S228" s="21"/>
      <c r="T228" s="21"/>
      <c r="U228" s="21"/>
      <c r="V228" s="14"/>
      <c r="W228" s="22"/>
      <c r="X228" s="14"/>
      <c r="Y228" s="11" t="str">
        <f>IF(V228="","",IF(X228&lt;&gt;"",IF(X228-V228&lt;30,"No","Sí"),IF(TODAY()-V228&gt;=30,"Sí","En curso")))</f>
        <v/>
      </c>
      <c r="Z228" s="14"/>
      <c r="AA228" s="21"/>
      <c r="AB228" s="14"/>
      <c r="AC228" s="21"/>
      <c r="AD228" s="21"/>
      <c r="AE228" s="7"/>
      <c r="AF228" s="11" t="str">
        <f>IF(OR(AC228&lt;&gt;"Abierto",Z228=""),"",TODAY()-Z228)</f>
        <v/>
      </c>
      <c r="AG228" s="11" t="str">
        <f>IF(AC228&lt;&gt;"Abierto","",IF(AB228="","Sin siguiente acción",IF(AB228&lt;TODAY(),"Vencido",IF(AB228=TODAY(),"Hoy","En tiempo"))))</f>
        <v/>
      </c>
      <c r="AH228" s="11" t="str">
        <f>IF(OR(B228="",V228=""),"",V228-B228)</f>
        <v/>
      </c>
      <c r="AI228" s="16" t="str">
        <f>IF(P228="","",P228-WEEKDAY(P228,3))</f>
        <v/>
      </c>
      <c r="AJ228" s="23" t="str">
        <f>IF(P228="","",DATE(YEAR(P228),MONTH(P228),1))</f>
        <v/>
      </c>
    </row>
    <row r="229">
      <c r="A229" s="21"/>
      <c r="B229" s="14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14"/>
      <c r="Q229" s="21"/>
      <c r="R229" s="21"/>
      <c r="S229" s="21"/>
      <c r="T229" s="21"/>
      <c r="U229" s="21"/>
      <c r="V229" s="14"/>
      <c r="W229" s="22"/>
      <c r="X229" s="14"/>
      <c r="Y229" s="11" t="str">
        <f>IF(V229="","",IF(X229&lt;&gt;"",IF(X229-V229&lt;30,"No","Sí"),IF(TODAY()-V229&gt;=30,"Sí","En curso")))</f>
        <v/>
      </c>
      <c r="Z229" s="14"/>
      <c r="AA229" s="21"/>
      <c r="AB229" s="14"/>
      <c r="AC229" s="21"/>
      <c r="AD229" s="21"/>
      <c r="AE229" s="7"/>
      <c r="AF229" s="11" t="str">
        <f>IF(OR(AC229&lt;&gt;"Abierto",Z229=""),"",TODAY()-Z229)</f>
        <v/>
      </c>
      <c r="AG229" s="11" t="str">
        <f>IF(AC229&lt;&gt;"Abierto","",IF(AB229="","Sin siguiente acción",IF(AB229&lt;TODAY(),"Vencido",IF(AB229=TODAY(),"Hoy","En tiempo"))))</f>
        <v/>
      </c>
      <c r="AH229" s="11" t="str">
        <f>IF(OR(B229="",V229=""),"",V229-B229)</f>
        <v/>
      </c>
      <c r="AI229" s="16" t="str">
        <f>IF(P229="","",P229-WEEKDAY(P229,3))</f>
        <v/>
      </c>
      <c r="AJ229" s="23" t="str">
        <f>IF(P229="","",DATE(YEAR(P229),MONTH(P229),1))</f>
        <v/>
      </c>
    </row>
    <row r="230">
      <c r="A230" s="21"/>
      <c r="B230" s="14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14"/>
      <c r="Q230" s="21"/>
      <c r="R230" s="21"/>
      <c r="S230" s="21"/>
      <c r="T230" s="21"/>
      <c r="U230" s="21"/>
      <c r="V230" s="14"/>
      <c r="W230" s="22"/>
      <c r="X230" s="14"/>
      <c r="Y230" s="11" t="str">
        <f>IF(V230="","",IF(X230&lt;&gt;"",IF(X230-V230&lt;30,"No","Sí"),IF(TODAY()-V230&gt;=30,"Sí","En curso")))</f>
        <v/>
      </c>
      <c r="Z230" s="14"/>
      <c r="AA230" s="21"/>
      <c r="AB230" s="14"/>
      <c r="AC230" s="21"/>
      <c r="AD230" s="21"/>
      <c r="AE230" s="7"/>
      <c r="AF230" s="11" t="str">
        <f>IF(OR(AC230&lt;&gt;"Abierto",Z230=""),"",TODAY()-Z230)</f>
        <v/>
      </c>
      <c r="AG230" s="11" t="str">
        <f>IF(AC230&lt;&gt;"Abierto","",IF(AB230="","Sin siguiente acción",IF(AB230&lt;TODAY(),"Vencido",IF(AB230=TODAY(),"Hoy","En tiempo"))))</f>
        <v/>
      </c>
      <c r="AH230" s="11" t="str">
        <f>IF(OR(B230="",V230=""),"",V230-B230)</f>
        <v/>
      </c>
      <c r="AI230" s="16" t="str">
        <f>IF(P230="","",P230-WEEKDAY(P230,3))</f>
        <v/>
      </c>
      <c r="AJ230" s="23" t="str">
        <f>IF(P230="","",DATE(YEAR(P230),MONTH(P230),1))</f>
        <v/>
      </c>
    </row>
    <row r="231">
      <c r="A231" s="21"/>
      <c r="B231" s="14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14"/>
      <c r="Q231" s="21"/>
      <c r="R231" s="21"/>
      <c r="S231" s="21"/>
      <c r="T231" s="21"/>
      <c r="U231" s="21"/>
      <c r="V231" s="14"/>
      <c r="W231" s="22"/>
      <c r="X231" s="14"/>
      <c r="Y231" s="11" t="str">
        <f>IF(V231="","",IF(X231&lt;&gt;"",IF(X231-V231&lt;30,"No","Sí"),IF(TODAY()-V231&gt;=30,"Sí","En curso")))</f>
        <v/>
      </c>
      <c r="Z231" s="14"/>
      <c r="AA231" s="21"/>
      <c r="AB231" s="14"/>
      <c r="AC231" s="21"/>
      <c r="AD231" s="21"/>
      <c r="AE231" s="7"/>
      <c r="AF231" s="11" t="str">
        <f>IF(OR(AC231&lt;&gt;"Abierto",Z231=""),"",TODAY()-Z231)</f>
        <v/>
      </c>
      <c r="AG231" s="11" t="str">
        <f>IF(AC231&lt;&gt;"Abierto","",IF(AB231="","Sin siguiente acción",IF(AB231&lt;TODAY(),"Vencido",IF(AB231=TODAY(),"Hoy","En tiempo"))))</f>
        <v/>
      </c>
      <c r="AH231" s="11" t="str">
        <f>IF(OR(B231="",V231=""),"",V231-B231)</f>
        <v/>
      </c>
      <c r="AI231" s="16" t="str">
        <f>IF(P231="","",P231-WEEKDAY(P231,3))</f>
        <v/>
      </c>
      <c r="AJ231" s="23" t="str">
        <f>IF(P231="","",DATE(YEAR(P231),MONTH(P231),1))</f>
        <v/>
      </c>
    </row>
    <row r="232">
      <c r="A232" s="21"/>
      <c r="B232" s="14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14"/>
      <c r="Q232" s="21"/>
      <c r="R232" s="21"/>
      <c r="S232" s="21"/>
      <c r="T232" s="21"/>
      <c r="U232" s="21"/>
      <c r="V232" s="14"/>
      <c r="W232" s="22"/>
      <c r="X232" s="14"/>
      <c r="Y232" s="11" t="str">
        <f>IF(V232="","",IF(X232&lt;&gt;"",IF(X232-V232&lt;30,"No","Sí"),IF(TODAY()-V232&gt;=30,"Sí","En curso")))</f>
        <v/>
      </c>
      <c r="Z232" s="14"/>
      <c r="AA232" s="21"/>
      <c r="AB232" s="14"/>
      <c r="AC232" s="21"/>
      <c r="AD232" s="21"/>
      <c r="AE232" s="7"/>
      <c r="AF232" s="11" t="str">
        <f>IF(OR(AC232&lt;&gt;"Abierto",Z232=""),"",TODAY()-Z232)</f>
        <v/>
      </c>
      <c r="AG232" s="11" t="str">
        <f>IF(AC232&lt;&gt;"Abierto","",IF(AB232="","Sin siguiente acción",IF(AB232&lt;TODAY(),"Vencido",IF(AB232=TODAY(),"Hoy","En tiempo"))))</f>
        <v/>
      </c>
      <c r="AH232" s="11" t="str">
        <f>IF(OR(B232="",V232=""),"",V232-B232)</f>
        <v/>
      </c>
      <c r="AI232" s="16" t="str">
        <f>IF(P232="","",P232-WEEKDAY(P232,3))</f>
        <v/>
      </c>
      <c r="AJ232" s="23" t="str">
        <f>IF(P232="","",DATE(YEAR(P232),MONTH(P232),1))</f>
        <v/>
      </c>
    </row>
    <row r="233">
      <c r="A233" s="21"/>
      <c r="B233" s="14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14"/>
      <c r="Q233" s="21"/>
      <c r="R233" s="21"/>
      <c r="S233" s="21"/>
      <c r="T233" s="21"/>
      <c r="U233" s="21"/>
      <c r="V233" s="14"/>
      <c r="W233" s="22"/>
      <c r="X233" s="14"/>
      <c r="Y233" s="11" t="str">
        <f>IF(V233="","",IF(X233&lt;&gt;"",IF(X233-V233&lt;30,"No","Sí"),IF(TODAY()-V233&gt;=30,"Sí","En curso")))</f>
        <v/>
      </c>
      <c r="Z233" s="14"/>
      <c r="AA233" s="21"/>
      <c r="AB233" s="14"/>
      <c r="AC233" s="21"/>
      <c r="AD233" s="21"/>
      <c r="AE233" s="7"/>
      <c r="AF233" s="11" t="str">
        <f>IF(OR(AC233&lt;&gt;"Abierto",Z233=""),"",TODAY()-Z233)</f>
        <v/>
      </c>
      <c r="AG233" s="11" t="str">
        <f>IF(AC233&lt;&gt;"Abierto","",IF(AB233="","Sin siguiente acción",IF(AB233&lt;TODAY(),"Vencido",IF(AB233=TODAY(),"Hoy","En tiempo"))))</f>
        <v/>
      </c>
      <c r="AH233" s="11" t="str">
        <f>IF(OR(B233="",V233=""),"",V233-B233)</f>
        <v/>
      </c>
      <c r="AI233" s="16" t="str">
        <f>IF(P233="","",P233-WEEKDAY(P233,3))</f>
        <v/>
      </c>
      <c r="AJ233" s="23" t="str">
        <f>IF(P233="","",DATE(YEAR(P233),MONTH(P233),1))</f>
        <v/>
      </c>
    </row>
    <row r="234">
      <c r="A234" s="21"/>
      <c r="B234" s="14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14"/>
      <c r="Q234" s="21"/>
      <c r="R234" s="21"/>
      <c r="S234" s="21"/>
      <c r="T234" s="21"/>
      <c r="U234" s="21"/>
      <c r="V234" s="14"/>
      <c r="W234" s="22"/>
      <c r="X234" s="14"/>
      <c r="Y234" s="11" t="str">
        <f>IF(V234="","",IF(X234&lt;&gt;"",IF(X234-V234&lt;30,"No","Sí"),IF(TODAY()-V234&gt;=30,"Sí","En curso")))</f>
        <v/>
      </c>
      <c r="Z234" s="14"/>
      <c r="AA234" s="21"/>
      <c r="AB234" s="14"/>
      <c r="AC234" s="21"/>
      <c r="AD234" s="21"/>
      <c r="AE234" s="7"/>
      <c r="AF234" s="11" t="str">
        <f>IF(OR(AC234&lt;&gt;"Abierto",Z234=""),"",TODAY()-Z234)</f>
        <v/>
      </c>
      <c r="AG234" s="11" t="str">
        <f>IF(AC234&lt;&gt;"Abierto","",IF(AB234="","Sin siguiente acción",IF(AB234&lt;TODAY(),"Vencido",IF(AB234=TODAY(),"Hoy","En tiempo"))))</f>
        <v/>
      </c>
      <c r="AH234" s="11" t="str">
        <f>IF(OR(B234="",V234=""),"",V234-B234)</f>
        <v/>
      </c>
      <c r="AI234" s="16" t="str">
        <f>IF(P234="","",P234-WEEKDAY(P234,3))</f>
        <v/>
      </c>
      <c r="AJ234" s="23" t="str">
        <f>IF(P234="","",DATE(YEAR(P234),MONTH(P234),1))</f>
        <v/>
      </c>
    </row>
    <row r="235">
      <c r="A235" s="21"/>
      <c r="B235" s="14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14"/>
      <c r="Q235" s="21"/>
      <c r="R235" s="21"/>
      <c r="S235" s="21"/>
      <c r="T235" s="21"/>
      <c r="U235" s="21"/>
      <c r="V235" s="14"/>
      <c r="W235" s="22"/>
      <c r="X235" s="14"/>
      <c r="Y235" s="11" t="str">
        <f>IF(V235="","",IF(X235&lt;&gt;"",IF(X235-V235&lt;30,"No","Sí"),IF(TODAY()-V235&gt;=30,"Sí","En curso")))</f>
        <v/>
      </c>
      <c r="Z235" s="14"/>
      <c r="AA235" s="21"/>
      <c r="AB235" s="14"/>
      <c r="AC235" s="21"/>
      <c r="AD235" s="21"/>
      <c r="AE235" s="7"/>
      <c r="AF235" s="11" t="str">
        <f>IF(OR(AC235&lt;&gt;"Abierto",Z235=""),"",TODAY()-Z235)</f>
        <v/>
      </c>
      <c r="AG235" s="11" t="str">
        <f>IF(AC235&lt;&gt;"Abierto","",IF(AB235="","Sin siguiente acción",IF(AB235&lt;TODAY(),"Vencido",IF(AB235=TODAY(),"Hoy","En tiempo"))))</f>
        <v/>
      </c>
      <c r="AH235" s="11" t="str">
        <f>IF(OR(B235="",V235=""),"",V235-B235)</f>
        <v/>
      </c>
      <c r="AI235" s="16" t="str">
        <f>IF(P235="","",P235-WEEKDAY(P235,3))</f>
        <v/>
      </c>
      <c r="AJ235" s="23" t="str">
        <f>IF(P235="","",DATE(YEAR(P235),MONTH(P235),1))</f>
        <v/>
      </c>
    </row>
    <row r="236">
      <c r="A236" s="21"/>
      <c r="B236" s="14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14"/>
      <c r="Q236" s="21"/>
      <c r="R236" s="21"/>
      <c r="S236" s="21"/>
      <c r="T236" s="21"/>
      <c r="U236" s="21"/>
      <c r="V236" s="14"/>
      <c r="W236" s="22"/>
      <c r="X236" s="14"/>
      <c r="Y236" s="11" t="str">
        <f>IF(V236="","",IF(X236&lt;&gt;"",IF(X236-V236&lt;30,"No","Sí"),IF(TODAY()-V236&gt;=30,"Sí","En curso")))</f>
        <v/>
      </c>
      <c r="Z236" s="14"/>
      <c r="AA236" s="21"/>
      <c r="AB236" s="14"/>
      <c r="AC236" s="21"/>
      <c r="AD236" s="21"/>
      <c r="AE236" s="7"/>
      <c r="AF236" s="11" t="str">
        <f>IF(OR(AC236&lt;&gt;"Abierto",Z236=""),"",TODAY()-Z236)</f>
        <v/>
      </c>
      <c r="AG236" s="11" t="str">
        <f>IF(AC236&lt;&gt;"Abierto","",IF(AB236="","Sin siguiente acción",IF(AB236&lt;TODAY(),"Vencido",IF(AB236=TODAY(),"Hoy","En tiempo"))))</f>
        <v/>
      </c>
      <c r="AH236" s="11" t="str">
        <f>IF(OR(B236="",V236=""),"",V236-B236)</f>
        <v/>
      </c>
      <c r="AI236" s="16" t="str">
        <f>IF(P236="","",P236-WEEKDAY(P236,3))</f>
        <v/>
      </c>
      <c r="AJ236" s="23" t="str">
        <f>IF(P236="","",DATE(YEAR(P236),MONTH(P236),1))</f>
        <v/>
      </c>
    </row>
    <row r="237">
      <c r="A237" s="21"/>
      <c r="B237" s="14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14"/>
      <c r="Q237" s="21"/>
      <c r="R237" s="21"/>
      <c r="S237" s="21"/>
      <c r="T237" s="21"/>
      <c r="U237" s="21"/>
      <c r="V237" s="14"/>
      <c r="W237" s="22"/>
      <c r="X237" s="14"/>
      <c r="Y237" s="11" t="str">
        <f>IF(V237="","",IF(X237&lt;&gt;"",IF(X237-V237&lt;30,"No","Sí"),IF(TODAY()-V237&gt;=30,"Sí","En curso")))</f>
        <v/>
      </c>
      <c r="Z237" s="14"/>
      <c r="AA237" s="21"/>
      <c r="AB237" s="14"/>
      <c r="AC237" s="21"/>
      <c r="AD237" s="21"/>
      <c r="AE237" s="7"/>
      <c r="AF237" s="11" t="str">
        <f>IF(OR(AC237&lt;&gt;"Abierto",Z237=""),"",TODAY()-Z237)</f>
        <v/>
      </c>
      <c r="AG237" s="11" t="str">
        <f>IF(AC237&lt;&gt;"Abierto","",IF(AB237="","Sin siguiente acción",IF(AB237&lt;TODAY(),"Vencido",IF(AB237=TODAY(),"Hoy","En tiempo"))))</f>
        <v/>
      </c>
      <c r="AH237" s="11" t="str">
        <f>IF(OR(B237="",V237=""),"",V237-B237)</f>
        <v/>
      </c>
      <c r="AI237" s="16" t="str">
        <f>IF(P237="","",P237-WEEKDAY(P237,3))</f>
        <v/>
      </c>
      <c r="AJ237" s="23" t="str">
        <f>IF(P237="","",DATE(YEAR(P237),MONTH(P237),1))</f>
        <v/>
      </c>
    </row>
    <row r="238">
      <c r="A238" s="21"/>
      <c r="B238" s="14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14"/>
      <c r="Q238" s="21"/>
      <c r="R238" s="21"/>
      <c r="S238" s="21"/>
      <c r="T238" s="21"/>
      <c r="U238" s="21"/>
      <c r="V238" s="14"/>
      <c r="W238" s="22"/>
      <c r="X238" s="14"/>
      <c r="Y238" s="11" t="str">
        <f>IF(V238="","",IF(X238&lt;&gt;"",IF(X238-V238&lt;30,"No","Sí"),IF(TODAY()-V238&gt;=30,"Sí","En curso")))</f>
        <v/>
      </c>
      <c r="Z238" s="14"/>
      <c r="AA238" s="21"/>
      <c r="AB238" s="14"/>
      <c r="AC238" s="21"/>
      <c r="AD238" s="21"/>
      <c r="AE238" s="7"/>
      <c r="AF238" s="11" t="str">
        <f>IF(OR(AC238&lt;&gt;"Abierto",Z238=""),"",TODAY()-Z238)</f>
        <v/>
      </c>
      <c r="AG238" s="11" t="str">
        <f>IF(AC238&lt;&gt;"Abierto","",IF(AB238="","Sin siguiente acción",IF(AB238&lt;TODAY(),"Vencido",IF(AB238=TODAY(),"Hoy","En tiempo"))))</f>
        <v/>
      </c>
      <c r="AH238" s="11" t="str">
        <f>IF(OR(B238="",V238=""),"",V238-B238)</f>
        <v/>
      </c>
      <c r="AI238" s="16" t="str">
        <f>IF(P238="","",P238-WEEKDAY(P238,3))</f>
        <v/>
      </c>
      <c r="AJ238" s="23" t="str">
        <f>IF(P238="","",DATE(YEAR(P238),MONTH(P238),1))</f>
        <v/>
      </c>
    </row>
    <row r="239">
      <c r="A239" s="21"/>
      <c r="B239" s="14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14"/>
      <c r="Q239" s="21"/>
      <c r="R239" s="21"/>
      <c r="S239" s="21"/>
      <c r="T239" s="21"/>
      <c r="U239" s="21"/>
      <c r="V239" s="14"/>
      <c r="W239" s="22"/>
      <c r="X239" s="14"/>
      <c r="Y239" s="11" t="str">
        <f>IF(V239="","",IF(X239&lt;&gt;"",IF(X239-V239&lt;30,"No","Sí"),IF(TODAY()-V239&gt;=30,"Sí","En curso")))</f>
        <v/>
      </c>
      <c r="Z239" s="14"/>
      <c r="AA239" s="21"/>
      <c r="AB239" s="14"/>
      <c r="AC239" s="21"/>
      <c r="AD239" s="21"/>
      <c r="AE239" s="7"/>
      <c r="AF239" s="11" t="str">
        <f>IF(OR(AC239&lt;&gt;"Abierto",Z239=""),"",TODAY()-Z239)</f>
        <v/>
      </c>
      <c r="AG239" s="11" t="str">
        <f>IF(AC239&lt;&gt;"Abierto","",IF(AB239="","Sin siguiente acción",IF(AB239&lt;TODAY(),"Vencido",IF(AB239=TODAY(),"Hoy","En tiempo"))))</f>
        <v/>
      </c>
      <c r="AH239" s="11" t="str">
        <f>IF(OR(B239="",V239=""),"",V239-B239)</f>
        <v/>
      </c>
      <c r="AI239" s="16" t="str">
        <f>IF(P239="","",P239-WEEKDAY(P239,3))</f>
        <v/>
      </c>
      <c r="AJ239" s="23" t="str">
        <f>IF(P239="","",DATE(YEAR(P239),MONTH(P239),1))</f>
        <v/>
      </c>
    </row>
    <row r="240">
      <c r="A240" s="21"/>
      <c r="B240" s="14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14"/>
      <c r="Q240" s="21"/>
      <c r="R240" s="21"/>
      <c r="S240" s="21"/>
      <c r="T240" s="21"/>
      <c r="U240" s="21"/>
      <c r="V240" s="14"/>
      <c r="W240" s="22"/>
      <c r="X240" s="14"/>
      <c r="Y240" s="11" t="str">
        <f>IF(V240="","",IF(X240&lt;&gt;"",IF(X240-V240&lt;30,"No","Sí"),IF(TODAY()-V240&gt;=30,"Sí","En curso")))</f>
        <v/>
      </c>
      <c r="Z240" s="14"/>
      <c r="AA240" s="21"/>
      <c r="AB240" s="14"/>
      <c r="AC240" s="21"/>
      <c r="AD240" s="21"/>
      <c r="AE240" s="7"/>
      <c r="AF240" s="11" t="str">
        <f>IF(OR(AC240&lt;&gt;"Abierto",Z240=""),"",TODAY()-Z240)</f>
        <v/>
      </c>
      <c r="AG240" s="11" t="str">
        <f>IF(AC240&lt;&gt;"Abierto","",IF(AB240="","Sin siguiente acción",IF(AB240&lt;TODAY(),"Vencido",IF(AB240=TODAY(),"Hoy","En tiempo"))))</f>
        <v/>
      </c>
      <c r="AH240" s="11" t="str">
        <f>IF(OR(B240="",V240=""),"",V240-B240)</f>
        <v/>
      </c>
      <c r="AI240" s="16" t="str">
        <f>IF(P240="","",P240-WEEKDAY(P240,3))</f>
        <v/>
      </c>
      <c r="AJ240" s="23" t="str">
        <f>IF(P240="","",DATE(YEAR(P240),MONTH(P240),1))</f>
        <v/>
      </c>
    </row>
    <row r="241">
      <c r="A241" s="21"/>
      <c r="B241" s="14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14"/>
      <c r="Q241" s="21"/>
      <c r="R241" s="21"/>
      <c r="S241" s="21"/>
      <c r="T241" s="21"/>
      <c r="U241" s="21"/>
      <c r="V241" s="14"/>
      <c r="W241" s="22"/>
      <c r="X241" s="14"/>
      <c r="Y241" s="11" t="str">
        <f>IF(V241="","",IF(X241&lt;&gt;"",IF(X241-V241&lt;30,"No","Sí"),IF(TODAY()-V241&gt;=30,"Sí","En curso")))</f>
        <v/>
      </c>
      <c r="Z241" s="14"/>
      <c r="AA241" s="21"/>
      <c r="AB241" s="14"/>
      <c r="AC241" s="21"/>
      <c r="AD241" s="21"/>
      <c r="AE241" s="7"/>
      <c r="AF241" s="11" t="str">
        <f>IF(OR(AC241&lt;&gt;"Abierto",Z241=""),"",TODAY()-Z241)</f>
        <v/>
      </c>
      <c r="AG241" s="11" t="str">
        <f>IF(AC241&lt;&gt;"Abierto","",IF(AB241="","Sin siguiente acción",IF(AB241&lt;TODAY(),"Vencido",IF(AB241=TODAY(),"Hoy","En tiempo"))))</f>
        <v/>
      </c>
      <c r="AH241" s="11" t="str">
        <f>IF(OR(B241="",V241=""),"",V241-B241)</f>
        <v/>
      </c>
      <c r="AI241" s="16" t="str">
        <f>IF(P241="","",P241-WEEKDAY(P241,3))</f>
        <v/>
      </c>
      <c r="AJ241" s="23" t="str">
        <f>IF(P241="","",DATE(YEAR(P241),MONTH(P241),1))</f>
        <v/>
      </c>
    </row>
    <row r="242">
      <c r="A242" s="21"/>
      <c r="B242" s="14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14"/>
      <c r="Q242" s="21"/>
      <c r="R242" s="21"/>
      <c r="S242" s="21"/>
      <c r="T242" s="21"/>
      <c r="U242" s="21"/>
      <c r="V242" s="14"/>
      <c r="W242" s="22"/>
      <c r="X242" s="14"/>
      <c r="Y242" s="11" t="str">
        <f>IF(V242="","",IF(X242&lt;&gt;"",IF(X242-V242&lt;30,"No","Sí"),IF(TODAY()-V242&gt;=30,"Sí","En curso")))</f>
        <v/>
      </c>
      <c r="Z242" s="14"/>
      <c r="AA242" s="21"/>
      <c r="AB242" s="14"/>
      <c r="AC242" s="21"/>
      <c r="AD242" s="21"/>
      <c r="AE242" s="7"/>
      <c r="AF242" s="11" t="str">
        <f>IF(OR(AC242&lt;&gt;"Abierto",Z242=""),"",TODAY()-Z242)</f>
        <v/>
      </c>
      <c r="AG242" s="11" t="str">
        <f>IF(AC242&lt;&gt;"Abierto","",IF(AB242="","Sin siguiente acción",IF(AB242&lt;TODAY(),"Vencido",IF(AB242=TODAY(),"Hoy","En tiempo"))))</f>
        <v/>
      </c>
      <c r="AH242" s="11" t="str">
        <f>IF(OR(B242="",V242=""),"",V242-B242)</f>
        <v/>
      </c>
      <c r="AI242" s="16" t="str">
        <f>IF(P242="","",P242-WEEKDAY(P242,3))</f>
        <v/>
      </c>
      <c r="AJ242" s="23" t="str">
        <f>IF(P242="","",DATE(YEAR(P242),MONTH(P242),1))</f>
        <v/>
      </c>
    </row>
    <row r="243">
      <c r="A243" s="21"/>
      <c r="B243" s="14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14"/>
      <c r="Q243" s="21"/>
      <c r="R243" s="21"/>
      <c r="S243" s="21"/>
      <c r="T243" s="21"/>
      <c r="U243" s="21"/>
      <c r="V243" s="14"/>
      <c r="W243" s="22"/>
      <c r="X243" s="14"/>
      <c r="Y243" s="11" t="str">
        <f>IF(V243="","",IF(X243&lt;&gt;"",IF(X243-V243&lt;30,"No","Sí"),IF(TODAY()-V243&gt;=30,"Sí","En curso")))</f>
        <v/>
      </c>
      <c r="Z243" s="14"/>
      <c r="AA243" s="21"/>
      <c r="AB243" s="14"/>
      <c r="AC243" s="21"/>
      <c r="AD243" s="21"/>
      <c r="AE243" s="7"/>
      <c r="AF243" s="11" t="str">
        <f>IF(OR(AC243&lt;&gt;"Abierto",Z243=""),"",TODAY()-Z243)</f>
        <v/>
      </c>
      <c r="AG243" s="11" t="str">
        <f>IF(AC243&lt;&gt;"Abierto","",IF(AB243="","Sin siguiente acción",IF(AB243&lt;TODAY(),"Vencido",IF(AB243=TODAY(),"Hoy","En tiempo"))))</f>
        <v/>
      </c>
      <c r="AH243" s="11" t="str">
        <f>IF(OR(B243="",V243=""),"",V243-B243)</f>
        <v/>
      </c>
      <c r="AI243" s="16" t="str">
        <f>IF(P243="","",P243-WEEKDAY(P243,3))</f>
        <v/>
      </c>
      <c r="AJ243" s="23" t="str">
        <f>IF(P243="","",DATE(YEAR(P243),MONTH(P243),1))</f>
        <v/>
      </c>
    </row>
    <row r="244">
      <c r="A244" s="21"/>
      <c r="B244" s="14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14"/>
      <c r="Q244" s="21"/>
      <c r="R244" s="21"/>
      <c r="S244" s="21"/>
      <c r="T244" s="21"/>
      <c r="U244" s="21"/>
      <c r="V244" s="14"/>
      <c r="W244" s="22"/>
      <c r="X244" s="14"/>
      <c r="Y244" s="11" t="str">
        <f>IF(V244="","",IF(X244&lt;&gt;"",IF(X244-V244&lt;30,"No","Sí"),IF(TODAY()-V244&gt;=30,"Sí","En curso")))</f>
        <v/>
      </c>
      <c r="Z244" s="14"/>
      <c r="AA244" s="21"/>
      <c r="AB244" s="14"/>
      <c r="AC244" s="21"/>
      <c r="AD244" s="21"/>
      <c r="AE244" s="7"/>
      <c r="AF244" s="11" t="str">
        <f>IF(OR(AC244&lt;&gt;"Abierto",Z244=""),"",TODAY()-Z244)</f>
        <v/>
      </c>
      <c r="AG244" s="11" t="str">
        <f>IF(AC244&lt;&gt;"Abierto","",IF(AB244="","Sin siguiente acción",IF(AB244&lt;TODAY(),"Vencido",IF(AB244=TODAY(),"Hoy","En tiempo"))))</f>
        <v/>
      </c>
      <c r="AH244" s="11" t="str">
        <f>IF(OR(B244="",V244=""),"",V244-B244)</f>
        <v/>
      </c>
      <c r="AI244" s="16" t="str">
        <f>IF(P244="","",P244-WEEKDAY(P244,3))</f>
        <v/>
      </c>
      <c r="AJ244" s="23" t="str">
        <f>IF(P244="","",DATE(YEAR(P244),MONTH(P244),1))</f>
        <v/>
      </c>
    </row>
    <row r="245">
      <c r="A245" s="21"/>
      <c r="B245" s="14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14"/>
      <c r="Q245" s="21"/>
      <c r="R245" s="21"/>
      <c r="S245" s="21"/>
      <c r="T245" s="21"/>
      <c r="U245" s="21"/>
      <c r="V245" s="14"/>
      <c r="W245" s="22"/>
      <c r="X245" s="14"/>
      <c r="Y245" s="11" t="str">
        <f>IF(V245="","",IF(X245&lt;&gt;"",IF(X245-V245&lt;30,"No","Sí"),IF(TODAY()-V245&gt;=30,"Sí","En curso")))</f>
        <v/>
      </c>
      <c r="Z245" s="14"/>
      <c r="AA245" s="21"/>
      <c r="AB245" s="14"/>
      <c r="AC245" s="21"/>
      <c r="AD245" s="21"/>
      <c r="AE245" s="7"/>
      <c r="AF245" s="11" t="str">
        <f>IF(OR(AC245&lt;&gt;"Abierto",Z245=""),"",TODAY()-Z245)</f>
        <v/>
      </c>
      <c r="AG245" s="11" t="str">
        <f>IF(AC245&lt;&gt;"Abierto","",IF(AB245="","Sin siguiente acción",IF(AB245&lt;TODAY(),"Vencido",IF(AB245=TODAY(),"Hoy","En tiempo"))))</f>
        <v/>
      </c>
      <c r="AH245" s="11" t="str">
        <f>IF(OR(B245="",V245=""),"",V245-B245)</f>
        <v/>
      </c>
      <c r="AI245" s="16" t="str">
        <f>IF(P245="","",P245-WEEKDAY(P245,3))</f>
        <v/>
      </c>
      <c r="AJ245" s="23" t="str">
        <f>IF(P245="","",DATE(YEAR(P245),MONTH(P245),1))</f>
        <v/>
      </c>
    </row>
    <row r="246">
      <c r="A246" s="21"/>
      <c r="B246" s="14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14"/>
      <c r="Q246" s="21"/>
      <c r="R246" s="21"/>
      <c r="S246" s="21"/>
      <c r="T246" s="21"/>
      <c r="U246" s="21"/>
      <c r="V246" s="14"/>
      <c r="W246" s="22"/>
      <c r="X246" s="14"/>
      <c r="Y246" s="11" t="str">
        <f>IF(V246="","",IF(X246&lt;&gt;"",IF(X246-V246&lt;30,"No","Sí"),IF(TODAY()-V246&gt;=30,"Sí","En curso")))</f>
        <v/>
      </c>
      <c r="Z246" s="14"/>
      <c r="AA246" s="21"/>
      <c r="AB246" s="14"/>
      <c r="AC246" s="21"/>
      <c r="AD246" s="21"/>
      <c r="AE246" s="7"/>
      <c r="AF246" s="11" t="str">
        <f>IF(OR(AC246&lt;&gt;"Abierto",Z246=""),"",TODAY()-Z246)</f>
        <v/>
      </c>
      <c r="AG246" s="11" t="str">
        <f>IF(AC246&lt;&gt;"Abierto","",IF(AB246="","Sin siguiente acción",IF(AB246&lt;TODAY(),"Vencido",IF(AB246=TODAY(),"Hoy","En tiempo"))))</f>
        <v/>
      </c>
      <c r="AH246" s="11" t="str">
        <f>IF(OR(B246="",V246=""),"",V246-B246)</f>
        <v/>
      </c>
      <c r="AI246" s="16" t="str">
        <f>IF(P246="","",P246-WEEKDAY(P246,3))</f>
        <v/>
      </c>
      <c r="AJ246" s="23" t="str">
        <f>IF(P246="","",DATE(YEAR(P246),MONTH(P246),1))</f>
        <v/>
      </c>
    </row>
    <row r="247">
      <c r="A247" s="21"/>
      <c r="B247" s="14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14"/>
      <c r="Q247" s="21"/>
      <c r="R247" s="21"/>
      <c r="S247" s="21"/>
      <c r="T247" s="21"/>
      <c r="U247" s="21"/>
      <c r="V247" s="14"/>
      <c r="W247" s="22"/>
      <c r="X247" s="14"/>
      <c r="Y247" s="11" t="str">
        <f>IF(V247="","",IF(X247&lt;&gt;"",IF(X247-V247&lt;30,"No","Sí"),IF(TODAY()-V247&gt;=30,"Sí","En curso")))</f>
        <v/>
      </c>
      <c r="Z247" s="14"/>
      <c r="AA247" s="21"/>
      <c r="AB247" s="14"/>
      <c r="AC247" s="21"/>
      <c r="AD247" s="21"/>
      <c r="AE247" s="7"/>
      <c r="AF247" s="11" t="str">
        <f>IF(OR(AC247&lt;&gt;"Abierto",Z247=""),"",TODAY()-Z247)</f>
        <v/>
      </c>
      <c r="AG247" s="11" t="str">
        <f>IF(AC247&lt;&gt;"Abierto","",IF(AB247="","Sin siguiente acción",IF(AB247&lt;TODAY(),"Vencido",IF(AB247=TODAY(),"Hoy","En tiempo"))))</f>
        <v/>
      </c>
      <c r="AH247" s="11" t="str">
        <f>IF(OR(B247="",V247=""),"",V247-B247)</f>
        <v/>
      </c>
      <c r="AI247" s="16" t="str">
        <f>IF(P247="","",P247-WEEKDAY(P247,3))</f>
        <v/>
      </c>
      <c r="AJ247" s="23" t="str">
        <f>IF(P247="","",DATE(YEAR(P247),MONTH(P247),1))</f>
        <v/>
      </c>
    </row>
    <row r="248">
      <c r="A248" s="21"/>
      <c r="B248" s="14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14"/>
      <c r="Q248" s="21"/>
      <c r="R248" s="21"/>
      <c r="S248" s="21"/>
      <c r="T248" s="21"/>
      <c r="U248" s="21"/>
      <c r="V248" s="14"/>
      <c r="W248" s="22"/>
      <c r="X248" s="14"/>
      <c r="Y248" s="11" t="str">
        <f>IF(V248="","",IF(X248&lt;&gt;"",IF(X248-V248&lt;30,"No","Sí"),IF(TODAY()-V248&gt;=30,"Sí","En curso")))</f>
        <v/>
      </c>
      <c r="Z248" s="14"/>
      <c r="AA248" s="21"/>
      <c r="AB248" s="14"/>
      <c r="AC248" s="21"/>
      <c r="AD248" s="21"/>
      <c r="AE248" s="7"/>
      <c r="AF248" s="11" t="str">
        <f>IF(OR(AC248&lt;&gt;"Abierto",Z248=""),"",TODAY()-Z248)</f>
        <v/>
      </c>
      <c r="AG248" s="11" t="str">
        <f>IF(AC248&lt;&gt;"Abierto","",IF(AB248="","Sin siguiente acción",IF(AB248&lt;TODAY(),"Vencido",IF(AB248=TODAY(),"Hoy","En tiempo"))))</f>
        <v/>
      </c>
      <c r="AH248" s="11" t="str">
        <f>IF(OR(B248="",V248=""),"",V248-B248)</f>
        <v/>
      </c>
      <c r="AI248" s="16" t="str">
        <f>IF(P248="","",P248-WEEKDAY(P248,3))</f>
        <v/>
      </c>
      <c r="AJ248" s="23" t="str">
        <f>IF(P248="","",DATE(YEAR(P248),MONTH(P248),1))</f>
        <v/>
      </c>
    </row>
    <row r="249">
      <c r="A249" s="21"/>
      <c r="B249" s="14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14"/>
      <c r="Q249" s="21"/>
      <c r="R249" s="21"/>
      <c r="S249" s="21"/>
      <c r="T249" s="21"/>
      <c r="U249" s="21"/>
      <c r="V249" s="14"/>
      <c r="W249" s="22"/>
      <c r="X249" s="14"/>
      <c r="Y249" s="11" t="str">
        <f>IF(V249="","",IF(X249&lt;&gt;"",IF(X249-V249&lt;30,"No","Sí"),IF(TODAY()-V249&gt;=30,"Sí","En curso")))</f>
        <v/>
      </c>
      <c r="Z249" s="14"/>
      <c r="AA249" s="21"/>
      <c r="AB249" s="14"/>
      <c r="AC249" s="21"/>
      <c r="AD249" s="21"/>
      <c r="AE249" s="7"/>
      <c r="AF249" s="11" t="str">
        <f>IF(OR(AC249&lt;&gt;"Abierto",Z249=""),"",TODAY()-Z249)</f>
        <v/>
      </c>
      <c r="AG249" s="11" t="str">
        <f>IF(AC249&lt;&gt;"Abierto","",IF(AB249="","Sin siguiente acción",IF(AB249&lt;TODAY(),"Vencido",IF(AB249=TODAY(),"Hoy","En tiempo"))))</f>
        <v/>
      </c>
      <c r="AH249" s="11" t="str">
        <f>IF(OR(B249="",V249=""),"",V249-B249)</f>
        <v/>
      </c>
      <c r="AI249" s="16" t="str">
        <f>IF(P249="","",P249-WEEKDAY(P249,3))</f>
        <v/>
      </c>
      <c r="AJ249" s="23" t="str">
        <f>IF(P249="","",DATE(YEAR(P249),MONTH(P249),1))</f>
        <v/>
      </c>
    </row>
    <row r="250">
      <c r="A250" s="21"/>
      <c r="B250" s="14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14"/>
      <c r="Q250" s="21"/>
      <c r="R250" s="21"/>
      <c r="S250" s="21"/>
      <c r="T250" s="21"/>
      <c r="U250" s="21"/>
      <c r="V250" s="14"/>
      <c r="W250" s="22"/>
      <c r="X250" s="14"/>
      <c r="Y250" s="11" t="str">
        <f>IF(V250="","",IF(X250&lt;&gt;"",IF(X250-V250&lt;30,"No","Sí"),IF(TODAY()-V250&gt;=30,"Sí","En curso")))</f>
        <v/>
      </c>
      <c r="Z250" s="14"/>
      <c r="AA250" s="21"/>
      <c r="AB250" s="14"/>
      <c r="AC250" s="21"/>
      <c r="AD250" s="21"/>
      <c r="AE250" s="7"/>
      <c r="AF250" s="11" t="str">
        <f>IF(OR(AC250&lt;&gt;"Abierto",Z250=""),"",TODAY()-Z250)</f>
        <v/>
      </c>
      <c r="AG250" s="11" t="str">
        <f>IF(AC250&lt;&gt;"Abierto","",IF(AB250="","Sin siguiente acción",IF(AB250&lt;TODAY(),"Vencido",IF(AB250=TODAY(),"Hoy","En tiempo"))))</f>
        <v/>
      </c>
      <c r="AH250" s="11" t="str">
        <f>IF(OR(B250="",V250=""),"",V250-B250)</f>
        <v/>
      </c>
      <c r="AI250" s="16" t="str">
        <f>IF(P250="","",P250-WEEKDAY(P250,3))</f>
        <v/>
      </c>
      <c r="AJ250" s="23" t="str">
        <f>IF(P250="","",DATE(YEAR(P250),MONTH(P250),1))</f>
        <v/>
      </c>
    </row>
    <row r="251">
      <c r="A251" s="21"/>
      <c r="B251" s="14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14"/>
      <c r="Q251" s="21"/>
      <c r="R251" s="21"/>
      <c r="S251" s="21"/>
      <c r="T251" s="21"/>
      <c r="U251" s="21"/>
      <c r="V251" s="14"/>
      <c r="W251" s="22"/>
      <c r="X251" s="14"/>
      <c r="Y251" s="11" t="str">
        <f>IF(V251="","",IF(X251&lt;&gt;"",IF(X251-V251&lt;30,"No","Sí"),IF(TODAY()-V251&gt;=30,"Sí","En curso")))</f>
        <v/>
      </c>
      <c r="Z251" s="14"/>
      <c r="AA251" s="21"/>
      <c r="AB251" s="14"/>
      <c r="AC251" s="21"/>
      <c r="AD251" s="21"/>
      <c r="AE251" s="7"/>
      <c r="AF251" s="11" t="str">
        <f>IF(OR(AC251&lt;&gt;"Abierto",Z251=""),"",TODAY()-Z251)</f>
        <v/>
      </c>
      <c r="AG251" s="11" t="str">
        <f>IF(AC251&lt;&gt;"Abierto","",IF(AB251="","Sin siguiente acción",IF(AB251&lt;TODAY(),"Vencido",IF(AB251=TODAY(),"Hoy","En tiempo"))))</f>
        <v/>
      </c>
      <c r="AH251" s="11" t="str">
        <f>IF(OR(B251="",V251=""),"",V251-B251)</f>
        <v/>
      </c>
      <c r="AI251" s="16" t="str">
        <f>IF(P251="","",P251-WEEKDAY(P251,3))</f>
        <v/>
      </c>
      <c r="AJ251" s="23" t="str">
        <f>IF(P251="","",DATE(YEAR(P251),MONTH(P251),1))</f>
        <v/>
      </c>
    </row>
    <row r="252">
      <c r="A252" s="21"/>
      <c r="B252" s="14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14"/>
      <c r="Q252" s="21"/>
      <c r="R252" s="21"/>
      <c r="S252" s="21"/>
      <c r="T252" s="21"/>
      <c r="U252" s="21"/>
      <c r="V252" s="14"/>
      <c r="W252" s="22"/>
      <c r="X252" s="14"/>
      <c r="Y252" s="11" t="str">
        <f>IF(V252="","",IF(X252&lt;&gt;"",IF(X252-V252&lt;30,"No","Sí"),IF(TODAY()-V252&gt;=30,"Sí","En curso")))</f>
        <v/>
      </c>
      <c r="Z252" s="14"/>
      <c r="AA252" s="21"/>
      <c r="AB252" s="14"/>
      <c r="AC252" s="21"/>
      <c r="AD252" s="21"/>
      <c r="AE252" s="7"/>
      <c r="AF252" s="11" t="str">
        <f>IF(OR(AC252&lt;&gt;"Abierto",Z252=""),"",TODAY()-Z252)</f>
        <v/>
      </c>
      <c r="AG252" s="11" t="str">
        <f>IF(AC252&lt;&gt;"Abierto","",IF(AB252="","Sin siguiente acción",IF(AB252&lt;TODAY(),"Vencido",IF(AB252=TODAY(),"Hoy","En tiempo"))))</f>
        <v/>
      </c>
      <c r="AH252" s="11" t="str">
        <f>IF(OR(B252="",V252=""),"",V252-B252)</f>
        <v/>
      </c>
      <c r="AI252" s="16" t="str">
        <f>IF(P252="","",P252-WEEKDAY(P252,3))</f>
        <v/>
      </c>
      <c r="AJ252" s="23" t="str">
        <f>IF(P252="","",DATE(YEAR(P252),MONTH(P252),1))</f>
        <v/>
      </c>
    </row>
    <row r="253">
      <c r="A253" s="21"/>
      <c r="B253" s="14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14"/>
      <c r="Q253" s="21"/>
      <c r="R253" s="21"/>
      <c r="S253" s="21"/>
      <c r="T253" s="21"/>
      <c r="U253" s="21"/>
      <c r="V253" s="14"/>
      <c r="W253" s="22"/>
      <c r="X253" s="14"/>
      <c r="Y253" s="11" t="str">
        <f>IF(V253="","",IF(X253&lt;&gt;"",IF(X253-V253&lt;30,"No","Sí"),IF(TODAY()-V253&gt;=30,"Sí","En curso")))</f>
        <v/>
      </c>
      <c r="Z253" s="14"/>
      <c r="AA253" s="21"/>
      <c r="AB253" s="14"/>
      <c r="AC253" s="21"/>
      <c r="AD253" s="21"/>
      <c r="AE253" s="7"/>
      <c r="AF253" s="11" t="str">
        <f>IF(OR(AC253&lt;&gt;"Abierto",Z253=""),"",TODAY()-Z253)</f>
        <v/>
      </c>
      <c r="AG253" s="11" t="str">
        <f>IF(AC253&lt;&gt;"Abierto","",IF(AB253="","Sin siguiente acción",IF(AB253&lt;TODAY(),"Vencido",IF(AB253=TODAY(),"Hoy","En tiempo"))))</f>
        <v/>
      </c>
      <c r="AH253" s="11" t="str">
        <f>IF(OR(B253="",V253=""),"",V253-B253)</f>
        <v/>
      </c>
      <c r="AI253" s="16" t="str">
        <f>IF(P253="","",P253-WEEKDAY(P253,3))</f>
        <v/>
      </c>
      <c r="AJ253" s="23" t="str">
        <f>IF(P253="","",DATE(YEAR(P253),MONTH(P253),1))</f>
        <v/>
      </c>
    </row>
    <row r="254">
      <c r="A254" s="21"/>
      <c r="B254" s="14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14"/>
      <c r="Q254" s="21"/>
      <c r="R254" s="21"/>
      <c r="S254" s="21"/>
      <c r="T254" s="21"/>
      <c r="U254" s="21"/>
      <c r="V254" s="14"/>
      <c r="W254" s="22"/>
      <c r="X254" s="14"/>
      <c r="Y254" s="11" t="str">
        <f>IF(V254="","",IF(X254&lt;&gt;"",IF(X254-V254&lt;30,"No","Sí"),IF(TODAY()-V254&gt;=30,"Sí","En curso")))</f>
        <v/>
      </c>
      <c r="Z254" s="14"/>
      <c r="AA254" s="21"/>
      <c r="AB254" s="14"/>
      <c r="AC254" s="21"/>
      <c r="AD254" s="21"/>
      <c r="AE254" s="7"/>
      <c r="AF254" s="11" t="str">
        <f>IF(OR(AC254&lt;&gt;"Abierto",Z254=""),"",TODAY()-Z254)</f>
        <v/>
      </c>
      <c r="AG254" s="11" t="str">
        <f>IF(AC254&lt;&gt;"Abierto","",IF(AB254="","Sin siguiente acción",IF(AB254&lt;TODAY(),"Vencido",IF(AB254=TODAY(),"Hoy","En tiempo"))))</f>
        <v/>
      </c>
      <c r="AH254" s="11" t="str">
        <f>IF(OR(B254="",V254=""),"",V254-B254)</f>
        <v/>
      </c>
      <c r="AI254" s="16" t="str">
        <f>IF(P254="","",P254-WEEKDAY(P254,3))</f>
        <v/>
      </c>
      <c r="AJ254" s="23" t="str">
        <f>IF(P254="","",DATE(YEAR(P254),MONTH(P254),1))</f>
        <v/>
      </c>
    </row>
    <row r="255">
      <c r="A255" s="21"/>
      <c r="B255" s="14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14"/>
      <c r="Q255" s="21"/>
      <c r="R255" s="21"/>
      <c r="S255" s="21"/>
      <c r="T255" s="21"/>
      <c r="U255" s="21"/>
      <c r="V255" s="14"/>
      <c r="W255" s="22"/>
      <c r="X255" s="14"/>
      <c r="Y255" s="11" t="str">
        <f>IF(V255="","",IF(X255&lt;&gt;"",IF(X255-V255&lt;30,"No","Sí"),IF(TODAY()-V255&gt;=30,"Sí","En curso")))</f>
        <v/>
      </c>
      <c r="Z255" s="14"/>
      <c r="AA255" s="21"/>
      <c r="AB255" s="14"/>
      <c r="AC255" s="21"/>
      <c r="AD255" s="21"/>
      <c r="AE255" s="7"/>
      <c r="AF255" s="11" t="str">
        <f>IF(OR(AC255&lt;&gt;"Abierto",Z255=""),"",TODAY()-Z255)</f>
        <v/>
      </c>
      <c r="AG255" s="11" t="str">
        <f>IF(AC255&lt;&gt;"Abierto","",IF(AB255="","Sin siguiente acción",IF(AB255&lt;TODAY(),"Vencido",IF(AB255=TODAY(),"Hoy","En tiempo"))))</f>
        <v/>
      </c>
      <c r="AH255" s="11" t="str">
        <f>IF(OR(B255="",V255=""),"",V255-B255)</f>
        <v/>
      </c>
      <c r="AI255" s="16" t="str">
        <f>IF(P255="","",P255-WEEKDAY(P255,3))</f>
        <v/>
      </c>
      <c r="AJ255" s="23" t="str">
        <f>IF(P255="","",DATE(YEAR(P255),MONTH(P255),1))</f>
        <v/>
      </c>
    </row>
    <row r="256">
      <c r="A256" s="21"/>
      <c r="B256" s="14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14"/>
      <c r="Q256" s="21"/>
      <c r="R256" s="21"/>
      <c r="S256" s="21"/>
      <c r="T256" s="21"/>
      <c r="U256" s="21"/>
      <c r="V256" s="14"/>
      <c r="W256" s="22"/>
      <c r="X256" s="14"/>
      <c r="Y256" s="11" t="str">
        <f>IF(V256="","",IF(X256&lt;&gt;"",IF(X256-V256&lt;30,"No","Sí"),IF(TODAY()-V256&gt;=30,"Sí","En curso")))</f>
        <v/>
      </c>
      <c r="Z256" s="14"/>
      <c r="AA256" s="21"/>
      <c r="AB256" s="14"/>
      <c r="AC256" s="21"/>
      <c r="AD256" s="21"/>
      <c r="AE256" s="7"/>
      <c r="AF256" s="11" t="str">
        <f>IF(OR(AC256&lt;&gt;"Abierto",Z256=""),"",TODAY()-Z256)</f>
        <v/>
      </c>
      <c r="AG256" s="11" t="str">
        <f>IF(AC256&lt;&gt;"Abierto","",IF(AB256="","Sin siguiente acción",IF(AB256&lt;TODAY(),"Vencido",IF(AB256=TODAY(),"Hoy","En tiempo"))))</f>
        <v/>
      </c>
      <c r="AH256" s="11" t="str">
        <f>IF(OR(B256="",V256=""),"",V256-B256)</f>
        <v/>
      </c>
      <c r="AI256" s="16" t="str">
        <f>IF(P256="","",P256-WEEKDAY(P256,3))</f>
        <v/>
      </c>
      <c r="AJ256" s="23" t="str">
        <f>IF(P256="","",DATE(YEAR(P256),MONTH(P256),1))</f>
        <v/>
      </c>
    </row>
    <row r="257">
      <c r="A257" s="21"/>
      <c r="B257" s="14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14"/>
      <c r="Q257" s="21"/>
      <c r="R257" s="21"/>
      <c r="S257" s="21"/>
      <c r="T257" s="21"/>
      <c r="U257" s="21"/>
      <c r="V257" s="14"/>
      <c r="W257" s="22"/>
      <c r="X257" s="14"/>
      <c r="Y257" s="11" t="str">
        <f>IF(V257="","",IF(X257&lt;&gt;"",IF(X257-V257&lt;30,"No","Sí"),IF(TODAY()-V257&gt;=30,"Sí","En curso")))</f>
        <v/>
      </c>
      <c r="Z257" s="14"/>
      <c r="AA257" s="21"/>
      <c r="AB257" s="14"/>
      <c r="AC257" s="21"/>
      <c r="AD257" s="21"/>
      <c r="AE257" s="7"/>
      <c r="AF257" s="11" t="str">
        <f>IF(OR(AC257&lt;&gt;"Abierto",Z257=""),"",TODAY()-Z257)</f>
        <v/>
      </c>
      <c r="AG257" s="11" t="str">
        <f>IF(AC257&lt;&gt;"Abierto","",IF(AB257="","Sin siguiente acción",IF(AB257&lt;TODAY(),"Vencido",IF(AB257=TODAY(),"Hoy","En tiempo"))))</f>
        <v/>
      </c>
      <c r="AH257" s="11" t="str">
        <f>IF(OR(B257="",V257=""),"",V257-B257)</f>
        <v/>
      </c>
      <c r="AI257" s="16" t="str">
        <f>IF(P257="","",P257-WEEKDAY(P257,3))</f>
        <v/>
      </c>
      <c r="AJ257" s="23" t="str">
        <f>IF(P257="","",DATE(YEAR(P257),MONTH(P257),1))</f>
        <v/>
      </c>
    </row>
    <row r="258">
      <c r="A258" s="21"/>
      <c r="B258" s="14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14"/>
      <c r="Q258" s="21"/>
      <c r="R258" s="21"/>
      <c r="S258" s="21"/>
      <c r="T258" s="21"/>
      <c r="U258" s="21"/>
      <c r="V258" s="14"/>
      <c r="W258" s="22"/>
      <c r="X258" s="14"/>
      <c r="Y258" s="11" t="str">
        <f>IF(V258="","",IF(X258&lt;&gt;"",IF(X258-V258&lt;30,"No","Sí"),IF(TODAY()-V258&gt;=30,"Sí","En curso")))</f>
        <v/>
      </c>
      <c r="Z258" s="14"/>
      <c r="AA258" s="21"/>
      <c r="AB258" s="14"/>
      <c r="AC258" s="21"/>
      <c r="AD258" s="21"/>
      <c r="AE258" s="7"/>
      <c r="AF258" s="11" t="str">
        <f>IF(OR(AC258&lt;&gt;"Abierto",Z258=""),"",TODAY()-Z258)</f>
        <v/>
      </c>
      <c r="AG258" s="11" t="str">
        <f>IF(AC258&lt;&gt;"Abierto","",IF(AB258="","Sin siguiente acción",IF(AB258&lt;TODAY(),"Vencido",IF(AB258=TODAY(),"Hoy","En tiempo"))))</f>
        <v/>
      </c>
      <c r="AH258" s="11" t="str">
        <f>IF(OR(B258="",V258=""),"",V258-B258)</f>
        <v/>
      </c>
      <c r="AI258" s="16" t="str">
        <f>IF(P258="","",P258-WEEKDAY(P258,3))</f>
        <v/>
      </c>
      <c r="AJ258" s="23" t="str">
        <f>IF(P258="","",DATE(YEAR(P258),MONTH(P258),1))</f>
        <v/>
      </c>
    </row>
    <row r="259">
      <c r="A259" s="21"/>
      <c r="B259" s="14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14"/>
      <c r="Q259" s="21"/>
      <c r="R259" s="21"/>
      <c r="S259" s="21"/>
      <c r="T259" s="21"/>
      <c r="U259" s="21"/>
      <c r="V259" s="14"/>
      <c r="W259" s="22"/>
      <c r="X259" s="14"/>
      <c r="Y259" s="11" t="str">
        <f>IF(V259="","",IF(X259&lt;&gt;"",IF(X259-V259&lt;30,"No","Sí"),IF(TODAY()-V259&gt;=30,"Sí","En curso")))</f>
        <v/>
      </c>
      <c r="Z259" s="14"/>
      <c r="AA259" s="21"/>
      <c r="AB259" s="14"/>
      <c r="AC259" s="21"/>
      <c r="AD259" s="21"/>
      <c r="AE259" s="7"/>
      <c r="AF259" s="11" t="str">
        <f>IF(OR(AC259&lt;&gt;"Abierto",Z259=""),"",TODAY()-Z259)</f>
        <v/>
      </c>
      <c r="AG259" s="11" t="str">
        <f>IF(AC259&lt;&gt;"Abierto","",IF(AB259="","Sin siguiente acción",IF(AB259&lt;TODAY(),"Vencido",IF(AB259=TODAY(),"Hoy","En tiempo"))))</f>
        <v/>
      </c>
      <c r="AH259" s="11" t="str">
        <f>IF(OR(B259="",V259=""),"",V259-B259)</f>
        <v/>
      </c>
      <c r="AI259" s="16" t="str">
        <f>IF(P259="","",P259-WEEKDAY(P259,3))</f>
        <v/>
      </c>
      <c r="AJ259" s="23" t="str">
        <f>IF(P259="","",DATE(YEAR(P259),MONTH(P259),1))</f>
        <v/>
      </c>
    </row>
    <row r="260">
      <c r="A260" s="21"/>
      <c r="B260" s="14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14"/>
      <c r="Q260" s="21"/>
      <c r="R260" s="21"/>
      <c r="S260" s="21"/>
      <c r="T260" s="21"/>
      <c r="U260" s="21"/>
      <c r="V260" s="14"/>
      <c r="W260" s="22"/>
      <c r="X260" s="14"/>
      <c r="Y260" s="11" t="str">
        <f>IF(V260="","",IF(X260&lt;&gt;"",IF(X260-V260&lt;30,"No","Sí"),IF(TODAY()-V260&gt;=30,"Sí","En curso")))</f>
        <v/>
      </c>
      <c r="Z260" s="14"/>
      <c r="AA260" s="21"/>
      <c r="AB260" s="14"/>
      <c r="AC260" s="21"/>
      <c r="AD260" s="21"/>
      <c r="AE260" s="7"/>
      <c r="AF260" s="11" t="str">
        <f>IF(OR(AC260&lt;&gt;"Abierto",Z260=""),"",TODAY()-Z260)</f>
        <v/>
      </c>
      <c r="AG260" s="11" t="str">
        <f>IF(AC260&lt;&gt;"Abierto","",IF(AB260="","Sin siguiente acción",IF(AB260&lt;TODAY(),"Vencido",IF(AB260=TODAY(),"Hoy","En tiempo"))))</f>
        <v/>
      </c>
      <c r="AH260" s="11" t="str">
        <f>IF(OR(B260="",V260=""),"",V260-B260)</f>
        <v/>
      </c>
      <c r="AI260" s="16" t="str">
        <f>IF(P260="","",P260-WEEKDAY(P260,3))</f>
        <v/>
      </c>
      <c r="AJ260" s="23" t="str">
        <f>IF(P260="","",DATE(YEAR(P260),MONTH(P260),1))</f>
        <v/>
      </c>
    </row>
    <row r="261">
      <c r="A261" s="21"/>
      <c r="B261" s="14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14"/>
      <c r="Q261" s="21"/>
      <c r="R261" s="21"/>
      <c r="S261" s="21"/>
      <c r="T261" s="21"/>
      <c r="U261" s="21"/>
      <c r="V261" s="14"/>
      <c r="W261" s="22"/>
      <c r="X261" s="14"/>
      <c r="Y261" s="11" t="str">
        <f>IF(V261="","",IF(X261&lt;&gt;"",IF(X261-V261&lt;30,"No","Sí"),IF(TODAY()-V261&gt;=30,"Sí","En curso")))</f>
        <v/>
      </c>
      <c r="Z261" s="14"/>
      <c r="AA261" s="21"/>
      <c r="AB261" s="14"/>
      <c r="AC261" s="21"/>
      <c r="AD261" s="21"/>
      <c r="AE261" s="7"/>
      <c r="AF261" s="11" t="str">
        <f>IF(OR(AC261&lt;&gt;"Abierto",Z261=""),"",TODAY()-Z261)</f>
        <v/>
      </c>
      <c r="AG261" s="11" t="str">
        <f>IF(AC261&lt;&gt;"Abierto","",IF(AB261="","Sin siguiente acción",IF(AB261&lt;TODAY(),"Vencido",IF(AB261=TODAY(),"Hoy","En tiempo"))))</f>
        <v/>
      </c>
      <c r="AH261" s="11" t="str">
        <f>IF(OR(B261="",V261=""),"",V261-B261)</f>
        <v/>
      </c>
      <c r="AI261" s="16" t="str">
        <f>IF(P261="","",P261-WEEKDAY(P261,3))</f>
        <v/>
      </c>
      <c r="AJ261" s="23" t="str">
        <f>IF(P261="","",DATE(YEAR(P261),MONTH(P261),1))</f>
        <v/>
      </c>
    </row>
    <row r="262">
      <c r="A262" s="21"/>
      <c r="B262" s="14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14"/>
      <c r="Q262" s="21"/>
      <c r="R262" s="21"/>
      <c r="S262" s="21"/>
      <c r="T262" s="21"/>
      <c r="U262" s="21"/>
      <c r="V262" s="14"/>
      <c r="W262" s="22"/>
      <c r="X262" s="14"/>
      <c r="Y262" s="11" t="str">
        <f>IF(V262="","",IF(X262&lt;&gt;"",IF(X262-V262&lt;30,"No","Sí"),IF(TODAY()-V262&gt;=30,"Sí","En curso")))</f>
        <v/>
      </c>
      <c r="Z262" s="14"/>
      <c r="AA262" s="21"/>
      <c r="AB262" s="14"/>
      <c r="AC262" s="21"/>
      <c r="AD262" s="21"/>
      <c r="AE262" s="7"/>
      <c r="AF262" s="11" t="str">
        <f>IF(OR(AC262&lt;&gt;"Abierto",Z262=""),"",TODAY()-Z262)</f>
        <v/>
      </c>
      <c r="AG262" s="11" t="str">
        <f>IF(AC262&lt;&gt;"Abierto","",IF(AB262="","Sin siguiente acción",IF(AB262&lt;TODAY(),"Vencido",IF(AB262=TODAY(),"Hoy","En tiempo"))))</f>
        <v/>
      </c>
      <c r="AH262" s="11" t="str">
        <f>IF(OR(B262="",V262=""),"",V262-B262)</f>
        <v/>
      </c>
      <c r="AI262" s="16" t="str">
        <f>IF(P262="","",P262-WEEKDAY(P262,3))</f>
        <v/>
      </c>
      <c r="AJ262" s="23" t="str">
        <f>IF(P262="","",DATE(YEAR(P262),MONTH(P262),1))</f>
        <v/>
      </c>
    </row>
    <row r="263">
      <c r="A263" s="21"/>
      <c r="B263" s="14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14"/>
      <c r="Q263" s="21"/>
      <c r="R263" s="21"/>
      <c r="S263" s="21"/>
      <c r="T263" s="21"/>
      <c r="U263" s="21"/>
      <c r="V263" s="14"/>
      <c r="W263" s="22"/>
      <c r="X263" s="14"/>
      <c r="Y263" s="11" t="str">
        <f>IF(V263="","",IF(X263&lt;&gt;"",IF(X263-V263&lt;30,"No","Sí"),IF(TODAY()-V263&gt;=30,"Sí","En curso")))</f>
        <v/>
      </c>
      <c r="Z263" s="14"/>
      <c r="AA263" s="21"/>
      <c r="AB263" s="14"/>
      <c r="AC263" s="21"/>
      <c r="AD263" s="21"/>
      <c r="AE263" s="7"/>
      <c r="AF263" s="11" t="str">
        <f>IF(OR(AC263&lt;&gt;"Abierto",Z263=""),"",TODAY()-Z263)</f>
        <v/>
      </c>
      <c r="AG263" s="11" t="str">
        <f>IF(AC263&lt;&gt;"Abierto","",IF(AB263="","Sin siguiente acción",IF(AB263&lt;TODAY(),"Vencido",IF(AB263=TODAY(),"Hoy","En tiempo"))))</f>
        <v/>
      </c>
      <c r="AH263" s="11" t="str">
        <f>IF(OR(B263="",V263=""),"",V263-B263)</f>
        <v/>
      </c>
      <c r="AI263" s="16" t="str">
        <f>IF(P263="","",P263-WEEKDAY(P263,3))</f>
        <v/>
      </c>
      <c r="AJ263" s="23" t="str">
        <f>IF(P263="","",DATE(YEAR(P263),MONTH(P263),1))</f>
        <v/>
      </c>
    </row>
    <row r="264">
      <c r="A264" s="21"/>
      <c r="B264" s="14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14"/>
      <c r="Q264" s="21"/>
      <c r="R264" s="21"/>
      <c r="S264" s="21"/>
      <c r="T264" s="21"/>
      <c r="U264" s="21"/>
      <c r="V264" s="14"/>
      <c r="W264" s="22"/>
      <c r="X264" s="14"/>
      <c r="Y264" s="11" t="str">
        <f>IF(V264="","",IF(X264&lt;&gt;"",IF(X264-V264&lt;30,"No","Sí"),IF(TODAY()-V264&gt;=30,"Sí","En curso")))</f>
        <v/>
      </c>
      <c r="Z264" s="14"/>
      <c r="AA264" s="21"/>
      <c r="AB264" s="14"/>
      <c r="AC264" s="21"/>
      <c r="AD264" s="21"/>
      <c r="AE264" s="7"/>
      <c r="AF264" s="11" t="str">
        <f>IF(OR(AC264&lt;&gt;"Abierto",Z264=""),"",TODAY()-Z264)</f>
        <v/>
      </c>
      <c r="AG264" s="11" t="str">
        <f>IF(AC264&lt;&gt;"Abierto","",IF(AB264="","Sin siguiente acción",IF(AB264&lt;TODAY(),"Vencido",IF(AB264=TODAY(),"Hoy","En tiempo"))))</f>
        <v/>
      </c>
      <c r="AH264" s="11" t="str">
        <f>IF(OR(B264="",V264=""),"",V264-B264)</f>
        <v/>
      </c>
      <c r="AI264" s="16" t="str">
        <f>IF(P264="","",P264-WEEKDAY(P264,3))</f>
        <v/>
      </c>
      <c r="AJ264" s="23" t="str">
        <f>IF(P264="","",DATE(YEAR(P264),MONTH(P264),1))</f>
        <v/>
      </c>
    </row>
    <row r="265">
      <c r="A265" s="21"/>
      <c r="B265" s="14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14"/>
      <c r="Q265" s="21"/>
      <c r="R265" s="21"/>
      <c r="S265" s="21"/>
      <c r="T265" s="21"/>
      <c r="U265" s="21"/>
      <c r="V265" s="14"/>
      <c r="W265" s="22"/>
      <c r="X265" s="14"/>
      <c r="Y265" s="11" t="str">
        <f>IF(V265="","",IF(X265&lt;&gt;"",IF(X265-V265&lt;30,"No","Sí"),IF(TODAY()-V265&gt;=30,"Sí","En curso")))</f>
        <v/>
      </c>
      <c r="Z265" s="14"/>
      <c r="AA265" s="21"/>
      <c r="AB265" s="14"/>
      <c r="AC265" s="21"/>
      <c r="AD265" s="21"/>
      <c r="AE265" s="7"/>
      <c r="AF265" s="11" t="str">
        <f>IF(OR(AC265&lt;&gt;"Abierto",Z265=""),"",TODAY()-Z265)</f>
        <v/>
      </c>
      <c r="AG265" s="11" t="str">
        <f>IF(AC265&lt;&gt;"Abierto","",IF(AB265="","Sin siguiente acción",IF(AB265&lt;TODAY(),"Vencido",IF(AB265=TODAY(),"Hoy","En tiempo"))))</f>
        <v/>
      </c>
      <c r="AH265" s="11" t="str">
        <f>IF(OR(B265="",V265=""),"",V265-B265)</f>
        <v/>
      </c>
      <c r="AI265" s="16" t="str">
        <f>IF(P265="","",P265-WEEKDAY(P265,3))</f>
        <v/>
      </c>
      <c r="AJ265" s="23" t="str">
        <f>IF(P265="","",DATE(YEAR(P265),MONTH(P265),1))</f>
        <v/>
      </c>
    </row>
    <row r="266">
      <c r="A266" s="21"/>
      <c r="B266" s="14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14"/>
      <c r="Q266" s="21"/>
      <c r="R266" s="21"/>
      <c r="S266" s="21"/>
      <c r="T266" s="21"/>
      <c r="U266" s="21"/>
      <c r="V266" s="14"/>
      <c r="W266" s="22"/>
      <c r="X266" s="14"/>
      <c r="Y266" s="11" t="str">
        <f>IF(V266="","",IF(X266&lt;&gt;"",IF(X266-V266&lt;30,"No","Sí"),IF(TODAY()-V266&gt;=30,"Sí","En curso")))</f>
        <v/>
      </c>
      <c r="Z266" s="14"/>
      <c r="AA266" s="21"/>
      <c r="AB266" s="14"/>
      <c r="AC266" s="21"/>
      <c r="AD266" s="21"/>
      <c r="AE266" s="7"/>
      <c r="AF266" s="11" t="str">
        <f>IF(OR(AC266&lt;&gt;"Abierto",Z266=""),"",TODAY()-Z266)</f>
        <v/>
      </c>
      <c r="AG266" s="11" t="str">
        <f>IF(AC266&lt;&gt;"Abierto","",IF(AB266="","Sin siguiente acción",IF(AB266&lt;TODAY(),"Vencido",IF(AB266=TODAY(),"Hoy","En tiempo"))))</f>
        <v/>
      </c>
      <c r="AH266" s="11" t="str">
        <f>IF(OR(B266="",V266=""),"",V266-B266)</f>
        <v/>
      </c>
      <c r="AI266" s="16" t="str">
        <f>IF(P266="","",P266-WEEKDAY(P266,3))</f>
        <v/>
      </c>
      <c r="AJ266" s="23" t="str">
        <f>IF(P266="","",DATE(YEAR(P266),MONTH(P266),1))</f>
        <v/>
      </c>
    </row>
    <row r="267">
      <c r="A267" s="21"/>
      <c r="B267" s="14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14"/>
      <c r="Q267" s="21"/>
      <c r="R267" s="21"/>
      <c r="S267" s="21"/>
      <c r="T267" s="21"/>
      <c r="U267" s="21"/>
      <c r="V267" s="14"/>
      <c r="W267" s="22"/>
      <c r="X267" s="14"/>
      <c r="Y267" s="11" t="str">
        <f>IF(V267="","",IF(X267&lt;&gt;"",IF(X267-V267&lt;30,"No","Sí"),IF(TODAY()-V267&gt;=30,"Sí","En curso")))</f>
        <v/>
      </c>
      <c r="Z267" s="14"/>
      <c r="AA267" s="21"/>
      <c r="AB267" s="14"/>
      <c r="AC267" s="21"/>
      <c r="AD267" s="21"/>
      <c r="AE267" s="7"/>
      <c r="AF267" s="11" t="str">
        <f>IF(OR(AC267&lt;&gt;"Abierto",Z267=""),"",TODAY()-Z267)</f>
        <v/>
      </c>
      <c r="AG267" s="11" t="str">
        <f>IF(AC267&lt;&gt;"Abierto","",IF(AB267="","Sin siguiente acción",IF(AB267&lt;TODAY(),"Vencido",IF(AB267=TODAY(),"Hoy","En tiempo"))))</f>
        <v/>
      </c>
      <c r="AH267" s="11" t="str">
        <f>IF(OR(B267="",V267=""),"",V267-B267)</f>
        <v/>
      </c>
      <c r="AI267" s="16" t="str">
        <f>IF(P267="","",P267-WEEKDAY(P267,3))</f>
        <v/>
      </c>
      <c r="AJ267" s="23" t="str">
        <f>IF(P267="","",DATE(YEAR(P267),MONTH(P267),1))</f>
        <v/>
      </c>
    </row>
    <row r="268">
      <c r="A268" s="21"/>
      <c r="B268" s="14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14"/>
      <c r="Q268" s="21"/>
      <c r="R268" s="21"/>
      <c r="S268" s="21"/>
      <c r="T268" s="21"/>
      <c r="U268" s="21"/>
      <c r="V268" s="14"/>
      <c r="W268" s="22"/>
      <c r="X268" s="14"/>
      <c r="Y268" s="11" t="str">
        <f>IF(V268="","",IF(X268&lt;&gt;"",IF(X268-V268&lt;30,"No","Sí"),IF(TODAY()-V268&gt;=30,"Sí","En curso")))</f>
        <v/>
      </c>
      <c r="Z268" s="14"/>
      <c r="AA268" s="21"/>
      <c r="AB268" s="14"/>
      <c r="AC268" s="21"/>
      <c r="AD268" s="21"/>
      <c r="AE268" s="7"/>
      <c r="AF268" s="11" t="str">
        <f>IF(OR(AC268&lt;&gt;"Abierto",Z268=""),"",TODAY()-Z268)</f>
        <v/>
      </c>
      <c r="AG268" s="11" t="str">
        <f>IF(AC268&lt;&gt;"Abierto","",IF(AB268="","Sin siguiente acción",IF(AB268&lt;TODAY(),"Vencido",IF(AB268=TODAY(),"Hoy","En tiempo"))))</f>
        <v/>
      </c>
      <c r="AH268" s="11" t="str">
        <f>IF(OR(B268="",V268=""),"",V268-B268)</f>
        <v/>
      </c>
      <c r="AI268" s="16" t="str">
        <f>IF(P268="","",P268-WEEKDAY(P268,3))</f>
        <v/>
      </c>
      <c r="AJ268" s="23" t="str">
        <f>IF(P268="","",DATE(YEAR(P268),MONTH(P268),1))</f>
        <v/>
      </c>
    </row>
    <row r="269">
      <c r="A269" s="21"/>
      <c r="B269" s="14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14"/>
      <c r="Q269" s="21"/>
      <c r="R269" s="21"/>
      <c r="S269" s="21"/>
      <c r="T269" s="21"/>
      <c r="U269" s="21"/>
      <c r="V269" s="14"/>
      <c r="W269" s="22"/>
      <c r="X269" s="14"/>
      <c r="Y269" s="11" t="str">
        <f>IF(V269="","",IF(X269&lt;&gt;"",IF(X269-V269&lt;30,"No","Sí"),IF(TODAY()-V269&gt;=30,"Sí","En curso")))</f>
        <v/>
      </c>
      <c r="Z269" s="14"/>
      <c r="AA269" s="21"/>
      <c r="AB269" s="14"/>
      <c r="AC269" s="21"/>
      <c r="AD269" s="21"/>
      <c r="AE269" s="7"/>
      <c r="AF269" s="11" t="str">
        <f>IF(OR(AC269&lt;&gt;"Abierto",Z269=""),"",TODAY()-Z269)</f>
        <v/>
      </c>
      <c r="AG269" s="11" t="str">
        <f>IF(AC269&lt;&gt;"Abierto","",IF(AB269="","Sin siguiente acción",IF(AB269&lt;TODAY(),"Vencido",IF(AB269=TODAY(),"Hoy","En tiempo"))))</f>
        <v/>
      </c>
      <c r="AH269" s="11" t="str">
        <f>IF(OR(B269="",V269=""),"",V269-B269)</f>
        <v/>
      </c>
      <c r="AI269" s="16" t="str">
        <f>IF(P269="","",P269-WEEKDAY(P269,3))</f>
        <v/>
      </c>
      <c r="AJ269" s="23" t="str">
        <f>IF(P269="","",DATE(YEAR(P269),MONTH(P269),1))</f>
        <v/>
      </c>
    </row>
    <row r="270">
      <c r="A270" s="21"/>
      <c r="B270" s="14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14"/>
      <c r="Q270" s="21"/>
      <c r="R270" s="21"/>
      <c r="S270" s="21"/>
      <c r="T270" s="21"/>
      <c r="U270" s="21"/>
      <c r="V270" s="14"/>
      <c r="W270" s="22"/>
      <c r="X270" s="14"/>
      <c r="Y270" s="11" t="str">
        <f>IF(V270="","",IF(X270&lt;&gt;"",IF(X270-V270&lt;30,"No","Sí"),IF(TODAY()-V270&gt;=30,"Sí","En curso")))</f>
        <v/>
      </c>
      <c r="Z270" s="14"/>
      <c r="AA270" s="21"/>
      <c r="AB270" s="14"/>
      <c r="AC270" s="21"/>
      <c r="AD270" s="21"/>
      <c r="AE270" s="7"/>
      <c r="AF270" s="11" t="str">
        <f>IF(OR(AC270&lt;&gt;"Abierto",Z270=""),"",TODAY()-Z270)</f>
        <v/>
      </c>
      <c r="AG270" s="11" t="str">
        <f>IF(AC270&lt;&gt;"Abierto","",IF(AB270="","Sin siguiente acción",IF(AB270&lt;TODAY(),"Vencido",IF(AB270=TODAY(),"Hoy","En tiempo"))))</f>
        <v/>
      </c>
      <c r="AH270" s="11" t="str">
        <f>IF(OR(B270="",V270=""),"",V270-B270)</f>
        <v/>
      </c>
      <c r="AI270" s="16" t="str">
        <f>IF(P270="","",P270-WEEKDAY(P270,3))</f>
        <v/>
      </c>
      <c r="AJ270" s="23" t="str">
        <f>IF(P270="","",DATE(YEAR(P270),MONTH(P270),1))</f>
        <v/>
      </c>
    </row>
    <row r="271">
      <c r="A271" s="21"/>
      <c r="B271" s="14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14"/>
      <c r="Q271" s="21"/>
      <c r="R271" s="21"/>
      <c r="S271" s="21"/>
      <c r="T271" s="21"/>
      <c r="U271" s="21"/>
      <c r="V271" s="14"/>
      <c r="W271" s="22"/>
      <c r="X271" s="14"/>
      <c r="Y271" s="11" t="str">
        <f>IF(V271="","",IF(X271&lt;&gt;"",IF(X271-V271&lt;30,"No","Sí"),IF(TODAY()-V271&gt;=30,"Sí","En curso")))</f>
        <v/>
      </c>
      <c r="Z271" s="14"/>
      <c r="AA271" s="21"/>
      <c r="AB271" s="14"/>
      <c r="AC271" s="21"/>
      <c r="AD271" s="21"/>
      <c r="AE271" s="7"/>
      <c r="AF271" s="11" t="str">
        <f>IF(OR(AC271&lt;&gt;"Abierto",Z271=""),"",TODAY()-Z271)</f>
        <v/>
      </c>
      <c r="AG271" s="11" t="str">
        <f>IF(AC271&lt;&gt;"Abierto","",IF(AB271="","Sin siguiente acción",IF(AB271&lt;TODAY(),"Vencido",IF(AB271=TODAY(),"Hoy","En tiempo"))))</f>
        <v/>
      </c>
      <c r="AH271" s="11" t="str">
        <f>IF(OR(B271="",V271=""),"",V271-B271)</f>
        <v/>
      </c>
      <c r="AI271" s="16" t="str">
        <f>IF(P271="","",P271-WEEKDAY(P271,3))</f>
        <v/>
      </c>
      <c r="AJ271" s="23" t="str">
        <f>IF(P271="","",DATE(YEAR(P271),MONTH(P271),1))</f>
        <v/>
      </c>
    </row>
    <row r="272">
      <c r="A272" s="21"/>
      <c r="B272" s="14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14"/>
      <c r="Q272" s="21"/>
      <c r="R272" s="21"/>
      <c r="S272" s="21"/>
      <c r="T272" s="21"/>
      <c r="U272" s="21"/>
      <c r="V272" s="14"/>
      <c r="W272" s="22"/>
      <c r="X272" s="14"/>
      <c r="Y272" s="11" t="str">
        <f>IF(V272="","",IF(X272&lt;&gt;"",IF(X272-V272&lt;30,"No","Sí"),IF(TODAY()-V272&gt;=30,"Sí","En curso")))</f>
        <v/>
      </c>
      <c r="Z272" s="14"/>
      <c r="AA272" s="21"/>
      <c r="AB272" s="14"/>
      <c r="AC272" s="21"/>
      <c r="AD272" s="21"/>
      <c r="AE272" s="7"/>
      <c r="AF272" s="11" t="str">
        <f>IF(OR(AC272&lt;&gt;"Abierto",Z272=""),"",TODAY()-Z272)</f>
        <v/>
      </c>
      <c r="AG272" s="11" t="str">
        <f>IF(AC272&lt;&gt;"Abierto","",IF(AB272="","Sin siguiente acción",IF(AB272&lt;TODAY(),"Vencido",IF(AB272=TODAY(),"Hoy","En tiempo"))))</f>
        <v/>
      </c>
      <c r="AH272" s="11" t="str">
        <f>IF(OR(B272="",V272=""),"",V272-B272)</f>
        <v/>
      </c>
      <c r="AI272" s="16" t="str">
        <f>IF(P272="","",P272-WEEKDAY(P272,3))</f>
        <v/>
      </c>
      <c r="AJ272" s="23" t="str">
        <f>IF(P272="","",DATE(YEAR(P272),MONTH(P272),1))</f>
        <v/>
      </c>
    </row>
    <row r="273">
      <c r="A273" s="21"/>
      <c r="B273" s="14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14"/>
      <c r="Q273" s="21"/>
      <c r="R273" s="21"/>
      <c r="S273" s="21"/>
      <c r="T273" s="21"/>
      <c r="U273" s="21"/>
      <c r="V273" s="14"/>
      <c r="W273" s="22"/>
      <c r="X273" s="14"/>
      <c r="Y273" s="11" t="str">
        <f>IF(V273="","",IF(X273&lt;&gt;"",IF(X273-V273&lt;30,"No","Sí"),IF(TODAY()-V273&gt;=30,"Sí","En curso")))</f>
        <v/>
      </c>
      <c r="Z273" s="14"/>
      <c r="AA273" s="21"/>
      <c r="AB273" s="14"/>
      <c r="AC273" s="21"/>
      <c r="AD273" s="21"/>
      <c r="AE273" s="7"/>
      <c r="AF273" s="11" t="str">
        <f>IF(OR(AC273&lt;&gt;"Abierto",Z273=""),"",TODAY()-Z273)</f>
        <v/>
      </c>
      <c r="AG273" s="11" t="str">
        <f>IF(AC273&lt;&gt;"Abierto","",IF(AB273="","Sin siguiente acción",IF(AB273&lt;TODAY(),"Vencido",IF(AB273=TODAY(),"Hoy","En tiempo"))))</f>
        <v/>
      </c>
      <c r="AH273" s="11" t="str">
        <f>IF(OR(B273="",V273=""),"",V273-B273)</f>
        <v/>
      </c>
      <c r="AI273" s="16" t="str">
        <f>IF(P273="","",P273-WEEKDAY(P273,3))</f>
        <v/>
      </c>
      <c r="AJ273" s="23" t="str">
        <f>IF(P273="","",DATE(YEAR(P273),MONTH(P273),1))</f>
        <v/>
      </c>
    </row>
    <row r="274">
      <c r="A274" s="21"/>
      <c r="B274" s="14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14"/>
      <c r="Q274" s="21"/>
      <c r="R274" s="21"/>
      <c r="S274" s="21"/>
      <c r="T274" s="21"/>
      <c r="U274" s="21"/>
      <c r="V274" s="14"/>
      <c r="W274" s="22"/>
      <c r="X274" s="14"/>
      <c r="Y274" s="11" t="str">
        <f>IF(V274="","",IF(X274&lt;&gt;"",IF(X274-V274&lt;30,"No","Sí"),IF(TODAY()-V274&gt;=30,"Sí","En curso")))</f>
        <v/>
      </c>
      <c r="Z274" s="14"/>
      <c r="AA274" s="21"/>
      <c r="AB274" s="14"/>
      <c r="AC274" s="21"/>
      <c r="AD274" s="21"/>
      <c r="AE274" s="7"/>
      <c r="AF274" s="11" t="str">
        <f>IF(OR(AC274&lt;&gt;"Abierto",Z274=""),"",TODAY()-Z274)</f>
        <v/>
      </c>
      <c r="AG274" s="11" t="str">
        <f>IF(AC274&lt;&gt;"Abierto","",IF(AB274="","Sin siguiente acción",IF(AB274&lt;TODAY(),"Vencido",IF(AB274=TODAY(),"Hoy","En tiempo"))))</f>
        <v/>
      </c>
      <c r="AH274" s="11" t="str">
        <f>IF(OR(B274="",V274=""),"",V274-B274)</f>
        <v/>
      </c>
      <c r="AI274" s="16" t="str">
        <f>IF(P274="","",P274-WEEKDAY(P274,3))</f>
        <v/>
      </c>
      <c r="AJ274" s="23" t="str">
        <f>IF(P274="","",DATE(YEAR(P274),MONTH(P274),1))</f>
        <v/>
      </c>
    </row>
    <row r="275">
      <c r="A275" s="21"/>
      <c r="B275" s="14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14"/>
      <c r="Q275" s="21"/>
      <c r="R275" s="21"/>
      <c r="S275" s="21"/>
      <c r="T275" s="21"/>
      <c r="U275" s="21"/>
      <c r="V275" s="14"/>
      <c r="W275" s="22"/>
      <c r="X275" s="14"/>
      <c r="Y275" s="11" t="str">
        <f>IF(V275="","",IF(X275&lt;&gt;"",IF(X275-V275&lt;30,"No","Sí"),IF(TODAY()-V275&gt;=30,"Sí","En curso")))</f>
        <v/>
      </c>
      <c r="Z275" s="14"/>
      <c r="AA275" s="21"/>
      <c r="AB275" s="14"/>
      <c r="AC275" s="21"/>
      <c r="AD275" s="21"/>
      <c r="AE275" s="7"/>
      <c r="AF275" s="11" t="str">
        <f>IF(OR(AC275&lt;&gt;"Abierto",Z275=""),"",TODAY()-Z275)</f>
        <v/>
      </c>
      <c r="AG275" s="11" t="str">
        <f>IF(AC275&lt;&gt;"Abierto","",IF(AB275="","Sin siguiente acción",IF(AB275&lt;TODAY(),"Vencido",IF(AB275=TODAY(),"Hoy","En tiempo"))))</f>
        <v/>
      </c>
      <c r="AH275" s="11" t="str">
        <f>IF(OR(B275="",V275=""),"",V275-B275)</f>
        <v/>
      </c>
      <c r="AI275" s="16" t="str">
        <f>IF(P275="","",P275-WEEKDAY(P275,3))</f>
        <v/>
      </c>
      <c r="AJ275" s="23" t="str">
        <f>IF(P275="","",DATE(YEAR(P275),MONTH(P275),1))</f>
        <v/>
      </c>
    </row>
    <row r="276">
      <c r="A276" s="21"/>
      <c r="B276" s="14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14"/>
      <c r="Q276" s="21"/>
      <c r="R276" s="21"/>
      <c r="S276" s="21"/>
      <c r="T276" s="21"/>
      <c r="U276" s="21"/>
      <c r="V276" s="14"/>
      <c r="W276" s="22"/>
      <c r="X276" s="14"/>
      <c r="Y276" s="11" t="str">
        <f>IF(V276="","",IF(X276&lt;&gt;"",IF(X276-V276&lt;30,"No","Sí"),IF(TODAY()-V276&gt;=30,"Sí","En curso")))</f>
        <v/>
      </c>
      <c r="Z276" s="14"/>
      <c r="AA276" s="21"/>
      <c r="AB276" s="14"/>
      <c r="AC276" s="21"/>
      <c r="AD276" s="21"/>
      <c r="AE276" s="7"/>
      <c r="AF276" s="11" t="str">
        <f>IF(OR(AC276&lt;&gt;"Abierto",Z276=""),"",TODAY()-Z276)</f>
        <v/>
      </c>
      <c r="AG276" s="11" t="str">
        <f>IF(AC276&lt;&gt;"Abierto","",IF(AB276="","Sin siguiente acción",IF(AB276&lt;TODAY(),"Vencido",IF(AB276=TODAY(),"Hoy","En tiempo"))))</f>
        <v/>
      </c>
      <c r="AH276" s="11" t="str">
        <f>IF(OR(B276="",V276=""),"",V276-B276)</f>
        <v/>
      </c>
      <c r="AI276" s="16" t="str">
        <f>IF(P276="","",P276-WEEKDAY(P276,3))</f>
        <v/>
      </c>
      <c r="AJ276" s="23" t="str">
        <f>IF(P276="","",DATE(YEAR(P276),MONTH(P276),1))</f>
        <v/>
      </c>
    </row>
    <row r="277">
      <c r="A277" s="21"/>
      <c r="B277" s="14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14"/>
      <c r="Q277" s="21"/>
      <c r="R277" s="21"/>
      <c r="S277" s="21"/>
      <c r="T277" s="21"/>
      <c r="U277" s="21"/>
      <c r="V277" s="14"/>
      <c r="W277" s="22"/>
      <c r="X277" s="14"/>
      <c r="Y277" s="11" t="str">
        <f>IF(V277="","",IF(X277&lt;&gt;"",IF(X277-V277&lt;30,"No","Sí"),IF(TODAY()-V277&gt;=30,"Sí","En curso")))</f>
        <v/>
      </c>
      <c r="Z277" s="14"/>
      <c r="AA277" s="21"/>
      <c r="AB277" s="14"/>
      <c r="AC277" s="21"/>
      <c r="AD277" s="21"/>
      <c r="AE277" s="7"/>
      <c r="AF277" s="11" t="str">
        <f>IF(OR(AC277&lt;&gt;"Abierto",Z277=""),"",TODAY()-Z277)</f>
        <v/>
      </c>
      <c r="AG277" s="11" t="str">
        <f>IF(AC277&lt;&gt;"Abierto","",IF(AB277="","Sin siguiente acción",IF(AB277&lt;TODAY(),"Vencido",IF(AB277=TODAY(),"Hoy","En tiempo"))))</f>
        <v/>
      </c>
      <c r="AH277" s="11" t="str">
        <f>IF(OR(B277="",V277=""),"",V277-B277)</f>
        <v/>
      </c>
      <c r="AI277" s="16" t="str">
        <f>IF(P277="","",P277-WEEKDAY(P277,3))</f>
        <v/>
      </c>
      <c r="AJ277" s="23" t="str">
        <f>IF(P277="","",DATE(YEAR(P277),MONTH(P277),1))</f>
        <v/>
      </c>
    </row>
    <row r="278">
      <c r="A278" s="21"/>
      <c r="B278" s="14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14"/>
      <c r="Q278" s="21"/>
      <c r="R278" s="21"/>
      <c r="S278" s="21"/>
      <c r="T278" s="21"/>
      <c r="U278" s="21"/>
      <c r="V278" s="14"/>
      <c r="W278" s="22"/>
      <c r="X278" s="14"/>
      <c r="Y278" s="11" t="str">
        <f>IF(V278="","",IF(X278&lt;&gt;"",IF(X278-V278&lt;30,"No","Sí"),IF(TODAY()-V278&gt;=30,"Sí","En curso")))</f>
        <v/>
      </c>
      <c r="Z278" s="14"/>
      <c r="AA278" s="21"/>
      <c r="AB278" s="14"/>
      <c r="AC278" s="21"/>
      <c r="AD278" s="21"/>
      <c r="AE278" s="7"/>
      <c r="AF278" s="11" t="str">
        <f>IF(OR(AC278&lt;&gt;"Abierto",Z278=""),"",TODAY()-Z278)</f>
        <v/>
      </c>
      <c r="AG278" s="11" t="str">
        <f>IF(AC278&lt;&gt;"Abierto","",IF(AB278="","Sin siguiente acción",IF(AB278&lt;TODAY(),"Vencido",IF(AB278=TODAY(),"Hoy","En tiempo"))))</f>
        <v/>
      </c>
      <c r="AH278" s="11" t="str">
        <f>IF(OR(B278="",V278=""),"",V278-B278)</f>
        <v/>
      </c>
      <c r="AI278" s="16" t="str">
        <f>IF(P278="","",P278-WEEKDAY(P278,3))</f>
        <v/>
      </c>
      <c r="AJ278" s="23" t="str">
        <f>IF(P278="","",DATE(YEAR(P278),MONTH(P278),1))</f>
        <v/>
      </c>
    </row>
    <row r="279">
      <c r="A279" s="21"/>
      <c r="B279" s="14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14"/>
      <c r="Q279" s="21"/>
      <c r="R279" s="21"/>
      <c r="S279" s="21"/>
      <c r="T279" s="21"/>
      <c r="U279" s="21"/>
      <c r="V279" s="14"/>
      <c r="W279" s="22"/>
      <c r="X279" s="14"/>
      <c r="Y279" s="11" t="str">
        <f>IF(V279="","",IF(X279&lt;&gt;"",IF(X279-V279&lt;30,"No","Sí"),IF(TODAY()-V279&gt;=30,"Sí","En curso")))</f>
        <v/>
      </c>
      <c r="Z279" s="14"/>
      <c r="AA279" s="21"/>
      <c r="AB279" s="14"/>
      <c r="AC279" s="21"/>
      <c r="AD279" s="21"/>
      <c r="AE279" s="7"/>
      <c r="AF279" s="11" t="str">
        <f>IF(OR(AC279&lt;&gt;"Abierto",Z279=""),"",TODAY()-Z279)</f>
        <v/>
      </c>
      <c r="AG279" s="11" t="str">
        <f>IF(AC279&lt;&gt;"Abierto","",IF(AB279="","Sin siguiente acción",IF(AB279&lt;TODAY(),"Vencido",IF(AB279=TODAY(),"Hoy","En tiempo"))))</f>
        <v/>
      </c>
      <c r="AH279" s="11" t="str">
        <f>IF(OR(B279="",V279=""),"",V279-B279)</f>
        <v/>
      </c>
      <c r="AI279" s="16" t="str">
        <f>IF(P279="","",P279-WEEKDAY(P279,3))</f>
        <v/>
      </c>
      <c r="AJ279" s="23" t="str">
        <f>IF(P279="","",DATE(YEAR(P279),MONTH(P279),1))</f>
        <v/>
      </c>
    </row>
    <row r="280">
      <c r="A280" s="21"/>
      <c r="B280" s="14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14"/>
      <c r="Q280" s="21"/>
      <c r="R280" s="21"/>
      <c r="S280" s="21"/>
      <c r="T280" s="21"/>
      <c r="U280" s="21"/>
      <c r="V280" s="14"/>
      <c r="W280" s="22"/>
      <c r="X280" s="14"/>
      <c r="Y280" s="11" t="str">
        <f>IF(V280="","",IF(X280&lt;&gt;"",IF(X280-V280&lt;30,"No","Sí"),IF(TODAY()-V280&gt;=30,"Sí","En curso")))</f>
        <v/>
      </c>
      <c r="Z280" s="14"/>
      <c r="AA280" s="21"/>
      <c r="AB280" s="14"/>
      <c r="AC280" s="21"/>
      <c r="AD280" s="21"/>
      <c r="AE280" s="7"/>
      <c r="AF280" s="11" t="str">
        <f>IF(OR(AC280&lt;&gt;"Abierto",Z280=""),"",TODAY()-Z280)</f>
        <v/>
      </c>
      <c r="AG280" s="11" t="str">
        <f>IF(AC280&lt;&gt;"Abierto","",IF(AB280="","Sin siguiente acción",IF(AB280&lt;TODAY(),"Vencido",IF(AB280=TODAY(),"Hoy","En tiempo"))))</f>
        <v/>
      </c>
      <c r="AH280" s="11" t="str">
        <f>IF(OR(B280="",V280=""),"",V280-B280)</f>
        <v/>
      </c>
      <c r="AI280" s="16" t="str">
        <f>IF(P280="","",P280-WEEKDAY(P280,3))</f>
        <v/>
      </c>
      <c r="AJ280" s="23" t="str">
        <f>IF(P280="","",DATE(YEAR(P280),MONTH(P280),1))</f>
        <v/>
      </c>
    </row>
    <row r="281">
      <c r="A281" s="21"/>
      <c r="B281" s="14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14"/>
      <c r="Q281" s="21"/>
      <c r="R281" s="21"/>
      <c r="S281" s="21"/>
      <c r="T281" s="21"/>
      <c r="U281" s="21"/>
      <c r="V281" s="14"/>
      <c r="W281" s="22"/>
      <c r="X281" s="14"/>
      <c r="Y281" s="11" t="str">
        <f>IF(V281="","",IF(X281&lt;&gt;"",IF(X281-V281&lt;30,"No","Sí"),IF(TODAY()-V281&gt;=30,"Sí","En curso")))</f>
        <v/>
      </c>
      <c r="Z281" s="14"/>
      <c r="AA281" s="21"/>
      <c r="AB281" s="14"/>
      <c r="AC281" s="21"/>
      <c r="AD281" s="21"/>
      <c r="AE281" s="7"/>
      <c r="AF281" s="11" t="str">
        <f>IF(OR(AC281&lt;&gt;"Abierto",Z281=""),"",TODAY()-Z281)</f>
        <v/>
      </c>
      <c r="AG281" s="11" t="str">
        <f>IF(AC281&lt;&gt;"Abierto","",IF(AB281="","Sin siguiente acción",IF(AB281&lt;TODAY(),"Vencido",IF(AB281=TODAY(),"Hoy","En tiempo"))))</f>
        <v/>
      </c>
      <c r="AH281" s="11" t="str">
        <f>IF(OR(B281="",V281=""),"",V281-B281)</f>
        <v/>
      </c>
      <c r="AI281" s="16" t="str">
        <f>IF(P281="","",P281-WEEKDAY(P281,3))</f>
        <v/>
      </c>
      <c r="AJ281" s="23" t="str">
        <f>IF(P281="","",DATE(YEAR(P281),MONTH(P281),1))</f>
        <v/>
      </c>
    </row>
    <row r="282">
      <c r="A282" s="21"/>
      <c r="B282" s="14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14"/>
      <c r="Q282" s="21"/>
      <c r="R282" s="21"/>
      <c r="S282" s="21"/>
      <c r="T282" s="21"/>
      <c r="U282" s="21"/>
      <c r="V282" s="14"/>
      <c r="W282" s="22"/>
      <c r="X282" s="14"/>
      <c r="Y282" s="11" t="str">
        <f>IF(V282="","",IF(X282&lt;&gt;"",IF(X282-V282&lt;30,"No","Sí"),IF(TODAY()-V282&gt;=30,"Sí","En curso")))</f>
        <v/>
      </c>
      <c r="Z282" s="14"/>
      <c r="AA282" s="21"/>
      <c r="AB282" s="14"/>
      <c r="AC282" s="21"/>
      <c r="AD282" s="21"/>
      <c r="AE282" s="7"/>
      <c r="AF282" s="11" t="str">
        <f>IF(OR(AC282&lt;&gt;"Abierto",Z282=""),"",TODAY()-Z282)</f>
        <v/>
      </c>
      <c r="AG282" s="11" t="str">
        <f>IF(AC282&lt;&gt;"Abierto","",IF(AB282="","Sin siguiente acción",IF(AB282&lt;TODAY(),"Vencido",IF(AB282=TODAY(),"Hoy","En tiempo"))))</f>
        <v/>
      </c>
      <c r="AH282" s="11" t="str">
        <f>IF(OR(B282="",V282=""),"",V282-B282)</f>
        <v/>
      </c>
      <c r="AI282" s="16" t="str">
        <f>IF(P282="","",P282-WEEKDAY(P282,3))</f>
        <v/>
      </c>
      <c r="AJ282" s="23" t="str">
        <f>IF(P282="","",DATE(YEAR(P282),MONTH(P282),1))</f>
        <v/>
      </c>
    </row>
    <row r="283">
      <c r="A283" s="21"/>
      <c r="B283" s="14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14"/>
      <c r="Q283" s="21"/>
      <c r="R283" s="21"/>
      <c r="S283" s="21"/>
      <c r="T283" s="21"/>
      <c r="U283" s="21"/>
      <c r="V283" s="14"/>
      <c r="W283" s="22"/>
      <c r="X283" s="14"/>
      <c r="Y283" s="11" t="str">
        <f>IF(V283="","",IF(X283&lt;&gt;"",IF(X283-V283&lt;30,"No","Sí"),IF(TODAY()-V283&gt;=30,"Sí","En curso")))</f>
        <v/>
      </c>
      <c r="Z283" s="14"/>
      <c r="AA283" s="21"/>
      <c r="AB283" s="14"/>
      <c r="AC283" s="21"/>
      <c r="AD283" s="21"/>
      <c r="AE283" s="7"/>
      <c r="AF283" s="11" t="str">
        <f>IF(OR(AC283&lt;&gt;"Abierto",Z283=""),"",TODAY()-Z283)</f>
        <v/>
      </c>
      <c r="AG283" s="11" t="str">
        <f>IF(AC283&lt;&gt;"Abierto","",IF(AB283="","Sin siguiente acción",IF(AB283&lt;TODAY(),"Vencido",IF(AB283=TODAY(),"Hoy","En tiempo"))))</f>
        <v/>
      </c>
      <c r="AH283" s="11" t="str">
        <f>IF(OR(B283="",V283=""),"",V283-B283)</f>
        <v/>
      </c>
      <c r="AI283" s="16" t="str">
        <f>IF(P283="","",P283-WEEKDAY(P283,3))</f>
        <v/>
      </c>
      <c r="AJ283" s="23" t="str">
        <f>IF(P283="","",DATE(YEAR(P283),MONTH(P283),1))</f>
        <v/>
      </c>
    </row>
    <row r="284">
      <c r="A284" s="21"/>
      <c r="B284" s="14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14"/>
      <c r="Q284" s="21"/>
      <c r="R284" s="21"/>
      <c r="S284" s="21"/>
      <c r="T284" s="21"/>
      <c r="U284" s="21"/>
      <c r="V284" s="14"/>
      <c r="W284" s="22"/>
      <c r="X284" s="14"/>
      <c r="Y284" s="11" t="str">
        <f>IF(V284="","",IF(X284&lt;&gt;"",IF(X284-V284&lt;30,"No","Sí"),IF(TODAY()-V284&gt;=30,"Sí","En curso")))</f>
        <v/>
      </c>
      <c r="Z284" s="14"/>
      <c r="AA284" s="21"/>
      <c r="AB284" s="14"/>
      <c r="AC284" s="21"/>
      <c r="AD284" s="21"/>
      <c r="AE284" s="7"/>
      <c r="AF284" s="11" t="str">
        <f>IF(OR(AC284&lt;&gt;"Abierto",Z284=""),"",TODAY()-Z284)</f>
        <v/>
      </c>
      <c r="AG284" s="11" t="str">
        <f>IF(AC284&lt;&gt;"Abierto","",IF(AB284="","Sin siguiente acción",IF(AB284&lt;TODAY(),"Vencido",IF(AB284=TODAY(),"Hoy","En tiempo"))))</f>
        <v/>
      </c>
      <c r="AH284" s="11" t="str">
        <f>IF(OR(B284="",V284=""),"",V284-B284)</f>
        <v/>
      </c>
      <c r="AI284" s="16" t="str">
        <f>IF(P284="","",P284-WEEKDAY(P284,3))</f>
        <v/>
      </c>
      <c r="AJ284" s="23" t="str">
        <f>IF(P284="","",DATE(YEAR(P284),MONTH(P284),1))</f>
        <v/>
      </c>
    </row>
    <row r="285">
      <c r="A285" s="21"/>
      <c r="B285" s="14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14"/>
      <c r="Q285" s="21"/>
      <c r="R285" s="21"/>
      <c r="S285" s="21"/>
      <c r="T285" s="21"/>
      <c r="U285" s="21"/>
      <c r="V285" s="14"/>
      <c r="W285" s="22"/>
      <c r="X285" s="14"/>
      <c r="Y285" s="11" t="str">
        <f>IF(V285="","",IF(X285&lt;&gt;"",IF(X285-V285&lt;30,"No","Sí"),IF(TODAY()-V285&gt;=30,"Sí","En curso")))</f>
        <v/>
      </c>
      <c r="Z285" s="14"/>
      <c r="AA285" s="21"/>
      <c r="AB285" s="14"/>
      <c r="AC285" s="21"/>
      <c r="AD285" s="21"/>
      <c r="AE285" s="7"/>
      <c r="AF285" s="11" t="str">
        <f>IF(OR(AC285&lt;&gt;"Abierto",Z285=""),"",TODAY()-Z285)</f>
        <v/>
      </c>
      <c r="AG285" s="11" t="str">
        <f>IF(AC285&lt;&gt;"Abierto","",IF(AB285="","Sin siguiente acción",IF(AB285&lt;TODAY(),"Vencido",IF(AB285=TODAY(),"Hoy","En tiempo"))))</f>
        <v/>
      </c>
      <c r="AH285" s="11" t="str">
        <f>IF(OR(B285="",V285=""),"",V285-B285)</f>
        <v/>
      </c>
      <c r="AI285" s="16" t="str">
        <f>IF(P285="","",P285-WEEKDAY(P285,3))</f>
        <v/>
      </c>
      <c r="AJ285" s="23" t="str">
        <f>IF(P285="","",DATE(YEAR(P285),MONTH(P285),1))</f>
        <v/>
      </c>
    </row>
    <row r="286">
      <c r="A286" s="21"/>
      <c r="B286" s="14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14"/>
      <c r="Q286" s="21"/>
      <c r="R286" s="21"/>
      <c r="S286" s="21"/>
      <c r="T286" s="21"/>
      <c r="U286" s="21"/>
      <c r="V286" s="14"/>
      <c r="W286" s="22"/>
      <c r="X286" s="14"/>
      <c r="Y286" s="11" t="str">
        <f>IF(V286="","",IF(X286&lt;&gt;"",IF(X286-V286&lt;30,"No","Sí"),IF(TODAY()-V286&gt;=30,"Sí","En curso")))</f>
        <v/>
      </c>
      <c r="Z286" s="14"/>
      <c r="AA286" s="21"/>
      <c r="AB286" s="14"/>
      <c r="AC286" s="21"/>
      <c r="AD286" s="21"/>
      <c r="AE286" s="7"/>
      <c r="AF286" s="11" t="str">
        <f>IF(OR(AC286&lt;&gt;"Abierto",Z286=""),"",TODAY()-Z286)</f>
        <v/>
      </c>
      <c r="AG286" s="11" t="str">
        <f>IF(AC286&lt;&gt;"Abierto","",IF(AB286="","Sin siguiente acción",IF(AB286&lt;TODAY(),"Vencido",IF(AB286=TODAY(),"Hoy","En tiempo"))))</f>
        <v/>
      </c>
      <c r="AH286" s="11" t="str">
        <f>IF(OR(B286="",V286=""),"",V286-B286)</f>
        <v/>
      </c>
      <c r="AI286" s="16" t="str">
        <f>IF(P286="","",P286-WEEKDAY(P286,3))</f>
        <v/>
      </c>
      <c r="AJ286" s="23" t="str">
        <f>IF(P286="","",DATE(YEAR(P286),MONTH(P286),1))</f>
        <v/>
      </c>
    </row>
    <row r="287">
      <c r="A287" s="21"/>
      <c r="B287" s="14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14"/>
      <c r="Q287" s="21"/>
      <c r="R287" s="21"/>
      <c r="S287" s="21"/>
      <c r="T287" s="21"/>
      <c r="U287" s="21"/>
      <c r="V287" s="14"/>
      <c r="W287" s="22"/>
      <c r="X287" s="14"/>
      <c r="Y287" s="11" t="str">
        <f>IF(V287="","",IF(X287&lt;&gt;"",IF(X287-V287&lt;30,"No","Sí"),IF(TODAY()-V287&gt;=30,"Sí","En curso")))</f>
        <v/>
      </c>
      <c r="Z287" s="14"/>
      <c r="AA287" s="21"/>
      <c r="AB287" s="14"/>
      <c r="AC287" s="21"/>
      <c r="AD287" s="21"/>
      <c r="AE287" s="7"/>
      <c r="AF287" s="11" t="str">
        <f>IF(OR(AC287&lt;&gt;"Abierto",Z287=""),"",TODAY()-Z287)</f>
        <v/>
      </c>
      <c r="AG287" s="11" t="str">
        <f>IF(AC287&lt;&gt;"Abierto","",IF(AB287="","Sin siguiente acción",IF(AB287&lt;TODAY(),"Vencido",IF(AB287=TODAY(),"Hoy","En tiempo"))))</f>
        <v/>
      </c>
      <c r="AH287" s="11" t="str">
        <f>IF(OR(B287="",V287=""),"",V287-B287)</f>
        <v/>
      </c>
      <c r="AI287" s="16" t="str">
        <f>IF(P287="","",P287-WEEKDAY(P287,3))</f>
        <v/>
      </c>
      <c r="AJ287" s="23" t="str">
        <f>IF(P287="","",DATE(YEAR(P287),MONTH(P287),1))</f>
        <v/>
      </c>
    </row>
    <row r="288">
      <c r="A288" s="21"/>
      <c r="B288" s="14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14"/>
      <c r="Q288" s="21"/>
      <c r="R288" s="21"/>
      <c r="S288" s="21"/>
      <c r="T288" s="21"/>
      <c r="U288" s="21"/>
      <c r="V288" s="14"/>
      <c r="W288" s="22"/>
      <c r="X288" s="14"/>
      <c r="Y288" s="11" t="str">
        <f>IF(V288="","",IF(X288&lt;&gt;"",IF(X288-V288&lt;30,"No","Sí"),IF(TODAY()-V288&gt;=30,"Sí","En curso")))</f>
        <v/>
      </c>
      <c r="Z288" s="14"/>
      <c r="AA288" s="21"/>
      <c r="AB288" s="14"/>
      <c r="AC288" s="21"/>
      <c r="AD288" s="21"/>
      <c r="AE288" s="7"/>
      <c r="AF288" s="11" t="str">
        <f>IF(OR(AC288&lt;&gt;"Abierto",Z288=""),"",TODAY()-Z288)</f>
        <v/>
      </c>
      <c r="AG288" s="11" t="str">
        <f>IF(AC288&lt;&gt;"Abierto","",IF(AB288="","Sin siguiente acción",IF(AB288&lt;TODAY(),"Vencido",IF(AB288=TODAY(),"Hoy","En tiempo"))))</f>
        <v/>
      </c>
      <c r="AH288" s="11" t="str">
        <f>IF(OR(B288="",V288=""),"",V288-B288)</f>
        <v/>
      </c>
      <c r="AI288" s="16" t="str">
        <f>IF(P288="","",P288-WEEKDAY(P288,3))</f>
        <v/>
      </c>
      <c r="AJ288" s="23" t="str">
        <f>IF(P288="","",DATE(YEAR(P288),MONTH(P288),1))</f>
        <v/>
      </c>
    </row>
    <row r="289">
      <c r="A289" s="21"/>
      <c r="B289" s="14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14"/>
      <c r="Q289" s="21"/>
      <c r="R289" s="21"/>
      <c r="S289" s="21"/>
      <c r="T289" s="21"/>
      <c r="U289" s="21"/>
      <c r="V289" s="14"/>
      <c r="W289" s="22"/>
      <c r="X289" s="14"/>
      <c r="Y289" s="11" t="str">
        <f>IF(V289="","",IF(X289&lt;&gt;"",IF(X289-V289&lt;30,"No","Sí"),IF(TODAY()-V289&gt;=30,"Sí","En curso")))</f>
        <v/>
      </c>
      <c r="Z289" s="14"/>
      <c r="AA289" s="21"/>
      <c r="AB289" s="14"/>
      <c r="AC289" s="21"/>
      <c r="AD289" s="21"/>
      <c r="AE289" s="7"/>
      <c r="AF289" s="11" t="str">
        <f>IF(OR(AC289&lt;&gt;"Abierto",Z289=""),"",TODAY()-Z289)</f>
        <v/>
      </c>
      <c r="AG289" s="11" t="str">
        <f>IF(AC289&lt;&gt;"Abierto","",IF(AB289="","Sin siguiente acción",IF(AB289&lt;TODAY(),"Vencido",IF(AB289=TODAY(),"Hoy","En tiempo"))))</f>
        <v/>
      </c>
      <c r="AH289" s="11" t="str">
        <f>IF(OR(B289="",V289=""),"",V289-B289)</f>
        <v/>
      </c>
      <c r="AI289" s="16" t="str">
        <f>IF(P289="","",P289-WEEKDAY(P289,3))</f>
        <v/>
      </c>
      <c r="AJ289" s="23" t="str">
        <f>IF(P289="","",DATE(YEAR(P289),MONTH(P289),1))</f>
        <v/>
      </c>
    </row>
    <row r="290">
      <c r="A290" s="21"/>
      <c r="B290" s="14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14"/>
      <c r="Q290" s="21"/>
      <c r="R290" s="21"/>
      <c r="S290" s="21"/>
      <c r="T290" s="21"/>
      <c r="U290" s="21"/>
      <c r="V290" s="14"/>
      <c r="W290" s="22"/>
      <c r="X290" s="14"/>
      <c r="Y290" s="11" t="str">
        <f>IF(V290="","",IF(X290&lt;&gt;"",IF(X290-V290&lt;30,"No","Sí"),IF(TODAY()-V290&gt;=30,"Sí","En curso")))</f>
        <v/>
      </c>
      <c r="Z290" s="14"/>
      <c r="AA290" s="21"/>
      <c r="AB290" s="14"/>
      <c r="AC290" s="21"/>
      <c r="AD290" s="21"/>
      <c r="AE290" s="7"/>
      <c r="AF290" s="11" t="str">
        <f>IF(OR(AC290&lt;&gt;"Abierto",Z290=""),"",TODAY()-Z290)</f>
        <v/>
      </c>
      <c r="AG290" s="11" t="str">
        <f>IF(AC290&lt;&gt;"Abierto","",IF(AB290="","Sin siguiente acción",IF(AB290&lt;TODAY(),"Vencido",IF(AB290=TODAY(),"Hoy","En tiempo"))))</f>
        <v/>
      </c>
      <c r="AH290" s="11" t="str">
        <f>IF(OR(B290="",V290=""),"",V290-B290)</f>
        <v/>
      </c>
      <c r="AI290" s="16" t="str">
        <f>IF(P290="","",P290-WEEKDAY(P290,3))</f>
        <v/>
      </c>
      <c r="AJ290" s="23" t="str">
        <f>IF(P290="","",DATE(YEAR(P290),MONTH(P290),1))</f>
        <v/>
      </c>
    </row>
    <row r="291">
      <c r="A291" s="21"/>
      <c r="B291" s="14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14"/>
      <c r="Q291" s="21"/>
      <c r="R291" s="21"/>
      <c r="S291" s="21"/>
      <c r="T291" s="21"/>
      <c r="U291" s="21"/>
      <c r="V291" s="14"/>
      <c r="W291" s="22"/>
      <c r="X291" s="14"/>
      <c r="Y291" s="11" t="str">
        <f>IF(V291="","",IF(X291&lt;&gt;"",IF(X291-V291&lt;30,"No","Sí"),IF(TODAY()-V291&gt;=30,"Sí","En curso")))</f>
        <v/>
      </c>
      <c r="Z291" s="14"/>
      <c r="AA291" s="21"/>
      <c r="AB291" s="14"/>
      <c r="AC291" s="21"/>
      <c r="AD291" s="21"/>
      <c r="AE291" s="7"/>
      <c r="AF291" s="11" t="str">
        <f>IF(OR(AC291&lt;&gt;"Abierto",Z291=""),"",TODAY()-Z291)</f>
        <v/>
      </c>
      <c r="AG291" s="11" t="str">
        <f>IF(AC291&lt;&gt;"Abierto","",IF(AB291="","Sin siguiente acción",IF(AB291&lt;TODAY(),"Vencido",IF(AB291=TODAY(),"Hoy","En tiempo"))))</f>
        <v/>
      </c>
      <c r="AH291" s="11" t="str">
        <f>IF(OR(B291="",V291=""),"",V291-B291)</f>
        <v/>
      </c>
      <c r="AI291" s="16" t="str">
        <f>IF(P291="","",P291-WEEKDAY(P291,3))</f>
        <v/>
      </c>
      <c r="AJ291" s="23" t="str">
        <f>IF(P291="","",DATE(YEAR(P291),MONTH(P291),1))</f>
        <v/>
      </c>
    </row>
    <row r="292">
      <c r="A292" s="21"/>
      <c r="B292" s="14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14"/>
      <c r="Q292" s="21"/>
      <c r="R292" s="21"/>
      <c r="S292" s="21"/>
      <c r="T292" s="21"/>
      <c r="U292" s="21"/>
      <c r="V292" s="14"/>
      <c r="W292" s="22"/>
      <c r="X292" s="14"/>
      <c r="Y292" s="11" t="str">
        <f>IF(V292="","",IF(X292&lt;&gt;"",IF(X292-V292&lt;30,"No","Sí"),IF(TODAY()-V292&gt;=30,"Sí","En curso")))</f>
        <v/>
      </c>
      <c r="Z292" s="14"/>
      <c r="AA292" s="21"/>
      <c r="AB292" s="14"/>
      <c r="AC292" s="21"/>
      <c r="AD292" s="21"/>
      <c r="AE292" s="7"/>
      <c r="AF292" s="11" t="str">
        <f>IF(OR(AC292&lt;&gt;"Abierto",Z292=""),"",TODAY()-Z292)</f>
        <v/>
      </c>
      <c r="AG292" s="11" t="str">
        <f>IF(AC292&lt;&gt;"Abierto","",IF(AB292="","Sin siguiente acción",IF(AB292&lt;TODAY(),"Vencido",IF(AB292=TODAY(),"Hoy","En tiempo"))))</f>
        <v/>
      </c>
      <c r="AH292" s="11" t="str">
        <f>IF(OR(B292="",V292=""),"",V292-B292)</f>
        <v/>
      </c>
      <c r="AI292" s="16" t="str">
        <f>IF(P292="","",P292-WEEKDAY(P292,3))</f>
        <v/>
      </c>
      <c r="AJ292" s="23" t="str">
        <f>IF(P292="","",DATE(YEAR(P292),MONTH(P292),1))</f>
        <v/>
      </c>
    </row>
    <row r="293">
      <c r="A293" s="21"/>
      <c r="B293" s="14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14"/>
      <c r="Q293" s="21"/>
      <c r="R293" s="21"/>
      <c r="S293" s="21"/>
      <c r="T293" s="21"/>
      <c r="U293" s="21"/>
      <c r="V293" s="14"/>
      <c r="W293" s="22"/>
      <c r="X293" s="14"/>
      <c r="Y293" s="11" t="str">
        <f>IF(V293="","",IF(X293&lt;&gt;"",IF(X293-V293&lt;30,"No","Sí"),IF(TODAY()-V293&gt;=30,"Sí","En curso")))</f>
        <v/>
      </c>
      <c r="Z293" s="14"/>
      <c r="AA293" s="21"/>
      <c r="AB293" s="14"/>
      <c r="AC293" s="21"/>
      <c r="AD293" s="21"/>
      <c r="AE293" s="7"/>
      <c r="AF293" s="11" t="str">
        <f>IF(OR(AC293&lt;&gt;"Abierto",Z293=""),"",TODAY()-Z293)</f>
        <v/>
      </c>
      <c r="AG293" s="11" t="str">
        <f>IF(AC293&lt;&gt;"Abierto","",IF(AB293="","Sin siguiente acción",IF(AB293&lt;TODAY(),"Vencido",IF(AB293=TODAY(),"Hoy","En tiempo"))))</f>
        <v/>
      </c>
      <c r="AH293" s="11" t="str">
        <f>IF(OR(B293="",V293=""),"",V293-B293)</f>
        <v/>
      </c>
      <c r="AI293" s="16" t="str">
        <f>IF(P293="","",P293-WEEKDAY(P293,3))</f>
        <v/>
      </c>
      <c r="AJ293" s="23" t="str">
        <f>IF(P293="","",DATE(YEAR(P293),MONTH(P293),1))</f>
        <v/>
      </c>
    </row>
    <row r="294">
      <c r="A294" s="21"/>
      <c r="B294" s="14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14"/>
      <c r="Q294" s="21"/>
      <c r="R294" s="21"/>
      <c r="S294" s="21"/>
      <c r="T294" s="21"/>
      <c r="U294" s="21"/>
      <c r="V294" s="14"/>
      <c r="W294" s="22"/>
      <c r="X294" s="14"/>
      <c r="Y294" s="11" t="str">
        <f>IF(V294="","",IF(X294&lt;&gt;"",IF(X294-V294&lt;30,"No","Sí"),IF(TODAY()-V294&gt;=30,"Sí","En curso")))</f>
        <v/>
      </c>
      <c r="Z294" s="14"/>
      <c r="AA294" s="21"/>
      <c r="AB294" s="14"/>
      <c r="AC294" s="21"/>
      <c r="AD294" s="21"/>
      <c r="AE294" s="7"/>
      <c r="AF294" s="11" t="str">
        <f>IF(OR(AC294&lt;&gt;"Abierto",Z294=""),"",TODAY()-Z294)</f>
        <v/>
      </c>
      <c r="AG294" s="11" t="str">
        <f>IF(AC294&lt;&gt;"Abierto","",IF(AB294="","Sin siguiente acción",IF(AB294&lt;TODAY(),"Vencido",IF(AB294=TODAY(),"Hoy","En tiempo"))))</f>
        <v/>
      </c>
      <c r="AH294" s="11" t="str">
        <f>IF(OR(B294="",V294=""),"",V294-B294)</f>
        <v/>
      </c>
      <c r="AI294" s="16" t="str">
        <f>IF(P294="","",P294-WEEKDAY(P294,3))</f>
        <v/>
      </c>
      <c r="AJ294" s="23" t="str">
        <f>IF(P294="","",DATE(YEAR(P294),MONTH(P294),1))</f>
        <v/>
      </c>
    </row>
    <row r="295">
      <c r="A295" s="21"/>
      <c r="B295" s="14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14"/>
      <c r="Q295" s="21"/>
      <c r="R295" s="21"/>
      <c r="S295" s="21"/>
      <c r="T295" s="21"/>
      <c r="U295" s="21"/>
      <c r="V295" s="14"/>
      <c r="W295" s="22"/>
      <c r="X295" s="14"/>
      <c r="Y295" s="11" t="str">
        <f>IF(V295="","",IF(X295&lt;&gt;"",IF(X295-V295&lt;30,"No","Sí"),IF(TODAY()-V295&gt;=30,"Sí","En curso")))</f>
        <v/>
      </c>
      <c r="Z295" s="14"/>
      <c r="AA295" s="21"/>
      <c r="AB295" s="14"/>
      <c r="AC295" s="21"/>
      <c r="AD295" s="21"/>
      <c r="AE295" s="7"/>
      <c r="AF295" s="11" t="str">
        <f>IF(OR(AC295&lt;&gt;"Abierto",Z295=""),"",TODAY()-Z295)</f>
        <v/>
      </c>
      <c r="AG295" s="11" t="str">
        <f>IF(AC295&lt;&gt;"Abierto","",IF(AB295="","Sin siguiente acción",IF(AB295&lt;TODAY(),"Vencido",IF(AB295=TODAY(),"Hoy","En tiempo"))))</f>
        <v/>
      </c>
      <c r="AH295" s="11" t="str">
        <f>IF(OR(B295="",V295=""),"",V295-B295)</f>
        <v/>
      </c>
      <c r="AI295" s="16" t="str">
        <f>IF(P295="","",P295-WEEKDAY(P295,3))</f>
        <v/>
      </c>
      <c r="AJ295" s="23" t="str">
        <f>IF(P295="","",DATE(YEAR(P295),MONTH(P295),1))</f>
        <v/>
      </c>
    </row>
    <row r="296">
      <c r="A296" s="21"/>
      <c r="B296" s="14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14"/>
      <c r="Q296" s="21"/>
      <c r="R296" s="21"/>
      <c r="S296" s="21"/>
      <c r="T296" s="21"/>
      <c r="U296" s="21"/>
      <c r="V296" s="14"/>
      <c r="W296" s="22"/>
      <c r="X296" s="14"/>
      <c r="Y296" s="11" t="str">
        <f>IF(V296="","",IF(X296&lt;&gt;"",IF(X296-V296&lt;30,"No","Sí"),IF(TODAY()-V296&gt;=30,"Sí","En curso")))</f>
        <v/>
      </c>
      <c r="Z296" s="14"/>
      <c r="AA296" s="21"/>
      <c r="AB296" s="14"/>
      <c r="AC296" s="21"/>
      <c r="AD296" s="21"/>
      <c r="AE296" s="7"/>
      <c r="AF296" s="11" t="str">
        <f>IF(OR(AC296&lt;&gt;"Abierto",Z296=""),"",TODAY()-Z296)</f>
        <v/>
      </c>
      <c r="AG296" s="11" t="str">
        <f>IF(AC296&lt;&gt;"Abierto","",IF(AB296="","Sin siguiente acción",IF(AB296&lt;TODAY(),"Vencido",IF(AB296=TODAY(),"Hoy","En tiempo"))))</f>
        <v/>
      </c>
      <c r="AH296" s="11" t="str">
        <f>IF(OR(B296="",V296=""),"",V296-B296)</f>
        <v/>
      </c>
      <c r="AI296" s="16" t="str">
        <f>IF(P296="","",P296-WEEKDAY(P296,3))</f>
        <v/>
      </c>
      <c r="AJ296" s="23" t="str">
        <f>IF(P296="","",DATE(YEAR(P296),MONTH(P296),1))</f>
        <v/>
      </c>
    </row>
    <row r="297">
      <c r="A297" s="21"/>
      <c r="B297" s="14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14"/>
      <c r="Q297" s="21"/>
      <c r="R297" s="21"/>
      <c r="S297" s="21"/>
      <c r="T297" s="21"/>
      <c r="U297" s="21"/>
      <c r="V297" s="14"/>
      <c r="W297" s="22"/>
      <c r="X297" s="14"/>
      <c r="Y297" s="11" t="str">
        <f>IF(V297="","",IF(X297&lt;&gt;"",IF(X297-V297&lt;30,"No","Sí"),IF(TODAY()-V297&gt;=30,"Sí","En curso")))</f>
        <v/>
      </c>
      <c r="Z297" s="14"/>
      <c r="AA297" s="21"/>
      <c r="AB297" s="14"/>
      <c r="AC297" s="21"/>
      <c r="AD297" s="21"/>
      <c r="AE297" s="7"/>
      <c r="AF297" s="11" t="str">
        <f>IF(OR(AC297&lt;&gt;"Abierto",Z297=""),"",TODAY()-Z297)</f>
        <v/>
      </c>
      <c r="AG297" s="11" t="str">
        <f>IF(AC297&lt;&gt;"Abierto","",IF(AB297="","Sin siguiente acción",IF(AB297&lt;TODAY(),"Vencido",IF(AB297=TODAY(),"Hoy","En tiempo"))))</f>
        <v/>
      </c>
      <c r="AH297" s="11" t="str">
        <f>IF(OR(B297="",V297=""),"",V297-B297)</f>
        <v/>
      </c>
      <c r="AI297" s="16" t="str">
        <f>IF(P297="","",P297-WEEKDAY(P297,3))</f>
        <v/>
      </c>
      <c r="AJ297" s="23" t="str">
        <f>IF(P297="","",DATE(YEAR(P297),MONTH(P297),1))</f>
        <v/>
      </c>
    </row>
    <row r="298">
      <c r="A298" s="21"/>
      <c r="B298" s="14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14"/>
      <c r="Q298" s="21"/>
      <c r="R298" s="21"/>
      <c r="S298" s="21"/>
      <c r="T298" s="21"/>
      <c r="U298" s="21"/>
      <c r="V298" s="14"/>
      <c r="W298" s="22"/>
      <c r="X298" s="14"/>
      <c r="Y298" s="11" t="str">
        <f>IF(V298="","",IF(X298&lt;&gt;"",IF(X298-V298&lt;30,"No","Sí"),IF(TODAY()-V298&gt;=30,"Sí","En curso")))</f>
        <v/>
      </c>
      <c r="Z298" s="14"/>
      <c r="AA298" s="21"/>
      <c r="AB298" s="14"/>
      <c r="AC298" s="21"/>
      <c r="AD298" s="21"/>
      <c r="AE298" s="7"/>
      <c r="AF298" s="11" t="str">
        <f>IF(OR(AC298&lt;&gt;"Abierto",Z298=""),"",TODAY()-Z298)</f>
        <v/>
      </c>
      <c r="AG298" s="11" t="str">
        <f>IF(AC298&lt;&gt;"Abierto","",IF(AB298="","Sin siguiente acción",IF(AB298&lt;TODAY(),"Vencido",IF(AB298=TODAY(),"Hoy","En tiempo"))))</f>
        <v/>
      </c>
      <c r="AH298" s="11" t="str">
        <f>IF(OR(B298="",V298=""),"",V298-B298)</f>
        <v/>
      </c>
      <c r="AI298" s="16" t="str">
        <f>IF(P298="","",P298-WEEKDAY(P298,3))</f>
        <v/>
      </c>
      <c r="AJ298" s="23" t="str">
        <f>IF(P298="","",DATE(YEAR(P298),MONTH(P298),1))</f>
        <v/>
      </c>
    </row>
    <row r="299">
      <c r="A299" s="21"/>
      <c r="B299" s="14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14"/>
      <c r="Q299" s="21"/>
      <c r="R299" s="21"/>
      <c r="S299" s="21"/>
      <c r="T299" s="21"/>
      <c r="U299" s="21"/>
      <c r="V299" s="14"/>
      <c r="W299" s="22"/>
      <c r="X299" s="14"/>
      <c r="Y299" s="11" t="str">
        <f>IF(V299="","",IF(X299&lt;&gt;"",IF(X299-V299&lt;30,"No","Sí"),IF(TODAY()-V299&gt;=30,"Sí","En curso")))</f>
        <v/>
      </c>
      <c r="Z299" s="14"/>
      <c r="AA299" s="21"/>
      <c r="AB299" s="14"/>
      <c r="AC299" s="21"/>
      <c r="AD299" s="21"/>
      <c r="AE299" s="7"/>
      <c r="AF299" s="11" t="str">
        <f>IF(OR(AC299&lt;&gt;"Abierto",Z299=""),"",TODAY()-Z299)</f>
        <v/>
      </c>
      <c r="AG299" s="11" t="str">
        <f>IF(AC299&lt;&gt;"Abierto","",IF(AB299="","Sin siguiente acción",IF(AB299&lt;TODAY(),"Vencido",IF(AB299=TODAY(),"Hoy","En tiempo"))))</f>
        <v/>
      </c>
      <c r="AH299" s="11" t="str">
        <f>IF(OR(B299="",V299=""),"",V299-B299)</f>
        <v/>
      </c>
      <c r="AI299" s="16" t="str">
        <f>IF(P299="","",P299-WEEKDAY(P299,3))</f>
        <v/>
      </c>
      <c r="AJ299" s="23" t="str">
        <f>IF(P299="","",DATE(YEAR(P299),MONTH(P299),1))</f>
        <v/>
      </c>
    </row>
    <row r="300">
      <c r="A300" s="21"/>
      <c r="B300" s="14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14"/>
      <c r="Q300" s="21"/>
      <c r="R300" s="21"/>
      <c r="S300" s="21"/>
      <c r="T300" s="21"/>
      <c r="U300" s="21"/>
      <c r="V300" s="14"/>
      <c r="W300" s="22"/>
      <c r="X300" s="14"/>
      <c r="Y300" s="11" t="str">
        <f>IF(V300="","",IF(X300&lt;&gt;"",IF(X300-V300&lt;30,"No","Sí"),IF(TODAY()-V300&gt;=30,"Sí","En curso")))</f>
        <v/>
      </c>
      <c r="Z300" s="14"/>
      <c r="AA300" s="21"/>
      <c r="AB300" s="14"/>
      <c r="AC300" s="21"/>
      <c r="AD300" s="21"/>
      <c r="AE300" s="7"/>
      <c r="AF300" s="11" t="str">
        <f>IF(OR(AC300&lt;&gt;"Abierto",Z300=""),"",TODAY()-Z300)</f>
        <v/>
      </c>
      <c r="AG300" s="11" t="str">
        <f>IF(AC300&lt;&gt;"Abierto","",IF(AB300="","Sin siguiente acción",IF(AB300&lt;TODAY(),"Vencido",IF(AB300=TODAY(),"Hoy","En tiempo"))))</f>
        <v/>
      </c>
      <c r="AH300" s="11" t="str">
        <f>IF(OR(B300="",V300=""),"",V300-B300)</f>
        <v/>
      </c>
      <c r="AI300" s="16" t="str">
        <f>IF(P300="","",P300-WEEKDAY(P300,3))</f>
        <v/>
      </c>
      <c r="AJ300" s="23" t="str">
        <f>IF(P300="","",DATE(YEAR(P300),MONTH(P300),1))</f>
        <v/>
      </c>
    </row>
    <row r="301">
      <c r="A301" s="21"/>
      <c r="B301" s="14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14"/>
      <c r="Q301" s="21"/>
      <c r="R301" s="21"/>
      <c r="S301" s="21"/>
      <c r="T301" s="21"/>
      <c r="U301" s="21"/>
      <c r="V301" s="14"/>
      <c r="W301" s="22"/>
      <c r="X301" s="14"/>
      <c r="Y301" s="11" t="str">
        <f>IF(V301="","",IF(X301&lt;&gt;"",IF(X301-V301&lt;30,"No","Sí"),IF(TODAY()-V301&gt;=30,"Sí","En curso")))</f>
        <v/>
      </c>
      <c r="Z301" s="14"/>
      <c r="AA301" s="21"/>
      <c r="AB301" s="14"/>
      <c r="AC301" s="21"/>
      <c r="AD301" s="21"/>
      <c r="AE301" s="7"/>
      <c r="AF301" s="11" t="str">
        <f>IF(OR(AC301&lt;&gt;"Abierto",Z301=""),"",TODAY()-Z301)</f>
        <v/>
      </c>
      <c r="AG301" s="11" t="str">
        <f>IF(AC301&lt;&gt;"Abierto","",IF(AB301="","Sin siguiente acción",IF(AB301&lt;TODAY(),"Vencido",IF(AB301=TODAY(),"Hoy","En tiempo"))))</f>
        <v/>
      </c>
      <c r="AH301" s="11" t="str">
        <f>IF(OR(B301="",V301=""),"",V301-B301)</f>
        <v/>
      </c>
      <c r="AI301" s="16" t="str">
        <f>IF(P301="","",P301-WEEKDAY(P301,3))</f>
        <v/>
      </c>
      <c r="AJ301" s="23" t="str">
        <f>IF(P301="","",DATE(YEAR(P301),MONTH(P301),1))</f>
        <v/>
      </c>
    </row>
    <row r="302">
      <c r="A302" s="21"/>
      <c r="B302" s="14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14"/>
      <c r="Q302" s="21"/>
      <c r="R302" s="21"/>
      <c r="S302" s="21"/>
      <c r="T302" s="21"/>
      <c r="U302" s="21"/>
      <c r="V302" s="14"/>
      <c r="W302" s="22"/>
      <c r="X302" s="14"/>
      <c r="Y302" s="11" t="str">
        <f>IF(V302="","",IF(X302&lt;&gt;"",IF(X302-V302&lt;30,"No","Sí"),IF(TODAY()-V302&gt;=30,"Sí","En curso")))</f>
        <v/>
      </c>
      <c r="Z302" s="14"/>
      <c r="AA302" s="21"/>
      <c r="AB302" s="14"/>
      <c r="AC302" s="21"/>
      <c r="AD302" s="21"/>
      <c r="AE302" s="7"/>
      <c r="AF302" s="11" t="str">
        <f>IF(OR(AC302&lt;&gt;"Abierto",Z302=""),"",TODAY()-Z302)</f>
        <v/>
      </c>
      <c r="AG302" s="11" t="str">
        <f>IF(AC302&lt;&gt;"Abierto","",IF(AB302="","Sin siguiente acción",IF(AB302&lt;TODAY(),"Vencido",IF(AB302=TODAY(),"Hoy","En tiempo"))))</f>
        <v/>
      </c>
      <c r="AH302" s="11" t="str">
        <f>IF(OR(B302="",V302=""),"",V302-B302)</f>
        <v/>
      </c>
      <c r="AI302" s="16" t="str">
        <f>IF(P302="","",P302-WEEKDAY(P302,3))</f>
        <v/>
      </c>
      <c r="AJ302" s="23" t="str">
        <f>IF(P302="","",DATE(YEAR(P302),MONTH(P302),1))</f>
        <v/>
      </c>
    </row>
    <row r="303">
      <c r="A303" s="21"/>
      <c r="B303" s="14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14"/>
      <c r="Q303" s="21"/>
      <c r="R303" s="21"/>
      <c r="S303" s="21"/>
      <c r="T303" s="21"/>
      <c r="U303" s="21"/>
      <c r="V303" s="14"/>
      <c r="W303" s="22"/>
      <c r="X303" s="14"/>
      <c r="Y303" s="11" t="str">
        <f>IF(V303="","",IF(X303&lt;&gt;"",IF(X303-V303&lt;30,"No","Sí"),IF(TODAY()-V303&gt;=30,"Sí","En curso")))</f>
        <v/>
      </c>
      <c r="Z303" s="14"/>
      <c r="AA303" s="21"/>
      <c r="AB303" s="14"/>
      <c r="AC303" s="21"/>
      <c r="AD303" s="21"/>
      <c r="AE303" s="7"/>
      <c r="AF303" s="11" t="str">
        <f>IF(OR(AC303&lt;&gt;"Abierto",Z303=""),"",TODAY()-Z303)</f>
        <v/>
      </c>
      <c r="AG303" s="11" t="str">
        <f>IF(AC303&lt;&gt;"Abierto","",IF(AB303="","Sin siguiente acción",IF(AB303&lt;TODAY(),"Vencido",IF(AB303=TODAY(),"Hoy","En tiempo"))))</f>
        <v/>
      </c>
      <c r="AH303" s="11" t="str">
        <f>IF(OR(B303="",V303=""),"",V303-B303)</f>
        <v/>
      </c>
      <c r="AI303" s="16" t="str">
        <f>IF(P303="","",P303-WEEKDAY(P303,3))</f>
        <v/>
      </c>
      <c r="AJ303" s="23" t="str">
        <f>IF(P303="","",DATE(YEAR(P303),MONTH(P303),1))</f>
        <v/>
      </c>
    </row>
    <row r="304">
      <c r="A304" s="21"/>
      <c r="B304" s="14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14"/>
      <c r="Q304" s="21"/>
      <c r="R304" s="21"/>
      <c r="S304" s="21"/>
      <c r="T304" s="21"/>
      <c r="U304" s="21"/>
      <c r="V304" s="14"/>
      <c r="W304" s="22"/>
      <c r="X304" s="14"/>
      <c r="Y304" s="11" t="str">
        <f>IF(V304="","",IF(X304&lt;&gt;"",IF(X304-V304&lt;30,"No","Sí"),IF(TODAY()-V304&gt;=30,"Sí","En curso")))</f>
        <v/>
      </c>
      <c r="Z304" s="14"/>
      <c r="AA304" s="21"/>
      <c r="AB304" s="14"/>
      <c r="AC304" s="21"/>
      <c r="AD304" s="21"/>
      <c r="AE304" s="7"/>
      <c r="AF304" s="11" t="str">
        <f>IF(OR(AC304&lt;&gt;"Abierto",Z304=""),"",TODAY()-Z304)</f>
        <v/>
      </c>
      <c r="AG304" s="11" t="str">
        <f>IF(AC304&lt;&gt;"Abierto","",IF(AB304="","Sin siguiente acción",IF(AB304&lt;TODAY(),"Vencido",IF(AB304=TODAY(),"Hoy","En tiempo"))))</f>
        <v/>
      </c>
      <c r="AH304" s="11" t="str">
        <f>IF(OR(B304="",V304=""),"",V304-B304)</f>
        <v/>
      </c>
      <c r="AI304" s="16" t="str">
        <f>IF(P304="","",P304-WEEKDAY(P304,3))</f>
        <v/>
      </c>
      <c r="AJ304" s="23" t="str">
        <f>IF(P304="","",DATE(YEAR(P304),MONTH(P304),1))</f>
        <v/>
      </c>
    </row>
    <row r="305">
      <c r="A305" s="21"/>
      <c r="B305" s="14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14"/>
      <c r="Q305" s="21"/>
      <c r="R305" s="21"/>
      <c r="S305" s="21"/>
      <c r="T305" s="21"/>
      <c r="U305" s="21"/>
      <c r="V305" s="14"/>
      <c r="W305" s="22"/>
      <c r="X305" s="14"/>
      <c r="Y305" s="11" t="str">
        <f>IF(V305="","",IF(X305&lt;&gt;"",IF(X305-V305&lt;30,"No","Sí"),IF(TODAY()-V305&gt;=30,"Sí","En curso")))</f>
        <v/>
      </c>
      <c r="Z305" s="14"/>
      <c r="AA305" s="21"/>
      <c r="AB305" s="14"/>
      <c r="AC305" s="21"/>
      <c r="AD305" s="21"/>
      <c r="AE305" s="7"/>
      <c r="AF305" s="11" t="str">
        <f>IF(OR(AC305&lt;&gt;"Abierto",Z305=""),"",TODAY()-Z305)</f>
        <v/>
      </c>
      <c r="AG305" s="11" t="str">
        <f>IF(AC305&lt;&gt;"Abierto","",IF(AB305="","Sin siguiente acción",IF(AB305&lt;TODAY(),"Vencido",IF(AB305=TODAY(),"Hoy","En tiempo"))))</f>
        <v/>
      </c>
      <c r="AH305" s="11" t="str">
        <f>IF(OR(B305="",V305=""),"",V305-B305)</f>
        <v/>
      </c>
      <c r="AI305" s="16" t="str">
        <f>IF(P305="","",P305-WEEKDAY(P305,3))</f>
        <v/>
      </c>
      <c r="AJ305" s="23" t="str">
        <f>IF(P305="","",DATE(YEAR(P305),MONTH(P305),1))</f>
        <v/>
      </c>
    </row>
    <row r="306">
      <c r="A306" s="21"/>
      <c r="B306" s="14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14"/>
      <c r="Q306" s="21"/>
      <c r="R306" s="21"/>
      <c r="S306" s="21"/>
      <c r="T306" s="21"/>
      <c r="U306" s="21"/>
      <c r="V306" s="14"/>
      <c r="W306" s="22"/>
      <c r="X306" s="14"/>
      <c r="Y306" s="11" t="str">
        <f>IF(V306="","",IF(X306&lt;&gt;"",IF(X306-V306&lt;30,"No","Sí"),IF(TODAY()-V306&gt;=30,"Sí","En curso")))</f>
        <v/>
      </c>
      <c r="Z306" s="14"/>
      <c r="AA306" s="21"/>
      <c r="AB306" s="14"/>
      <c r="AC306" s="21"/>
      <c r="AD306" s="21"/>
      <c r="AE306" s="7"/>
      <c r="AF306" s="11" t="str">
        <f>IF(OR(AC306&lt;&gt;"Abierto",Z306=""),"",TODAY()-Z306)</f>
        <v/>
      </c>
      <c r="AG306" s="11" t="str">
        <f>IF(AC306&lt;&gt;"Abierto","",IF(AB306="","Sin siguiente acción",IF(AB306&lt;TODAY(),"Vencido",IF(AB306=TODAY(),"Hoy","En tiempo"))))</f>
        <v/>
      </c>
      <c r="AH306" s="11" t="str">
        <f>IF(OR(B306="",V306=""),"",V306-B306)</f>
        <v/>
      </c>
      <c r="AI306" s="16" t="str">
        <f>IF(P306="","",P306-WEEKDAY(P306,3))</f>
        <v/>
      </c>
      <c r="AJ306" s="23" t="str">
        <f>IF(P306="","",DATE(YEAR(P306),MONTH(P306),1))</f>
        <v/>
      </c>
    </row>
    <row r="307">
      <c r="A307" s="21"/>
      <c r="B307" s="14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14"/>
      <c r="Q307" s="21"/>
      <c r="R307" s="21"/>
      <c r="S307" s="21"/>
      <c r="T307" s="21"/>
      <c r="U307" s="21"/>
      <c r="V307" s="14"/>
      <c r="W307" s="22"/>
      <c r="X307" s="14"/>
      <c r="Y307" s="11" t="str">
        <f>IF(V307="","",IF(X307&lt;&gt;"",IF(X307-V307&lt;30,"No","Sí"),IF(TODAY()-V307&gt;=30,"Sí","En curso")))</f>
        <v/>
      </c>
      <c r="Z307" s="14"/>
      <c r="AA307" s="21"/>
      <c r="AB307" s="14"/>
      <c r="AC307" s="21"/>
      <c r="AD307" s="21"/>
      <c r="AE307" s="7"/>
      <c r="AF307" s="11" t="str">
        <f>IF(OR(AC307&lt;&gt;"Abierto",Z307=""),"",TODAY()-Z307)</f>
        <v/>
      </c>
      <c r="AG307" s="11" t="str">
        <f>IF(AC307&lt;&gt;"Abierto","",IF(AB307="","Sin siguiente acción",IF(AB307&lt;TODAY(),"Vencido",IF(AB307=TODAY(),"Hoy","En tiempo"))))</f>
        <v/>
      </c>
      <c r="AH307" s="11" t="str">
        <f>IF(OR(B307="",V307=""),"",V307-B307)</f>
        <v/>
      </c>
      <c r="AI307" s="16" t="str">
        <f>IF(P307="","",P307-WEEKDAY(P307,3))</f>
        <v/>
      </c>
      <c r="AJ307" s="23" t="str">
        <f>IF(P307="","",DATE(YEAR(P307),MONTH(P307),1))</f>
        <v/>
      </c>
    </row>
    <row r="308">
      <c r="A308" s="21"/>
      <c r="B308" s="14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14"/>
      <c r="Q308" s="21"/>
      <c r="R308" s="21"/>
      <c r="S308" s="21"/>
      <c r="T308" s="21"/>
      <c r="U308" s="21"/>
      <c r="V308" s="14"/>
      <c r="W308" s="22"/>
      <c r="X308" s="14"/>
      <c r="Y308" s="11" t="str">
        <f>IF(V308="","",IF(X308&lt;&gt;"",IF(X308-V308&lt;30,"No","Sí"),IF(TODAY()-V308&gt;=30,"Sí","En curso")))</f>
        <v/>
      </c>
      <c r="Z308" s="14"/>
      <c r="AA308" s="21"/>
      <c r="AB308" s="14"/>
      <c r="AC308" s="21"/>
      <c r="AD308" s="21"/>
      <c r="AE308" s="7"/>
      <c r="AF308" s="11" t="str">
        <f>IF(OR(AC308&lt;&gt;"Abierto",Z308=""),"",TODAY()-Z308)</f>
        <v/>
      </c>
      <c r="AG308" s="11" t="str">
        <f>IF(AC308&lt;&gt;"Abierto","",IF(AB308="","Sin siguiente acción",IF(AB308&lt;TODAY(),"Vencido",IF(AB308=TODAY(),"Hoy","En tiempo"))))</f>
        <v/>
      </c>
      <c r="AH308" s="11" t="str">
        <f>IF(OR(B308="",V308=""),"",V308-B308)</f>
        <v/>
      </c>
      <c r="AI308" s="16" t="str">
        <f>IF(P308="","",P308-WEEKDAY(P308,3))</f>
        <v/>
      </c>
      <c r="AJ308" s="23" t="str">
        <f>IF(P308="","",DATE(YEAR(P308),MONTH(P308),1))</f>
        <v/>
      </c>
    </row>
    <row r="309">
      <c r="A309" s="21"/>
      <c r="B309" s="14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14"/>
      <c r="Q309" s="21"/>
      <c r="R309" s="21"/>
      <c r="S309" s="21"/>
      <c r="T309" s="21"/>
      <c r="U309" s="21"/>
      <c r="V309" s="14"/>
      <c r="W309" s="22"/>
      <c r="X309" s="14"/>
      <c r="Y309" s="11" t="str">
        <f>IF(V309="","",IF(X309&lt;&gt;"",IF(X309-V309&lt;30,"No","Sí"),IF(TODAY()-V309&gt;=30,"Sí","En curso")))</f>
        <v/>
      </c>
      <c r="Z309" s="14"/>
      <c r="AA309" s="21"/>
      <c r="AB309" s="14"/>
      <c r="AC309" s="21"/>
      <c r="AD309" s="21"/>
      <c r="AE309" s="7"/>
      <c r="AF309" s="11" t="str">
        <f>IF(OR(AC309&lt;&gt;"Abierto",Z309=""),"",TODAY()-Z309)</f>
        <v/>
      </c>
      <c r="AG309" s="11" t="str">
        <f>IF(AC309&lt;&gt;"Abierto","",IF(AB309="","Sin siguiente acción",IF(AB309&lt;TODAY(),"Vencido",IF(AB309=TODAY(),"Hoy","En tiempo"))))</f>
        <v/>
      </c>
      <c r="AH309" s="11" t="str">
        <f>IF(OR(B309="",V309=""),"",V309-B309)</f>
        <v/>
      </c>
      <c r="AI309" s="16" t="str">
        <f>IF(P309="","",P309-WEEKDAY(P309,3))</f>
        <v/>
      </c>
      <c r="AJ309" s="23" t="str">
        <f>IF(P309="","",DATE(YEAR(P309),MONTH(P309),1))</f>
        <v/>
      </c>
    </row>
    <row r="310">
      <c r="A310" s="21"/>
      <c r="B310" s="14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14"/>
      <c r="Q310" s="21"/>
      <c r="R310" s="21"/>
      <c r="S310" s="21"/>
      <c r="T310" s="21"/>
      <c r="U310" s="21"/>
      <c r="V310" s="14"/>
      <c r="W310" s="22"/>
      <c r="X310" s="14"/>
      <c r="Y310" s="11" t="str">
        <f>IF(V310="","",IF(X310&lt;&gt;"",IF(X310-V310&lt;30,"No","Sí"),IF(TODAY()-V310&gt;=30,"Sí","En curso")))</f>
        <v/>
      </c>
      <c r="Z310" s="14"/>
      <c r="AA310" s="21"/>
      <c r="AB310" s="14"/>
      <c r="AC310" s="21"/>
      <c r="AD310" s="21"/>
      <c r="AE310" s="7"/>
      <c r="AF310" s="11" t="str">
        <f>IF(OR(AC310&lt;&gt;"Abierto",Z310=""),"",TODAY()-Z310)</f>
        <v/>
      </c>
      <c r="AG310" s="11" t="str">
        <f>IF(AC310&lt;&gt;"Abierto","",IF(AB310="","Sin siguiente acción",IF(AB310&lt;TODAY(),"Vencido",IF(AB310=TODAY(),"Hoy","En tiempo"))))</f>
        <v/>
      </c>
      <c r="AH310" s="11" t="str">
        <f>IF(OR(B310="",V310=""),"",V310-B310)</f>
        <v/>
      </c>
      <c r="AI310" s="16" t="str">
        <f>IF(P310="","",P310-WEEKDAY(P310,3))</f>
        <v/>
      </c>
      <c r="AJ310" s="23" t="str">
        <f>IF(P310="","",DATE(YEAR(P310),MONTH(P310),1))</f>
        <v/>
      </c>
    </row>
    <row r="311">
      <c r="A311" s="21"/>
      <c r="B311" s="14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14"/>
      <c r="Q311" s="21"/>
      <c r="R311" s="21"/>
      <c r="S311" s="21"/>
      <c r="T311" s="21"/>
      <c r="U311" s="21"/>
      <c r="V311" s="14"/>
      <c r="W311" s="22"/>
      <c r="X311" s="14"/>
      <c r="Y311" s="11" t="str">
        <f>IF(V311="","",IF(X311&lt;&gt;"",IF(X311-V311&lt;30,"No","Sí"),IF(TODAY()-V311&gt;=30,"Sí","En curso")))</f>
        <v/>
      </c>
      <c r="Z311" s="14"/>
      <c r="AA311" s="21"/>
      <c r="AB311" s="14"/>
      <c r="AC311" s="21"/>
      <c r="AD311" s="21"/>
      <c r="AE311" s="7"/>
      <c r="AF311" s="11" t="str">
        <f>IF(OR(AC311&lt;&gt;"Abierto",Z311=""),"",TODAY()-Z311)</f>
        <v/>
      </c>
      <c r="AG311" s="11" t="str">
        <f>IF(AC311&lt;&gt;"Abierto","",IF(AB311="","Sin siguiente acción",IF(AB311&lt;TODAY(),"Vencido",IF(AB311=TODAY(),"Hoy","En tiempo"))))</f>
        <v/>
      </c>
      <c r="AH311" s="11" t="str">
        <f>IF(OR(B311="",V311=""),"",V311-B311)</f>
        <v/>
      </c>
      <c r="AI311" s="16" t="str">
        <f>IF(P311="","",P311-WEEKDAY(P311,3))</f>
        <v/>
      </c>
      <c r="AJ311" s="23" t="str">
        <f>IF(P311="","",DATE(YEAR(P311),MONTH(P311),1))</f>
        <v/>
      </c>
    </row>
    <row r="312">
      <c r="A312" s="21"/>
      <c r="B312" s="14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14"/>
      <c r="Q312" s="21"/>
      <c r="R312" s="21"/>
      <c r="S312" s="21"/>
      <c r="T312" s="21"/>
      <c r="U312" s="21"/>
      <c r="V312" s="14"/>
      <c r="W312" s="22"/>
      <c r="X312" s="14"/>
      <c r="Y312" s="11" t="str">
        <f>IF(V312="","",IF(X312&lt;&gt;"",IF(X312-V312&lt;30,"No","Sí"),IF(TODAY()-V312&gt;=30,"Sí","En curso")))</f>
        <v/>
      </c>
      <c r="Z312" s="14"/>
      <c r="AA312" s="21"/>
      <c r="AB312" s="14"/>
      <c r="AC312" s="21"/>
      <c r="AD312" s="21"/>
      <c r="AE312" s="7"/>
      <c r="AF312" s="11" t="str">
        <f>IF(OR(AC312&lt;&gt;"Abierto",Z312=""),"",TODAY()-Z312)</f>
        <v/>
      </c>
      <c r="AG312" s="11" t="str">
        <f>IF(AC312&lt;&gt;"Abierto","",IF(AB312="","Sin siguiente acción",IF(AB312&lt;TODAY(),"Vencido",IF(AB312=TODAY(),"Hoy","En tiempo"))))</f>
        <v/>
      </c>
      <c r="AH312" s="11" t="str">
        <f>IF(OR(B312="",V312=""),"",V312-B312)</f>
        <v/>
      </c>
      <c r="AI312" s="16" t="str">
        <f>IF(P312="","",P312-WEEKDAY(P312,3))</f>
        <v/>
      </c>
      <c r="AJ312" s="23" t="str">
        <f>IF(P312="","",DATE(YEAR(P312),MONTH(P312),1))</f>
        <v/>
      </c>
    </row>
    <row r="313">
      <c r="A313" s="21"/>
      <c r="B313" s="14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14"/>
      <c r="Q313" s="21"/>
      <c r="R313" s="21"/>
      <c r="S313" s="21"/>
      <c r="T313" s="21"/>
      <c r="U313" s="21"/>
      <c r="V313" s="14"/>
      <c r="W313" s="22"/>
      <c r="X313" s="14"/>
      <c r="Y313" s="11" t="str">
        <f>IF(V313="","",IF(X313&lt;&gt;"",IF(X313-V313&lt;30,"No","Sí"),IF(TODAY()-V313&gt;=30,"Sí","En curso")))</f>
        <v/>
      </c>
      <c r="Z313" s="14"/>
      <c r="AA313" s="21"/>
      <c r="AB313" s="14"/>
      <c r="AC313" s="21"/>
      <c r="AD313" s="21"/>
      <c r="AE313" s="7"/>
      <c r="AF313" s="11" t="str">
        <f>IF(OR(AC313&lt;&gt;"Abierto",Z313=""),"",TODAY()-Z313)</f>
        <v/>
      </c>
      <c r="AG313" s="11" t="str">
        <f>IF(AC313&lt;&gt;"Abierto","",IF(AB313="","Sin siguiente acción",IF(AB313&lt;TODAY(),"Vencido",IF(AB313=TODAY(),"Hoy","En tiempo"))))</f>
        <v/>
      </c>
      <c r="AH313" s="11" t="str">
        <f>IF(OR(B313="",V313=""),"",V313-B313)</f>
        <v/>
      </c>
      <c r="AI313" s="16" t="str">
        <f>IF(P313="","",P313-WEEKDAY(P313,3))</f>
        <v/>
      </c>
      <c r="AJ313" s="23" t="str">
        <f>IF(P313="","",DATE(YEAR(P313),MONTH(P313),1))</f>
        <v/>
      </c>
    </row>
    <row r="314">
      <c r="A314" s="21"/>
      <c r="B314" s="14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14"/>
      <c r="Q314" s="21"/>
      <c r="R314" s="21"/>
      <c r="S314" s="21"/>
      <c r="T314" s="21"/>
      <c r="U314" s="21"/>
      <c r="V314" s="14"/>
      <c r="W314" s="22"/>
      <c r="X314" s="14"/>
      <c r="Y314" s="11" t="str">
        <f>IF(V314="","",IF(X314&lt;&gt;"",IF(X314-V314&lt;30,"No","Sí"),IF(TODAY()-V314&gt;=30,"Sí","En curso")))</f>
        <v/>
      </c>
      <c r="Z314" s="14"/>
      <c r="AA314" s="21"/>
      <c r="AB314" s="14"/>
      <c r="AC314" s="21"/>
      <c r="AD314" s="21"/>
      <c r="AE314" s="7"/>
      <c r="AF314" s="11" t="str">
        <f>IF(OR(AC314&lt;&gt;"Abierto",Z314=""),"",TODAY()-Z314)</f>
        <v/>
      </c>
      <c r="AG314" s="11" t="str">
        <f>IF(AC314&lt;&gt;"Abierto","",IF(AB314="","Sin siguiente acción",IF(AB314&lt;TODAY(),"Vencido",IF(AB314=TODAY(),"Hoy","En tiempo"))))</f>
        <v/>
      </c>
      <c r="AH314" s="11" t="str">
        <f>IF(OR(B314="",V314=""),"",V314-B314)</f>
        <v/>
      </c>
      <c r="AI314" s="16" t="str">
        <f>IF(P314="","",P314-WEEKDAY(P314,3))</f>
        <v/>
      </c>
      <c r="AJ314" s="23" t="str">
        <f>IF(P314="","",DATE(YEAR(P314),MONTH(P314),1))</f>
        <v/>
      </c>
    </row>
    <row r="315">
      <c r="A315" s="21"/>
      <c r="B315" s="14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14"/>
      <c r="Q315" s="21"/>
      <c r="R315" s="21"/>
      <c r="S315" s="21"/>
      <c r="T315" s="21"/>
      <c r="U315" s="21"/>
      <c r="V315" s="14"/>
      <c r="W315" s="22"/>
      <c r="X315" s="14"/>
      <c r="Y315" s="11" t="str">
        <f>IF(V315="","",IF(X315&lt;&gt;"",IF(X315-V315&lt;30,"No","Sí"),IF(TODAY()-V315&gt;=30,"Sí","En curso")))</f>
        <v/>
      </c>
      <c r="Z315" s="14"/>
      <c r="AA315" s="21"/>
      <c r="AB315" s="14"/>
      <c r="AC315" s="21"/>
      <c r="AD315" s="21"/>
      <c r="AE315" s="7"/>
      <c r="AF315" s="11" t="str">
        <f>IF(OR(AC315&lt;&gt;"Abierto",Z315=""),"",TODAY()-Z315)</f>
        <v/>
      </c>
      <c r="AG315" s="11" t="str">
        <f>IF(AC315&lt;&gt;"Abierto","",IF(AB315="","Sin siguiente acción",IF(AB315&lt;TODAY(),"Vencido",IF(AB315=TODAY(),"Hoy","En tiempo"))))</f>
        <v/>
      </c>
      <c r="AH315" s="11" t="str">
        <f>IF(OR(B315="",V315=""),"",V315-B315)</f>
        <v/>
      </c>
      <c r="AI315" s="16" t="str">
        <f>IF(P315="","",P315-WEEKDAY(P315,3))</f>
        <v/>
      </c>
      <c r="AJ315" s="23" t="str">
        <f>IF(P315="","",DATE(YEAR(P315),MONTH(P315),1))</f>
        <v/>
      </c>
    </row>
    <row r="316">
      <c r="A316" s="21"/>
      <c r="B316" s="14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14"/>
      <c r="Q316" s="21"/>
      <c r="R316" s="21"/>
      <c r="S316" s="21"/>
      <c r="T316" s="21"/>
      <c r="U316" s="21"/>
      <c r="V316" s="14"/>
      <c r="W316" s="22"/>
      <c r="X316" s="14"/>
      <c r="Y316" s="11" t="str">
        <f>IF(V316="","",IF(X316&lt;&gt;"",IF(X316-V316&lt;30,"No","Sí"),IF(TODAY()-V316&gt;=30,"Sí","En curso")))</f>
        <v/>
      </c>
      <c r="Z316" s="14"/>
      <c r="AA316" s="21"/>
      <c r="AB316" s="14"/>
      <c r="AC316" s="21"/>
      <c r="AD316" s="21"/>
      <c r="AE316" s="7"/>
      <c r="AF316" s="11" t="str">
        <f>IF(OR(AC316&lt;&gt;"Abierto",Z316=""),"",TODAY()-Z316)</f>
        <v/>
      </c>
      <c r="AG316" s="11" t="str">
        <f>IF(AC316&lt;&gt;"Abierto","",IF(AB316="","Sin siguiente acción",IF(AB316&lt;TODAY(),"Vencido",IF(AB316=TODAY(),"Hoy","En tiempo"))))</f>
        <v/>
      </c>
      <c r="AH316" s="11" t="str">
        <f>IF(OR(B316="",V316=""),"",V316-B316)</f>
        <v/>
      </c>
      <c r="AI316" s="16" t="str">
        <f>IF(P316="","",P316-WEEKDAY(P316,3))</f>
        <v/>
      </c>
      <c r="AJ316" s="23" t="str">
        <f>IF(P316="","",DATE(YEAR(P316),MONTH(P316),1))</f>
        <v/>
      </c>
    </row>
    <row r="317">
      <c r="A317" s="21"/>
      <c r="B317" s="14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14"/>
      <c r="Q317" s="21"/>
      <c r="R317" s="21"/>
      <c r="S317" s="21"/>
      <c r="T317" s="21"/>
      <c r="U317" s="21"/>
      <c r="V317" s="14"/>
      <c r="W317" s="22"/>
      <c r="X317" s="14"/>
      <c r="Y317" s="11" t="str">
        <f>IF(V317="","",IF(X317&lt;&gt;"",IF(X317-V317&lt;30,"No","Sí"),IF(TODAY()-V317&gt;=30,"Sí","En curso")))</f>
        <v/>
      </c>
      <c r="Z317" s="14"/>
      <c r="AA317" s="21"/>
      <c r="AB317" s="14"/>
      <c r="AC317" s="21"/>
      <c r="AD317" s="21"/>
      <c r="AE317" s="7"/>
      <c r="AF317" s="11" t="str">
        <f>IF(OR(AC317&lt;&gt;"Abierto",Z317=""),"",TODAY()-Z317)</f>
        <v/>
      </c>
      <c r="AG317" s="11" t="str">
        <f>IF(AC317&lt;&gt;"Abierto","",IF(AB317="","Sin siguiente acción",IF(AB317&lt;TODAY(),"Vencido",IF(AB317=TODAY(),"Hoy","En tiempo"))))</f>
        <v/>
      </c>
      <c r="AH317" s="11" t="str">
        <f>IF(OR(B317="",V317=""),"",V317-B317)</f>
        <v/>
      </c>
      <c r="AI317" s="16" t="str">
        <f>IF(P317="","",P317-WEEKDAY(P317,3))</f>
        <v/>
      </c>
      <c r="AJ317" s="23" t="str">
        <f>IF(P317="","",DATE(YEAR(P317),MONTH(P317),1))</f>
        <v/>
      </c>
    </row>
    <row r="318">
      <c r="A318" s="21"/>
      <c r="B318" s="14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14"/>
      <c r="Q318" s="21"/>
      <c r="R318" s="21"/>
      <c r="S318" s="21"/>
      <c r="T318" s="21"/>
      <c r="U318" s="21"/>
      <c r="V318" s="14"/>
      <c r="W318" s="22"/>
      <c r="X318" s="14"/>
      <c r="Y318" s="11" t="str">
        <f>IF(V318="","",IF(X318&lt;&gt;"",IF(X318-V318&lt;30,"No","Sí"),IF(TODAY()-V318&gt;=30,"Sí","En curso")))</f>
        <v/>
      </c>
      <c r="Z318" s="14"/>
      <c r="AA318" s="21"/>
      <c r="AB318" s="14"/>
      <c r="AC318" s="21"/>
      <c r="AD318" s="21"/>
      <c r="AE318" s="7"/>
      <c r="AF318" s="11" t="str">
        <f>IF(OR(AC318&lt;&gt;"Abierto",Z318=""),"",TODAY()-Z318)</f>
        <v/>
      </c>
      <c r="AG318" s="11" t="str">
        <f>IF(AC318&lt;&gt;"Abierto","",IF(AB318="","Sin siguiente acción",IF(AB318&lt;TODAY(),"Vencido",IF(AB318=TODAY(),"Hoy","En tiempo"))))</f>
        <v/>
      </c>
      <c r="AH318" s="11" t="str">
        <f>IF(OR(B318="",V318=""),"",V318-B318)</f>
        <v/>
      </c>
      <c r="AI318" s="16" t="str">
        <f>IF(P318="","",P318-WEEKDAY(P318,3))</f>
        <v/>
      </c>
      <c r="AJ318" s="23" t="str">
        <f>IF(P318="","",DATE(YEAR(P318),MONTH(P318),1))</f>
        <v/>
      </c>
    </row>
    <row r="319">
      <c r="A319" s="21"/>
      <c r="B319" s="14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14"/>
      <c r="Q319" s="21"/>
      <c r="R319" s="21"/>
      <c r="S319" s="21"/>
      <c r="T319" s="21"/>
      <c r="U319" s="21"/>
      <c r="V319" s="14"/>
      <c r="W319" s="22"/>
      <c r="X319" s="14"/>
      <c r="Y319" s="11" t="str">
        <f>IF(V319="","",IF(X319&lt;&gt;"",IF(X319-V319&lt;30,"No","Sí"),IF(TODAY()-V319&gt;=30,"Sí","En curso")))</f>
        <v/>
      </c>
      <c r="Z319" s="14"/>
      <c r="AA319" s="21"/>
      <c r="AB319" s="14"/>
      <c r="AC319" s="21"/>
      <c r="AD319" s="21"/>
      <c r="AE319" s="7"/>
      <c r="AF319" s="11" t="str">
        <f>IF(OR(AC319&lt;&gt;"Abierto",Z319=""),"",TODAY()-Z319)</f>
        <v/>
      </c>
      <c r="AG319" s="11" t="str">
        <f>IF(AC319&lt;&gt;"Abierto","",IF(AB319="","Sin siguiente acción",IF(AB319&lt;TODAY(),"Vencido",IF(AB319=TODAY(),"Hoy","En tiempo"))))</f>
        <v/>
      </c>
      <c r="AH319" s="11" t="str">
        <f>IF(OR(B319="",V319=""),"",V319-B319)</f>
        <v/>
      </c>
      <c r="AI319" s="16" t="str">
        <f>IF(P319="","",P319-WEEKDAY(P319,3))</f>
        <v/>
      </c>
      <c r="AJ319" s="23" t="str">
        <f>IF(P319="","",DATE(YEAR(P319),MONTH(P319),1))</f>
        <v/>
      </c>
    </row>
    <row r="320">
      <c r="A320" s="21"/>
      <c r="B320" s="14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14"/>
      <c r="Q320" s="21"/>
      <c r="R320" s="21"/>
      <c r="S320" s="21"/>
      <c r="T320" s="21"/>
      <c r="U320" s="21"/>
      <c r="V320" s="14"/>
      <c r="W320" s="22"/>
      <c r="X320" s="14"/>
      <c r="Y320" s="11" t="str">
        <f>IF(V320="","",IF(X320&lt;&gt;"",IF(X320-V320&lt;30,"No","Sí"),IF(TODAY()-V320&gt;=30,"Sí","En curso")))</f>
        <v/>
      </c>
      <c r="Z320" s="14"/>
      <c r="AA320" s="21"/>
      <c r="AB320" s="14"/>
      <c r="AC320" s="21"/>
      <c r="AD320" s="21"/>
      <c r="AE320" s="7"/>
      <c r="AF320" s="11" t="str">
        <f>IF(OR(AC320&lt;&gt;"Abierto",Z320=""),"",TODAY()-Z320)</f>
        <v/>
      </c>
      <c r="AG320" s="11" t="str">
        <f>IF(AC320&lt;&gt;"Abierto","",IF(AB320="","Sin siguiente acción",IF(AB320&lt;TODAY(),"Vencido",IF(AB320=TODAY(),"Hoy","En tiempo"))))</f>
        <v/>
      </c>
      <c r="AH320" s="11" t="str">
        <f>IF(OR(B320="",V320=""),"",V320-B320)</f>
        <v/>
      </c>
      <c r="AI320" s="16" t="str">
        <f>IF(P320="","",P320-WEEKDAY(P320,3))</f>
        <v/>
      </c>
      <c r="AJ320" s="23" t="str">
        <f>IF(P320="","",DATE(YEAR(P320),MONTH(P320),1))</f>
        <v/>
      </c>
    </row>
    <row r="321">
      <c r="A321" s="21"/>
      <c r="B321" s="14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14"/>
      <c r="Q321" s="21"/>
      <c r="R321" s="21"/>
      <c r="S321" s="21"/>
      <c r="T321" s="21"/>
      <c r="U321" s="21"/>
      <c r="V321" s="14"/>
      <c r="W321" s="22"/>
      <c r="X321" s="14"/>
      <c r="Y321" s="11" t="str">
        <f>IF(V321="","",IF(X321&lt;&gt;"",IF(X321-V321&lt;30,"No","Sí"),IF(TODAY()-V321&gt;=30,"Sí","En curso")))</f>
        <v/>
      </c>
      <c r="Z321" s="14"/>
      <c r="AA321" s="21"/>
      <c r="AB321" s="14"/>
      <c r="AC321" s="21"/>
      <c r="AD321" s="21"/>
      <c r="AE321" s="7"/>
      <c r="AF321" s="11" t="str">
        <f>IF(OR(AC321&lt;&gt;"Abierto",Z321=""),"",TODAY()-Z321)</f>
        <v/>
      </c>
      <c r="AG321" s="11" t="str">
        <f>IF(AC321&lt;&gt;"Abierto","",IF(AB321="","Sin siguiente acción",IF(AB321&lt;TODAY(),"Vencido",IF(AB321=TODAY(),"Hoy","En tiempo"))))</f>
        <v/>
      </c>
      <c r="AH321" s="11" t="str">
        <f>IF(OR(B321="",V321=""),"",V321-B321)</f>
        <v/>
      </c>
      <c r="AI321" s="16" t="str">
        <f>IF(P321="","",P321-WEEKDAY(P321,3))</f>
        <v/>
      </c>
      <c r="AJ321" s="23" t="str">
        <f>IF(P321="","",DATE(YEAR(P321),MONTH(P321),1))</f>
        <v/>
      </c>
    </row>
    <row r="322">
      <c r="A322" s="21"/>
      <c r="B322" s="14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14"/>
      <c r="Q322" s="21"/>
      <c r="R322" s="21"/>
      <c r="S322" s="21"/>
      <c r="T322" s="21"/>
      <c r="U322" s="21"/>
      <c r="V322" s="14"/>
      <c r="W322" s="22"/>
      <c r="X322" s="14"/>
      <c r="Y322" s="11" t="str">
        <f>IF(V322="","",IF(X322&lt;&gt;"",IF(X322-V322&lt;30,"No","Sí"),IF(TODAY()-V322&gt;=30,"Sí","En curso")))</f>
        <v/>
      </c>
      <c r="Z322" s="14"/>
      <c r="AA322" s="21"/>
      <c r="AB322" s="14"/>
      <c r="AC322" s="21"/>
      <c r="AD322" s="21"/>
      <c r="AE322" s="7"/>
      <c r="AF322" s="11" t="str">
        <f>IF(OR(AC322&lt;&gt;"Abierto",Z322=""),"",TODAY()-Z322)</f>
        <v/>
      </c>
      <c r="AG322" s="11" t="str">
        <f>IF(AC322&lt;&gt;"Abierto","",IF(AB322="","Sin siguiente acción",IF(AB322&lt;TODAY(),"Vencido",IF(AB322=TODAY(),"Hoy","En tiempo"))))</f>
        <v/>
      </c>
      <c r="AH322" s="11" t="str">
        <f>IF(OR(B322="",V322=""),"",V322-B322)</f>
        <v/>
      </c>
      <c r="AI322" s="16" t="str">
        <f>IF(P322="","",P322-WEEKDAY(P322,3))</f>
        <v/>
      </c>
      <c r="AJ322" s="23" t="str">
        <f>IF(P322="","",DATE(YEAR(P322),MONTH(P322),1))</f>
        <v/>
      </c>
    </row>
    <row r="323">
      <c r="A323" s="21"/>
      <c r="B323" s="14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14"/>
      <c r="Q323" s="21"/>
      <c r="R323" s="21"/>
      <c r="S323" s="21"/>
      <c r="T323" s="21"/>
      <c r="U323" s="21"/>
      <c r="V323" s="14"/>
      <c r="W323" s="22"/>
      <c r="X323" s="14"/>
      <c r="Y323" s="11" t="str">
        <f>IF(V323="","",IF(X323&lt;&gt;"",IF(X323-V323&lt;30,"No","Sí"),IF(TODAY()-V323&gt;=30,"Sí","En curso")))</f>
        <v/>
      </c>
      <c r="Z323" s="14"/>
      <c r="AA323" s="21"/>
      <c r="AB323" s="14"/>
      <c r="AC323" s="21"/>
      <c r="AD323" s="21"/>
      <c r="AE323" s="7"/>
      <c r="AF323" s="11" t="str">
        <f>IF(OR(AC323&lt;&gt;"Abierto",Z323=""),"",TODAY()-Z323)</f>
        <v/>
      </c>
      <c r="AG323" s="11" t="str">
        <f>IF(AC323&lt;&gt;"Abierto","",IF(AB323="","Sin siguiente acción",IF(AB323&lt;TODAY(),"Vencido",IF(AB323=TODAY(),"Hoy","En tiempo"))))</f>
        <v/>
      </c>
      <c r="AH323" s="11" t="str">
        <f>IF(OR(B323="",V323=""),"",V323-B323)</f>
        <v/>
      </c>
      <c r="AI323" s="16" t="str">
        <f>IF(P323="","",P323-WEEKDAY(P323,3))</f>
        <v/>
      </c>
      <c r="AJ323" s="23" t="str">
        <f>IF(P323="","",DATE(YEAR(P323),MONTH(P323),1))</f>
        <v/>
      </c>
    </row>
    <row r="324">
      <c r="A324" s="21"/>
      <c r="B324" s="14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14"/>
      <c r="Q324" s="21"/>
      <c r="R324" s="21"/>
      <c r="S324" s="21"/>
      <c r="T324" s="21"/>
      <c r="U324" s="21"/>
      <c r="V324" s="14"/>
      <c r="W324" s="22"/>
      <c r="X324" s="14"/>
      <c r="Y324" s="11" t="str">
        <f>IF(V324="","",IF(X324&lt;&gt;"",IF(X324-V324&lt;30,"No","Sí"),IF(TODAY()-V324&gt;=30,"Sí","En curso")))</f>
        <v/>
      </c>
      <c r="Z324" s="14"/>
      <c r="AA324" s="21"/>
      <c r="AB324" s="14"/>
      <c r="AC324" s="21"/>
      <c r="AD324" s="21"/>
      <c r="AE324" s="7"/>
      <c r="AF324" s="11" t="str">
        <f>IF(OR(AC324&lt;&gt;"Abierto",Z324=""),"",TODAY()-Z324)</f>
        <v/>
      </c>
      <c r="AG324" s="11" t="str">
        <f>IF(AC324&lt;&gt;"Abierto","",IF(AB324="","Sin siguiente acción",IF(AB324&lt;TODAY(),"Vencido",IF(AB324=TODAY(),"Hoy","En tiempo"))))</f>
        <v/>
      </c>
      <c r="AH324" s="11" t="str">
        <f>IF(OR(B324="",V324=""),"",V324-B324)</f>
        <v/>
      </c>
      <c r="AI324" s="16" t="str">
        <f>IF(P324="","",P324-WEEKDAY(P324,3))</f>
        <v/>
      </c>
      <c r="AJ324" s="23" t="str">
        <f>IF(P324="","",DATE(YEAR(P324),MONTH(P324),1))</f>
        <v/>
      </c>
    </row>
    <row r="325">
      <c r="A325" s="21"/>
      <c r="B325" s="14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14"/>
      <c r="Q325" s="21"/>
      <c r="R325" s="21"/>
      <c r="S325" s="21"/>
      <c r="T325" s="21"/>
      <c r="U325" s="21"/>
      <c r="V325" s="14"/>
      <c r="W325" s="22"/>
      <c r="X325" s="14"/>
      <c r="Y325" s="11" t="str">
        <f>IF(V325="","",IF(X325&lt;&gt;"",IF(X325-V325&lt;30,"No","Sí"),IF(TODAY()-V325&gt;=30,"Sí","En curso")))</f>
        <v/>
      </c>
      <c r="Z325" s="14"/>
      <c r="AA325" s="21"/>
      <c r="AB325" s="14"/>
      <c r="AC325" s="21"/>
      <c r="AD325" s="21"/>
      <c r="AE325" s="7"/>
      <c r="AF325" s="11" t="str">
        <f>IF(OR(AC325&lt;&gt;"Abierto",Z325=""),"",TODAY()-Z325)</f>
        <v/>
      </c>
      <c r="AG325" s="11" t="str">
        <f>IF(AC325&lt;&gt;"Abierto","",IF(AB325="","Sin siguiente acción",IF(AB325&lt;TODAY(),"Vencido",IF(AB325=TODAY(),"Hoy","En tiempo"))))</f>
        <v/>
      </c>
      <c r="AH325" s="11" t="str">
        <f>IF(OR(B325="",V325=""),"",V325-B325)</f>
        <v/>
      </c>
      <c r="AI325" s="16" t="str">
        <f>IF(P325="","",P325-WEEKDAY(P325,3))</f>
        <v/>
      </c>
      <c r="AJ325" s="23" t="str">
        <f>IF(P325="","",DATE(YEAR(P325),MONTH(P325),1))</f>
        <v/>
      </c>
    </row>
    <row r="326">
      <c r="A326" s="21"/>
      <c r="B326" s="14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14"/>
      <c r="Q326" s="21"/>
      <c r="R326" s="21"/>
      <c r="S326" s="21"/>
      <c r="T326" s="21"/>
      <c r="U326" s="21"/>
      <c r="V326" s="14"/>
      <c r="W326" s="22"/>
      <c r="X326" s="14"/>
      <c r="Y326" s="11" t="str">
        <f>IF(V326="","",IF(X326&lt;&gt;"",IF(X326-V326&lt;30,"No","Sí"),IF(TODAY()-V326&gt;=30,"Sí","En curso")))</f>
        <v/>
      </c>
      <c r="Z326" s="14"/>
      <c r="AA326" s="21"/>
      <c r="AB326" s="14"/>
      <c r="AC326" s="21"/>
      <c r="AD326" s="21"/>
      <c r="AE326" s="7"/>
      <c r="AF326" s="11" t="str">
        <f>IF(OR(AC326&lt;&gt;"Abierto",Z326=""),"",TODAY()-Z326)</f>
        <v/>
      </c>
      <c r="AG326" s="11" t="str">
        <f>IF(AC326&lt;&gt;"Abierto","",IF(AB326="","Sin siguiente acción",IF(AB326&lt;TODAY(),"Vencido",IF(AB326=TODAY(),"Hoy","En tiempo"))))</f>
        <v/>
      </c>
      <c r="AH326" s="11" t="str">
        <f>IF(OR(B326="",V326=""),"",V326-B326)</f>
        <v/>
      </c>
      <c r="AI326" s="16" t="str">
        <f>IF(P326="","",P326-WEEKDAY(P326,3))</f>
        <v/>
      </c>
      <c r="AJ326" s="23" t="str">
        <f>IF(P326="","",DATE(YEAR(P326),MONTH(P326),1))</f>
        <v/>
      </c>
    </row>
    <row r="327">
      <c r="A327" s="21"/>
      <c r="B327" s="14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14"/>
      <c r="Q327" s="21"/>
      <c r="R327" s="21"/>
      <c r="S327" s="21"/>
      <c r="T327" s="21"/>
      <c r="U327" s="21"/>
      <c r="V327" s="14"/>
      <c r="W327" s="22"/>
      <c r="X327" s="14"/>
      <c r="Y327" s="11" t="str">
        <f>IF(V327="","",IF(X327&lt;&gt;"",IF(X327-V327&lt;30,"No","Sí"),IF(TODAY()-V327&gt;=30,"Sí","En curso")))</f>
        <v/>
      </c>
      <c r="Z327" s="14"/>
      <c r="AA327" s="21"/>
      <c r="AB327" s="14"/>
      <c r="AC327" s="21"/>
      <c r="AD327" s="21"/>
      <c r="AE327" s="7"/>
      <c r="AF327" s="11" t="str">
        <f>IF(OR(AC327&lt;&gt;"Abierto",Z327=""),"",TODAY()-Z327)</f>
        <v/>
      </c>
      <c r="AG327" s="11" t="str">
        <f>IF(AC327&lt;&gt;"Abierto","",IF(AB327="","Sin siguiente acción",IF(AB327&lt;TODAY(),"Vencido",IF(AB327=TODAY(),"Hoy","En tiempo"))))</f>
        <v/>
      </c>
      <c r="AH327" s="11" t="str">
        <f>IF(OR(B327="",V327=""),"",V327-B327)</f>
        <v/>
      </c>
      <c r="AI327" s="16" t="str">
        <f>IF(P327="","",P327-WEEKDAY(P327,3))</f>
        <v/>
      </c>
      <c r="AJ327" s="23" t="str">
        <f>IF(P327="","",DATE(YEAR(P327),MONTH(P327),1))</f>
        <v/>
      </c>
    </row>
    <row r="328">
      <c r="A328" s="21"/>
      <c r="B328" s="14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14"/>
      <c r="Q328" s="21"/>
      <c r="R328" s="21"/>
      <c r="S328" s="21"/>
      <c r="T328" s="21"/>
      <c r="U328" s="21"/>
      <c r="V328" s="14"/>
      <c r="W328" s="22"/>
      <c r="X328" s="14"/>
      <c r="Y328" s="11" t="str">
        <f>IF(V328="","",IF(X328&lt;&gt;"",IF(X328-V328&lt;30,"No","Sí"),IF(TODAY()-V328&gt;=30,"Sí","En curso")))</f>
        <v/>
      </c>
      <c r="Z328" s="14"/>
      <c r="AA328" s="21"/>
      <c r="AB328" s="14"/>
      <c r="AC328" s="21"/>
      <c r="AD328" s="21"/>
      <c r="AE328" s="7"/>
      <c r="AF328" s="11" t="str">
        <f>IF(OR(AC328&lt;&gt;"Abierto",Z328=""),"",TODAY()-Z328)</f>
        <v/>
      </c>
      <c r="AG328" s="11" t="str">
        <f>IF(AC328&lt;&gt;"Abierto","",IF(AB328="","Sin siguiente acción",IF(AB328&lt;TODAY(),"Vencido",IF(AB328=TODAY(),"Hoy","En tiempo"))))</f>
        <v/>
      </c>
      <c r="AH328" s="11" t="str">
        <f>IF(OR(B328="",V328=""),"",V328-B328)</f>
        <v/>
      </c>
      <c r="AI328" s="16" t="str">
        <f>IF(P328="","",P328-WEEKDAY(P328,3))</f>
        <v/>
      </c>
      <c r="AJ328" s="23" t="str">
        <f>IF(P328="","",DATE(YEAR(P328),MONTH(P328),1))</f>
        <v/>
      </c>
    </row>
    <row r="329">
      <c r="A329" s="21"/>
      <c r="B329" s="14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14"/>
      <c r="Q329" s="21"/>
      <c r="R329" s="21"/>
      <c r="S329" s="21"/>
      <c r="T329" s="21"/>
      <c r="U329" s="21"/>
      <c r="V329" s="14"/>
      <c r="W329" s="22"/>
      <c r="X329" s="14"/>
      <c r="Y329" s="11" t="str">
        <f>IF(V329="","",IF(X329&lt;&gt;"",IF(X329-V329&lt;30,"No","Sí"),IF(TODAY()-V329&gt;=30,"Sí","En curso")))</f>
        <v/>
      </c>
      <c r="Z329" s="14"/>
      <c r="AA329" s="21"/>
      <c r="AB329" s="14"/>
      <c r="AC329" s="21"/>
      <c r="AD329" s="21"/>
      <c r="AE329" s="7"/>
      <c r="AF329" s="11" t="str">
        <f>IF(OR(AC329&lt;&gt;"Abierto",Z329=""),"",TODAY()-Z329)</f>
        <v/>
      </c>
      <c r="AG329" s="11" t="str">
        <f>IF(AC329&lt;&gt;"Abierto","",IF(AB329="","Sin siguiente acción",IF(AB329&lt;TODAY(),"Vencido",IF(AB329=TODAY(),"Hoy","En tiempo"))))</f>
        <v/>
      </c>
      <c r="AH329" s="11" t="str">
        <f>IF(OR(B329="",V329=""),"",V329-B329)</f>
        <v/>
      </c>
      <c r="AI329" s="16" t="str">
        <f>IF(P329="","",P329-WEEKDAY(P329,3))</f>
        <v/>
      </c>
      <c r="AJ329" s="23" t="str">
        <f>IF(P329="","",DATE(YEAR(P329),MONTH(P329),1))</f>
        <v/>
      </c>
    </row>
    <row r="330">
      <c r="A330" s="21"/>
      <c r="B330" s="14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14"/>
      <c r="Q330" s="21"/>
      <c r="R330" s="21"/>
      <c r="S330" s="21"/>
      <c r="T330" s="21"/>
      <c r="U330" s="21"/>
      <c r="V330" s="14"/>
      <c r="W330" s="22"/>
      <c r="X330" s="14"/>
      <c r="Y330" s="11" t="str">
        <f>IF(V330="","",IF(X330&lt;&gt;"",IF(X330-V330&lt;30,"No","Sí"),IF(TODAY()-V330&gt;=30,"Sí","En curso")))</f>
        <v/>
      </c>
      <c r="Z330" s="14"/>
      <c r="AA330" s="21"/>
      <c r="AB330" s="14"/>
      <c r="AC330" s="21"/>
      <c r="AD330" s="21"/>
      <c r="AE330" s="7"/>
      <c r="AF330" s="11" t="str">
        <f>IF(OR(AC330&lt;&gt;"Abierto",Z330=""),"",TODAY()-Z330)</f>
        <v/>
      </c>
      <c r="AG330" s="11" t="str">
        <f>IF(AC330&lt;&gt;"Abierto","",IF(AB330="","Sin siguiente acción",IF(AB330&lt;TODAY(),"Vencido",IF(AB330=TODAY(),"Hoy","En tiempo"))))</f>
        <v/>
      </c>
      <c r="AH330" s="11" t="str">
        <f>IF(OR(B330="",V330=""),"",V330-B330)</f>
        <v/>
      </c>
      <c r="AI330" s="16" t="str">
        <f>IF(P330="","",P330-WEEKDAY(P330,3))</f>
        <v/>
      </c>
      <c r="AJ330" s="23" t="str">
        <f>IF(P330="","",DATE(YEAR(P330),MONTH(P330),1))</f>
        <v/>
      </c>
    </row>
    <row r="331">
      <c r="A331" s="21"/>
      <c r="B331" s="14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14"/>
      <c r="Q331" s="21"/>
      <c r="R331" s="21"/>
      <c r="S331" s="21"/>
      <c r="T331" s="21"/>
      <c r="U331" s="21"/>
      <c r="V331" s="14"/>
      <c r="W331" s="22"/>
      <c r="X331" s="14"/>
      <c r="Y331" s="11" t="str">
        <f>IF(V331="","",IF(X331&lt;&gt;"",IF(X331-V331&lt;30,"No","Sí"),IF(TODAY()-V331&gt;=30,"Sí","En curso")))</f>
        <v/>
      </c>
      <c r="Z331" s="14"/>
      <c r="AA331" s="21"/>
      <c r="AB331" s="14"/>
      <c r="AC331" s="21"/>
      <c r="AD331" s="21"/>
      <c r="AE331" s="7"/>
      <c r="AF331" s="11" t="str">
        <f>IF(OR(AC331&lt;&gt;"Abierto",Z331=""),"",TODAY()-Z331)</f>
        <v/>
      </c>
      <c r="AG331" s="11" t="str">
        <f>IF(AC331&lt;&gt;"Abierto","",IF(AB331="","Sin siguiente acción",IF(AB331&lt;TODAY(),"Vencido",IF(AB331=TODAY(),"Hoy","En tiempo"))))</f>
        <v/>
      </c>
      <c r="AH331" s="11" t="str">
        <f>IF(OR(B331="",V331=""),"",V331-B331)</f>
        <v/>
      </c>
      <c r="AI331" s="16" t="str">
        <f>IF(P331="","",P331-WEEKDAY(P331,3))</f>
        <v/>
      </c>
      <c r="AJ331" s="23" t="str">
        <f>IF(P331="","",DATE(YEAR(P331),MONTH(P331),1))</f>
        <v/>
      </c>
    </row>
    <row r="332">
      <c r="A332" s="21"/>
      <c r="B332" s="14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14"/>
      <c r="Q332" s="21"/>
      <c r="R332" s="21"/>
      <c r="S332" s="21"/>
      <c r="T332" s="21"/>
      <c r="U332" s="21"/>
      <c r="V332" s="14"/>
      <c r="W332" s="22"/>
      <c r="X332" s="14"/>
      <c r="Y332" s="11" t="str">
        <f>IF(V332="","",IF(X332&lt;&gt;"",IF(X332-V332&lt;30,"No","Sí"),IF(TODAY()-V332&gt;=30,"Sí","En curso")))</f>
        <v/>
      </c>
      <c r="Z332" s="14"/>
      <c r="AA332" s="21"/>
      <c r="AB332" s="14"/>
      <c r="AC332" s="21"/>
      <c r="AD332" s="21"/>
      <c r="AE332" s="7"/>
      <c r="AF332" s="11" t="str">
        <f>IF(OR(AC332&lt;&gt;"Abierto",Z332=""),"",TODAY()-Z332)</f>
        <v/>
      </c>
      <c r="AG332" s="11" t="str">
        <f>IF(AC332&lt;&gt;"Abierto","",IF(AB332="","Sin siguiente acción",IF(AB332&lt;TODAY(),"Vencido",IF(AB332=TODAY(),"Hoy","En tiempo"))))</f>
        <v/>
      </c>
      <c r="AH332" s="11" t="str">
        <f>IF(OR(B332="",V332=""),"",V332-B332)</f>
        <v/>
      </c>
      <c r="AI332" s="16" t="str">
        <f>IF(P332="","",P332-WEEKDAY(P332,3))</f>
        <v/>
      </c>
      <c r="AJ332" s="23" t="str">
        <f>IF(P332="","",DATE(YEAR(P332),MONTH(P332),1))</f>
        <v/>
      </c>
    </row>
    <row r="333">
      <c r="A333" s="21"/>
      <c r="B333" s="14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14"/>
      <c r="Q333" s="21"/>
      <c r="R333" s="21"/>
      <c r="S333" s="21"/>
      <c r="T333" s="21"/>
      <c r="U333" s="21"/>
      <c r="V333" s="14"/>
      <c r="W333" s="22"/>
      <c r="X333" s="14"/>
      <c r="Y333" s="11" t="str">
        <f>IF(V333="","",IF(X333&lt;&gt;"",IF(X333-V333&lt;30,"No","Sí"),IF(TODAY()-V333&gt;=30,"Sí","En curso")))</f>
        <v/>
      </c>
      <c r="Z333" s="14"/>
      <c r="AA333" s="21"/>
      <c r="AB333" s="14"/>
      <c r="AC333" s="21"/>
      <c r="AD333" s="21"/>
      <c r="AE333" s="7"/>
      <c r="AF333" s="11" t="str">
        <f>IF(OR(AC333&lt;&gt;"Abierto",Z333=""),"",TODAY()-Z333)</f>
        <v/>
      </c>
      <c r="AG333" s="11" t="str">
        <f>IF(AC333&lt;&gt;"Abierto","",IF(AB333="","Sin siguiente acción",IF(AB333&lt;TODAY(),"Vencido",IF(AB333=TODAY(),"Hoy","En tiempo"))))</f>
        <v/>
      </c>
      <c r="AH333" s="11" t="str">
        <f>IF(OR(B333="",V333=""),"",V333-B333)</f>
        <v/>
      </c>
      <c r="AI333" s="16" t="str">
        <f>IF(P333="","",P333-WEEKDAY(P333,3))</f>
        <v/>
      </c>
      <c r="AJ333" s="23" t="str">
        <f>IF(P333="","",DATE(YEAR(P333),MONTH(P333),1))</f>
        <v/>
      </c>
    </row>
    <row r="334">
      <c r="A334" s="21"/>
      <c r="B334" s="14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14"/>
      <c r="Q334" s="21"/>
      <c r="R334" s="21"/>
      <c r="S334" s="21"/>
      <c r="T334" s="21"/>
      <c r="U334" s="21"/>
      <c r="V334" s="14"/>
      <c r="W334" s="22"/>
      <c r="X334" s="14"/>
      <c r="Y334" s="11" t="str">
        <f>IF(V334="","",IF(X334&lt;&gt;"",IF(X334-V334&lt;30,"No","Sí"),IF(TODAY()-V334&gt;=30,"Sí","En curso")))</f>
        <v/>
      </c>
      <c r="Z334" s="14"/>
      <c r="AA334" s="21"/>
      <c r="AB334" s="14"/>
      <c r="AC334" s="21"/>
      <c r="AD334" s="21"/>
      <c r="AE334" s="7"/>
      <c r="AF334" s="11" t="str">
        <f>IF(OR(AC334&lt;&gt;"Abierto",Z334=""),"",TODAY()-Z334)</f>
        <v/>
      </c>
      <c r="AG334" s="11" t="str">
        <f>IF(AC334&lt;&gt;"Abierto","",IF(AB334="","Sin siguiente acción",IF(AB334&lt;TODAY(),"Vencido",IF(AB334=TODAY(),"Hoy","En tiempo"))))</f>
        <v/>
      </c>
      <c r="AH334" s="11" t="str">
        <f>IF(OR(B334="",V334=""),"",V334-B334)</f>
        <v/>
      </c>
      <c r="AI334" s="16" t="str">
        <f>IF(P334="","",P334-WEEKDAY(P334,3))</f>
        <v/>
      </c>
      <c r="AJ334" s="23" t="str">
        <f>IF(P334="","",DATE(YEAR(P334),MONTH(P334),1))</f>
        <v/>
      </c>
    </row>
    <row r="335">
      <c r="A335" s="21"/>
      <c r="B335" s="14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14"/>
      <c r="Q335" s="21"/>
      <c r="R335" s="21"/>
      <c r="S335" s="21"/>
      <c r="T335" s="21"/>
      <c r="U335" s="21"/>
      <c r="V335" s="14"/>
      <c r="W335" s="22"/>
      <c r="X335" s="14"/>
      <c r="Y335" s="11" t="str">
        <f>IF(V335="","",IF(X335&lt;&gt;"",IF(X335-V335&lt;30,"No","Sí"),IF(TODAY()-V335&gt;=30,"Sí","En curso")))</f>
        <v/>
      </c>
      <c r="Z335" s="14"/>
      <c r="AA335" s="21"/>
      <c r="AB335" s="14"/>
      <c r="AC335" s="21"/>
      <c r="AD335" s="21"/>
      <c r="AE335" s="7"/>
      <c r="AF335" s="11" t="str">
        <f>IF(OR(AC335&lt;&gt;"Abierto",Z335=""),"",TODAY()-Z335)</f>
        <v/>
      </c>
      <c r="AG335" s="11" t="str">
        <f>IF(AC335&lt;&gt;"Abierto","",IF(AB335="","Sin siguiente acción",IF(AB335&lt;TODAY(),"Vencido",IF(AB335=TODAY(),"Hoy","En tiempo"))))</f>
        <v/>
      </c>
      <c r="AH335" s="11" t="str">
        <f>IF(OR(B335="",V335=""),"",V335-B335)</f>
        <v/>
      </c>
      <c r="AI335" s="16" t="str">
        <f>IF(P335="","",P335-WEEKDAY(P335,3))</f>
        <v/>
      </c>
      <c r="AJ335" s="23" t="str">
        <f>IF(P335="","",DATE(YEAR(P335),MONTH(P335),1))</f>
        <v/>
      </c>
    </row>
    <row r="336">
      <c r="A336" s="21"/>
      <c r="B336" s="14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14"/>
      <c r="Q336" s="21"/>
      <c r="R336" s="21"/>
      <c r="S336" s="21"/>
      <c r="T336" s="21"/>
      <c r="U336" s="21"/>
      <c r="V336" s="14"/>
      <c r="W336" s="22"/>
      <c r="X336" s="14"/>
      <c r="Y336" s="11" t="str">
        <f>IF(V336="","",IF(X336&lt;&gt;"",IF(X336-V336&lt;30,"No","Sí"),IF(TODAY()-V336&gt;=30,"Sí","En curso")))</f>
        <v/>
      </c>
      <c r="Z336" s="14"/>
      <c r="AA336" s="21"/>
      <c r="AB336" s="14"/>
      <c r="AC336" s="21"/>
      <c r="AD336" s="21"/>
      <c r="AE336" s="7"/>
      <c r="AF336" s="11" t="str">
        <f>IF(OR(AC336&lt;&gt;"Abierto",Z336=""),"",TODAY()-Z336)</f>
        <v/>
      </c>
      <c r="AG336" s="11" t="str">
        <f>IF(AC336&lt;&gt;"Abierto","",IF(AB336="","Sin siguiente acción",IF(AB336&lt;TODAY(),"Vencido",IF(AB336=TODAY(),"Hoy","En tiempo"))))</f>
        <v/>
      </c>
      <c r="AH336" s="11" t="str">
        <f>IF(OR(B336="",V336=""),"",V336-B336)</f>
        <v/>
      </c>
      <c r="AI336" s="16" t="str">
        <f>IF(P336="","",P336-WEEKDAY(P336,3))</f>
        <v/>
      </c>
      <c r="AJ336" s="23" t="str">
        <f>IF(P336="","",DATE(YEAR(P336),MONTH(P336),1))</f>
        <v/>
      </c>
    </row>
    <row r="337">
      <c r="A337" s="21"/>
      <c r="B337" s="14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14"/>
      <c r="Q337" s="21"/>
      <c r="R337" s="21"/>
      <c r="S337" s="21"/>
      <c r="T337" s="21"/>
      <c r="U337" s="21"/>
      <c r="V337" s="14"/>
      <c r="W337" s="22"/>
      <c r="X337" s="14"/>
      <c r="Y337" s="11" t="str">
        <f>IF(V337="","",IF(X337&lt;&gt;"",IF(X337-V337&lt;30,"No","Sí"),IF(TODAY()-V337&gt;=30,"Sí","En curso")))</f>
        <v/>
      </c>
      <c r="Z337" s="14"/>
      <c r="AA337" s="21"/>
      <c r="AB337" s="14"/>
      <c r="AC337" s="21"/>
      <c r="AD337" s="21"/>
      <c r="AE337" s="7"/>
      <c r="AF337" s="11" t="str">
        <f>IF(OR(AC337&lt;&gt;"Abierto",Z337=""),"",TODAY()-Z337)</f>
        <v/>
      </c>
      <c r="AG337" s="11" t="str">
        <f>IF(AC337&lt;&gt;"Abierto","",IF(AB337="","Sin siguiente acción",IF(AB337&lt;TODAY(),"Vencido",IF(AB337=TODAY(),"Hoy","En tiempo"))))</f>
        <v/>
      </c>
      <c r="AH337" s="11" t="str">
        <f>IF(OR(B337="",V337=""),"",V337-B337)</f>
        <v/>
      </c>
      <c r="AI337" s="16" t="str">
        <f>IF(P337="","",P337-WEEKDAY(P337,3))</f>
        <v/>
      </c>
      <c r="AJ337" s="23" t="str">
        <f>IF(P337="","",DATE(YEAR(P337),MONTH(P337),1))</f>
        <v/>
      </c>
    </row>
    <row r="338">
      <c r="A338" s="21"/>
      <c r="B338" s="14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14"/>
      <c r="Q338" s="21"/>
      <c r="R338" s="21"/>
      <c r="S338" s="21"/>
      <c r="T338" s="21"/>
      <c r="U338" s="21"/>
      <c r="V338" s="14"/>
      <c r="W338" s="22"/>
      <c r="X338" s="14"/>
      <c r="Y338" s="11" t="str">
        <f>IF(V338="","",IF(X338&lt;&gt;"",IF(X338-V338&lt;30,"No","Sí"),IF(TODAY()-V338&gt;=30,"Sí","En curso")))</f>
        <v/>
      </c>
      <c r="Z338" s="14"/>
      <c r="AA338" s="21"/>
      <c r="AB338" s="14"/>
      <c r="AC338" s="21"/>
      <c r="AD338" s="21"/>
      <c r="AE338" s="7"/>
      <c r="AF338" s="11" t="str">
        <f>IF(OR(AC338&lt;&gt;"Abierto",Z338=""),"",TODAY()-Z338)</f>
        <v/>
      </c>
      <c r="AG338" s="11" t="str">
        <f>IF(AC338&lt;&gt;"Abierto","",IF(AB338="","Sin siguiente acción",IF(AB338&lt;TODAY(),"Vencido",IF(AB338=TODAY(),"Hoy","En tiempo"))))</f>
        <v/>
      </c>
      <c r="AH338" s="11" t="str">
        <f>IF(OR(B338="",V338=""),"",V338-B338)</f>
        <v/>
      </c>
      <c r="AI338" s="16" t="str">
        <f>IF(P338="","",P338-WEEKDAY(P338,3))</f>
        <v/>
      </c>
      <c r="AJ338" s="23" t="str">
        <f>IF(P338="","",DATE(YEAR(P338),MONTH(P338),1))</f>
        <v/>
      </c>
    </row>
    <row r="339">
      <c r="A339" s="21"/>
      <c r="B339" s="14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14"/>
      <c r="Q339" s="21"/>
      <c r="R339" s="21"/>
      <c r="S339" s="21"/>
      <c r="T339" s="21"/>
      <c r="U339" s="21"/>
      <c r="V339" s="14"/>
      <c r="W339" s="22"/>
      <c r="X339" s="14"/>
      <c r="Y339" s="11" t="str">
        <f>IF(V339="","",IF(X339&lt;&gt;"",IF(X339-V339&lt;30,"No","Sí"),IF(TODAY()-V339&gt;=30,"Sí","En curso")))</f>
        <v/>
      </c>
      <c r="Z339" s="14"/>
      <c r="AA339" s="21"/>
      <c r="AB339" s="14"/>
      <c r="AC339" s="21"/>
      <c r="AD339" s="21"/>
      <c r="AE339" s="7"/>
      <c r="AF339" s="11" t="str">
        <f>IF(OR(AC339&lt;&gt;"Abierto",Z339=""),"",TODAY()-Z339)</f>
        <v/>
      </c>
      <c r="AG339" s="11" t="str">
        <f>IF(AC339&lt;&gt;"Abierto","",IF(AB339="","Sin siguiente acción",IF(AB339&lt;TODAY(),"Vencido",IF(AB339=TODAY(),"Hoy","En tiempo"))))</f>
        <v/>
      </c>
      <c r="AH339" s="11" t="str">
        <f>IF(OR(B339="",V339=""),"",V339-B339)</f>
        <v/>
      </c>
      <c r="AI339" s="16" t="str">
        <f>IF(P339="","",P339-WEEKDAY(P339,3))</f>
        <v/>
      </c>
      <c r="AJ339" s="23" t="str">
        <f>IF(P339="","",DATE(YEAR(P339),MONTH(P339),1))</f>
        <v/>
      </c>
    </row>
    <row r="340">
      <c r="A340" s="21"/>
      <c r="B340" s="14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14"/>
      <c r="Q340" s="21"/>
      <c r="R340" s="21"/>
      <c r="S340" s="21"/>
      <c r="T340" s="21"/>
      <c r="U340" s="21"/>
      <c r="V340" s="14"/>
      <c r="W340" s="22"/>
      <c r="X340" s="14"/>
      <c r="Y340" s="11" t="str">
        <f>IF(V340="","",IF(X340&lt;&gt;"",IF(X340-V340&lt;30,"No","Sí"),IF(TODAY()-V340&gt;=30,"Sí","En curso")))</f>
        <v/>
      </c>
      <c r="Z340" s="14"/>
      <c r="AA340" s="21"/>
      <c r="AB340" s="14"/>
      <c r="AC340" s="21"/>
      <c r="AD340" s="21"/>
      <c r="AE340" s="7"/>
      <c r="AF340" s="11" t="str">
        <f>IF(OR(AC340&lt;&gt;"Abierto",Z340=""),"",TODAY()-Z340)</f>
        <v/>
      </c>
      <c r="AG340" s="11" t="str">
        <f>IF(AC340&lt;&gt;"Abierto","",IF(AB340="","Sin siguiente acción",IF(AB340&lt;TODAY(),"Vencido",IF(AB340=TODAY(),"Hoy","En tiempo"))))</f>
        <v/>
      </c>
      <c r="AH340" s="11" t="str">
        <f>IF(OR(B340="",V340=""),"",V340-B340)</f>
        <v/>
      </c>
      <c r="AI340" s="16" t="str">
        <f>IF(P340="","",P340-WEEKDAY(P340,3))</f>
        <v/>
      </c>
      <c r="AJ340" s="23" t="str">
        <f>IF(P340="","",DATE(YEAR(P340),MONTH(P340),1))</f>
        <v/>
      </c>
    </row>
    <row r="341">
      <c r="A341" s="21"/>
      <c r="B341" s="14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14"/>
      <c r="Q341" s="21"/>
      <c r="R341" s="21"/>
      <c r="S341" s="21"/>
      <c r="T341" s="21"/>
      <c r="U341" s="21"/>
      <c r="V341" s="14"/>
      <c r="W341" s="22"/>
      <c r="X341" s="14"/>
      <c r="Y341" s="11" t="str">
        <f>IF(V341="","",IF(X341&lt;&gt;"",IF(X341-V341&lt;30,"No","Sí"),IF(TODAY()-V341&gt;=30,"Sí","En curso")))</f>
        <v/>
      </c>
      <c r="Z341" s="14"/>
      <c r="AA341" s="21"/>
      <c r="AB341" s="14"/>
      <c r="AC341" s="21"/>
      <c r="AD341" s="21"/>
      <c r="AE341" s="7"/>
      <c r="AF341" s="11" t="str">
        <f>IF(OR(AC341&lt;&gt;"Abierto",Z341=""),"",TODAY()-Z341)</f>
        <v/>
      </c>
      <c r="AG341" s="11" t="str">
        <f>IF(AC341&lt;&gt;"Abierto","",IF(AB341="","Sin siguiente acción",IF(AB341&lt;TODAY(),"Vencido",IF(AB341=TODAY(),"Hoy","En tiempo"))))</f>
        <v/>
      </c>
      <c r="AH341" s="11" t="str">
        <f>IF(OR(B341="",V341=""),"",V341-B341)</f>
        <v/>
      </c>
      <c r="AI341" s="16" t="str">
        <f>IF(P341="","",P341-WEEKDAY(P341,3))</f>
        <v/>
      </c>
      <c r="AJ341" s="23" t="str">
        <f>IF(P341="","",DATE(YEAR(P341),MONTH(P341),1))</f>
        <v/>
      </c>
    </row>
    <row r="342">
      <c r="A342" s="21"/>
      <c r="B342" s="14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14"/>
      <c r="Q342" s="21"/>
      <c r="R342" s="21"/>
      <c r="S342" s="21"/>
      <c r="T342" s="21"/>
      <c r="U342" s="21"/>
      <c r="V342" s="14"/>
      <c r="W342" s="22"/>
      <c r="X342" s="14"/>
      <c r="Y342" s="11" t="str">
        <f>IF(V342="","",IF(X342&lt;&gt;"",IF(X342-V342&lt;30,"No","Sí"),IF(TODAY()-V342&gt;=30,"Sí","En curso")))</f>
        <v/>
      </c>
      <c r="Z342" s="14"/>
      <c r="AA342" s="21"/>
      <c r="AB342" s="14"/>
      <c r="AC342" s="21"/>
      <c r="AD342" s="21"/>
      <c r="AE342" s="7"/>
      <c r="AF342" s="11" t="str">
        <f>IF(OR(AC342&lt;&gt;"Abierto",Z342=""),"",TODAY()-Z342)</f>
        <v/>
      </c>
      <c r="AG342" s="11" t="str">
        <f>IF(AC342&lt;&gt;"Abierto","",IF(AB342="","Sin siguiente acción",IF(AB342&lt;TODAY(),"Vencido",IF(AB342=TODAY(),"Hoy","En tiempo"))))</f>
        <v/>
      </c>
      <c r="AH342" s="11" t="str">
        <f>IF(OR(B342="",V342=""),"",V342-B342)</f>
        <v/>
      </c>
      <c r="AI342" s="16" t="str">
        <f>IF(P342="","",P342-WEEKDAY(P342,3))</f>
        <v/>
      </c>
      <c r="AJ342" s="23" t="str">
        <f>IF(P342="","",DATE(YEAR(P342),MONTH(P342),1))</f>
        <v/>
      </c>
    </row>
    <row r="343">
      <c r="A343" s="21"/>
      <c r="B343" s="14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14"/>
      <c r="Q343" s="21"/>
      <c r="R343" s="21"/>
      <c r="S343" s="21"/>
      <c r="T343" s="21"/>
      <c r="U343" s="21"/>
      <c r="V343" s="14"/>
      <c r="W343" s="22"/>
      <c r="X343" s="14"/>
      <c r="Y343" s="11" t="str">
        <f>IF(V343="","",IF(X343&lt;&gt;"",IF(X343-V343&lt;30,"No","Sí"),IF(TODAY()-V343&gt;=30,"Sí","En curso")))</f>
        <v/>
      </c>
      <c r="Z343" s="14"/>
      <c r="AA343" s="21"/>
      <c r="AB343" s="14"/>
      <c r="AC343" s="21"/>
      <c r="AD343" s="21"/>
      <c r="AE343" s="7"/>
      <c r="AF343" s="11" t="str">
        <f>IF(OR(AC343&lt;&gt;"Abierto",Z343=""),"",TODAY()-Z343)</f>
        <v/>
      </c>
      <c r="AG343" s="11" t="str">
        <f>IF(AC343&lt;&gt;"Abierto","",IF(AB343="","Sin siguiente acción",IF(AB343&lt;TODAY(),"Vencido",IF(AB343=TODAY(),"Hoy","En tiempo"))))</f>
        <v/>
      </c>
      <c r="AH343" s="11" t="str">
        <f>IF(OR(B343="",V343=""),"",V343-B343)</f>
        <v/>
      </c>
      <c r="AI343" s="16" t="str">
        <f>IF(P343="","",P343-WEEKDAY(P343,3))</f>
        <v/>
      </c>
      <c r="AJ343" s="23" t="str">
        <f>IF(P343="","",DATE(YEAR(P343),MONTH(P343),1))</f>
        <v/>
      </c>
    </row>
    <row r="344">
      <c r="A344" s="21"/>
      <c r="B344" s="14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14"/>
      <c r="Q344" s="21"/>
      <c r="R344" s="21"/>
      <c r="S344" s="21"/>
      <c r="T344" s="21"/>
      <c r="U344" s="21"/>
      <c r="V344" s="14"/>
      <c r="W344" s="22"/>
      <c r="X344" s="14"/>
      <c r="Y344" s="11" t="str">
        <f>IF(V344="","",IF(X344&lt;&gt;"",IF(X344-V344&lt;30,"No","Sí"),IF(TODAY()-V344&gt;=30,"Sí","En curso")))</f>
        <v/>
      </c>
      <c r="Z344" s="14"/>
      <c r="AA344" s="21"/>
      <c r="AB344" s="14"/>
      <c r="AC344" s="21"/>
      <c r="AD344" s="21"/>
      <c r="AE344" s="7"/>
      <c r="AF344" s="11" t="str">
        <f>IF(OR(AC344&lt;&gt;"Abierto",Z344=""),"",TODAY()-Z344)</f>
        <v/>
      </c>
      <c r="AG344" s="11" t="str">
        <f>IF(AC344&lt;&gt;"Abierto","",IF(AB344="","Sin siguiente acción",IF(AB344&lt;TODAY(),"Vencido",IF(AB344=TODAY(),"Hoy","En tiempo"))))</f>
        <v/>
      </c>
      <c r="AH344" s="11" t="str">
        <f>IF(OR(B344="",V344=""),"",V344-B344)</f>
        <v/>
      </c>
      <c r="AI344" s="16" t="str">
        <f>IF(P344="","",P344-WEEKDAY(P344,3))</f>
        <v/>
      </c>
      <c r="AJ344" s="23" t="str">
        <f>IF(P344="","",DATE(YEAR(P344),MONTH(P344),1))</f>
        <v/>
      </c>
    </row>
    <row r="345">
      <c r="A345" s="21"/>
      <c r="B345" s="14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14"/>
      <c r="Q345" s="21"/>
      <c r="R345" s="21"/>
      <c r="S345" s="21"/>
      <c r="T345" s="21"/>
      <c r="U345" s="21"/>
      <c r="V345" s="14"/>
      <c r="W345" s="22"/>
      <c r="X345" s="14"/>
      <c r="Y345" s="11" t="str">
        <f>IF(V345="","",IF(X345&lt;&gt;"",IF(X345-V345&lt;30,"No","Sí"),IF(TODAY()-V345&gt;=30,"Sí","En curso")))</f>
        <v/>
      </c>
      <c r="Z345" s="14"/>
      <c r="AA345" s="21"/>
      <c r="AB345" s="14"/>
      <c r="AC345" s="21"/>
      <c r="AD345" s="21"/>
      <c r="AE345" s="7"/>
      <c r="AF345" s="11" t="str">
        <f>IF(OR(AC345&lt;&gt;"Abierto",Z345=""),"",TODAY()-Z345)</f>
        <v/>
      </c>
      <c r="AG345" s="11" t="str">
        <f>IF(AC345&lt;&gt;"Abierto","",IF(AB345="","Sin siguiente acción",IF(AB345&lt;TODAY(),"Vencido",IF(AB345=TODAY(),"Hoy","En tiempo"))))</f>
        <v/>
      </c>
      <c r="AH345" s="11" t="str">
        <f>IF(OR(B345="",V345=""),"",V345-B345)</f>
        <v/>
      </c>
      <c r="AI345" s="16" t="str">
        <f>IF(P345="","",P345-WEEKDAY(P345,3))</f>
        <v/>
      </c>
      <c r="AJ345" s="23" t="str">
        <f>IF(P345="","",DATE(YEAR(P345),MONTH(P345),1))</f>
        <v/>
      </c>
    </row>
    <row r="346">
      <c r="A346" s="21"/>
      <c r="B346" s="14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14"/>
      <c r="Q346" s="21"/>
      <c r="R346" s="21"/>
      <c r="S346" s="21"/>
      <c r="T346" s="21"/>
      <c r="U346" s="21"/>
      <c r="V346" s="14"/>
      <c r="W346" s="22"/>
      <c r="X346" s="14"/>
      <c r="Y346" s="11" t="str">
        <f>IF(V346="","",IF(X346&lt;&gt;"",IF(X346-V346&lt;30,"No","Sí"),IF(TODAY()-V346&gt;=30,"Sí","En curso")))</f>
        <v/>
      </c>
      <c r="Z346" s="14"/>
      <c r="AA346" s="21"/>
      <c r="AB346" s="14"/>
      <c r="AC346" s="21"/>
      <c r="AD346" s="21"/>
      <c r="AE346" s="7"/>
      <c r="AF346" s="11" t="str">
        <f>IF(OR(AC346&lt;&gt;"Abierto",Z346=""),"",TODAY()-Z346)</f>
        <v/>
      </c>
      <c r="AG346" s="11" t="str">
        <f>IF(AC346&lt;&gt;"Abierto","",IF(AB346="","Sin siguiente acción",IF(AB346&lt;TODAY(),"Vencido",IF(AB346=TODAY(),"Hoy","En tiempo"))))</f>
        <v/>
      </c>
      <c r="AH346" s="11" t="str">
        <f>IF(OR(B346="",V346=""),"",V346-B346)</f>
        <v/>
      </c>
      <c r="AI346" s="16" t="str">
        <f>IF(P346="","",P346-WEEKDAY(P346,3))</f>
        <v/>
      </c>
      <c r="AJ346" s="23" t="str">
        <f>IF(P346="","",DATE(YEAR(P346),MONTH(P346),1))</f>
        <v/>
      </c>
    </row>
    <row r="347">
      <c r="A347" s="21"/>
      <c r="B347" s="14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14"/>
      <c r="Q347" s="21"/>
      <c r="R347" s="21"/>
      <c r="S347" s="21"/>
      <c r="T347" s="21"/>
      <c r="U347" s="21"/>
      <c r="V347" s="14"/>
      <c r="W347" s="22"/>
      <c r="X347" s="14"/>
      <c r="Y347" s="11" t="str">
        <f>IF(V347="","",IF(X347&lt;&gt;"",IF(X347-V347&lt;30,"No","Sí"),IF(TODAY()-V347&gt;=30,"Sí","En curso")))</f>
        <v/>
      </c>
      <c r="Z347" s="14"/>
      <c r="AA347" s="21"/>
      <c r="AB347" s="14"/>
      <c r="AC347" s="21"/>
      <c r="AD347" s="21"/>
      <c r="AE347" s="7"/>
      <c r="AF347" s="11" t="str">
        <f>IF(OR(AC347&lt;&gt;"Abierto",Z347=""),"",TODAY()-Z347)</f>
        <v/>
      </c>
      <c r="AG347" s="11" t="str">
        <f>IF(AC347&lt;&gt;"Abierto","",IF(AB347="","Sin siguiente acción",IF(AB347&lt;TODAY(),"Vencido",IF(AB347=TODAY(),"Hoy","En tiempo"))))</f>
        <v/>
      </c>
      <c r="AH347" s="11" t="str">
        <f>IF(OR(B347="",V347=""),"",V347-B347)</f>
        <v/>
      </c>
      <c r="AI347" s="16" t="str">
        <f>IF(P347="","",P347-WEEKDAY(P347,3))</f>
        <v/>
      </c>
      <c r="AJ347" s="23" t="str">
        <f>IF(P347="","",DATE(YEAR(P347),MONTH(P347),1))</f>
        <v/>
      </c>
    </row>
    <row r="348">
      <c r="A348" s="21"/>
      <c r="B348" s="14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14"/>
      <c r="Q348" s="21"/>
      <c r="R348" s="21"/>
      <c r="S348" s="21"/>
      <c r="T348" s="21"/>
      <c r="U348" s="21"/>
      <c r="V348" s="14"/>
      <c r="W348" s="22"/>
      <c r="X348" s="14"/>
      <c r="Y348" s="11" t="str">
        <f>IF(V348="","",IF(X348&lt;&gt;"",IF(X348-V348&lt;30,"No","Sí"),IF(TODAY()-V348&gt;=30,"Sí","En curso")))</f>
        <v/>
      </c>
      <c r="Z348" s="14"/>
      <c r="AA348" s="21"/>
      <c r="AB348" s="14"/>
      <c r="AC348" s="21"/>
      <c r="AD348" s="21"/>
      <c r="AE348" s="7"/>
      <c r="AF348" s="11" t="str">
        <f>IF(OR(AC348&lt;&gt;"Abierto",Z348=""),"",TODAY()-Z348)</f>
        <v/>
      </c>
      <c r="AG348" s="11" t="str">
        <f>IF(AC348&lt;&gt;"Abierto","",IF(AB348="","Sin siguiente acción",IF(AB348&lt;TODAY(),"Vencido",IF(AB348=TODAY(),"Hoy","En tiempo"))))</f>
        <v/>
      </c>
      <c r="AH348" s="11" t="str">
        <f>IF(OR(B348="",V348=""),"",V348-B348)</f>
        <v/>
      </c>
      <c r="AI348" s="16" t="str">
        <f>IF(P348="","",P348-WEEKDAY(P348,3))</f>
        <v/>
      </c>
      <c r="AJ348" s="23" t="str">
        <f>IF(P348="","",DATE(YEAR(P348),MONTH(P348),1))</f>
        <v/>
      </c>
    </row>
    <row r="349">
      <c r="A349" s="21"/>
      <c r="B349" s="14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14"/>
      <c r="Q349" s="21"/>
      <c r="R349" s="21"/>
      <c r="S349" s="21"/>
      <c r="T349" s="21"/>
      <c r="U349" s="21"/>
      <c r="V349" s="14"/>
      <c r="W349" s="22"/>
      <c r="X349" s="14"/>
      <c r="Y349" s="11" t="str">
        <f>IF(V349="","",IF(X349&lt;&gt;"",IF(X349-V349&lt;30,"No","Sí"),IF(TODAY()-V349&gt;=30,"Sí","En curso")))</f>
        <v/>
      </c>
      <c r="Z349" s="14"/>
      <c r="AA349" s="21"/>
      <c r="AB349" s="14"/>
      <c r="AC349" s="21"/>
      <c r="AD349" s="21"/>
      <c r="AE349" s="7"/>
      <c r="AF349" s="11" t="str">
        <f>IF(OR(AC349&lt;&gt;"Abierto",Z349=""),"",TODAY()-Z349)</f>
        <v/>
      </c>
      <c r="AG349" s="11" t="str">
        <f>IF(AC349&lt;&gt;"Abierto","",IF(AB349="","Sin siguiente acción",IF(AB349&lt;TODAY(),"Vencido",IF(AB349=TODAY(),"Hoy","En tiempo"))))</f>
        <v/>
      </c>
      <c r="AH349" s="11" t="str">
        <f>IF(OR(B349="",V349=""),"",V349-B349)</f>
        <v/>
      </c>
      <c r="AI349" s="16" t="str">
        <f>IF(P349="","",P349-WEEKDAY(P349,3))</f>
        <v/>
      </c>
      <c r="AJ349" s="23" t="str">
        <f>IF(P349="","",DATE(YEAR(P349),MONTH(P349),1))</f>
        <v/>
      </c>
    </row>
    <row r="350">
      <c r="A350" s="21"/>
      <c r="B350" s="14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14"/>
      <c r="Q350" s="21"/>
      <c r="R350" s="21"/>
      <c r="S350" s="21"/>
      <c r="T350" s="21"/>
      <c r="U350" s="21"/>
      <c r="V350" s="14"/>
      <c r="W350" s="22"/>
      <c r="X350" s="14"/>
      <c r="Y350" s="11" t="str">
        <f>IF(V350="","",IF(X350&lt;&gt;"",IF(X350-V350&lt;30,"No","Sí"),IF(TODAY()-V350&gt;=30,"Sí","En curso")))</f>
        <v/>
      </c>
      <c r="Z350" s="14"/>
      <c r="AA350" s="21"/>
      <c r="AB350" s="14"/>
      <c r="AC350" s="21"/>
      <c r="AD350" s="21"/>
      <c r="AE350" s="7"/>
      <c r="AF350" s="11" t="str">
        <f>IF(OR(AC350&lt;&gt;"Abierto",Z350=""),"",TODAY()-Z350)</f>
        <v/>
      </c>
      <c r="AG350" s="11" t="str">
        <f>IF(AC350&lt;&gt;"Abierto","",IF(AB350="","Sin siguiente acción",IF(AB350&lt;TODAY(),"Vencido",IF(AB350=TODAY(),"Hoy","En tiempo"))))</f>
        <v/>
      </c>
      <c r="AH350" s="11" t="str">
        <f>IF(OR(B350="",V350=""),"",V350-B350)</f>
        <v/>
      </c>
      <c r="AI350" s="16" t="str">
        <f>IF(P350="","",P350-WEEKDAY(P350,3))</f>
        <v/>
      </c>
      <c r="AJ350" s="23" t="str">
        <f>IF(P350="","",DATE(YEAR(P350),MONTH(P350),1))</f>
        <v/>
      </c>
    </row>
    <row r="351">
      <c r="A351" s="21"/>
      <c r="B351" s="14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14"/>
      <c r="Q351" s="21"/>
      <c r="R351" s="21"/>
      <c r="S351" s="21"/>
      <c r="T351" s="21"/>
      <c r="U351" s="21"/>
      <c r="V351" s="14"/>
      <c r="W351" s="22"/>
      <c r="X351" s="14"/>
      <c r="Y351" s="11" t="str">
        <f>IF(V351="","",IF(X351&lt;&gt;"",IF(X351-V351&lt;30,"No","Sí"),IF(TODAY()-V351&gt;=30,"Sí","En curso")))</f>
        <v/>
      </c>
      <c r="Z351" s="14"/>
      <c r="AA351" s="21"/>
      <c r="AB351" s="14"/>
      <c r="AC351" s="21"/>
      <c r="AD351" s="21"/>
      <c r="AE351" s="7"/>
      <c r="AF351" s="11" t="str">
        <f>IF(OR(AC351&lt;&gt;"Abierto",Z351=""),"",TODAY()-Z351)</f>
        <v/>
      </c>
      <c r="AG351" s="11" t="str">
        <f>IF(AC351&lt;&gt;"Abierto","",IF(AB351="","Sin siguiente acción",IF(AB351&lt;TODAY(),"Vencido",IF(AB351=TODAY(),"Hoy","En tiempo"))))</f>
        <v/>
      </c>
      <c r="AH351" s="11" t="str">
        <f>IF(OR(B351="",V351=""),"",V351-B351)</f>
        <v/>
      </c>
      <c r="AI351" s="16" t="str">
        <f>IF(P351="","",P351-WEEKDAY(P351,3))</f>
        <v/>
      </c>
      <c r="AJ351" s="23" t="str">
        <f>IF(P351="","",DATE(YEAR(P351),MONTH(P351),1))</f>
        <v/>
      </c>
    </row>
    <row r="352">
      <c r="A352" s="21"/>
      <c r="B352" s="14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14"/>
      <c r="Q352" s="21"/>
      <c r="R352" s="21"/>
      <c r="S352" s="21"/>
      <c r="T352" s="21"/>
      <c r="U352" s="21"/>
      <c r="V352" s="14"/>
      <c r="W352" s="22"/>
      <c r="X352" s="14"/>
      <c r="Y352" s="11" t="str">
        <f>IF(V352="","",IF(X352&lt;&gt;"",IF(X352-V352&lt;30,"No","Sí"),IF(TODAY()-V352&gt;=30,"Sí","En curso")))</f>
        <v/>
      </c>
      <c r="Z352" s="14"/>
      <c r="AA352" s="21"/>
      <c r="AB352" s="14"/>
      <c r="AC352" s="21"/>
      <c r="AD352" s="21"/>
      <c r="AE352" s="7"/>
      <c r="AF352" s="11" t="str">
        <f>IF(OR(AC352&lt;&gt;"Abierto",Z352=""),"",TODAY()-Z352)</f>
        <v/>
      </c>
      <c r="AG352" s="11" t="str">
        <f>IF(AC352&lt;&gt;"Abierto","",IF(AB352="","Sin siguiente acción",IF(AB352&lt;TODAY(),"Vencido",IF(AB352=TODAY(),"Hoy","En tiempo"))))</f>
        <v/>
      </c>
      <c r="AH352" s="11" t="str">
        <f>IF(OR(B352="",V352=""),"",V352-B352)</f>
        <v/>
      </c>
      <c r="AI352" s="16" t="str">
        <f>IF(P352="","",P352-WEEKDAY(P352,3))</f>
        <v/>
      </c>
      <c r="AJ352" s="23" t="str">
        <f>IF(P352="","",DATE(YEAR(P352),MONTH(P352),1))</f>
        <v/>
      </c>
    </row>
    <row r="353">
      <c r="A353" s="21"/>
      <c r="B353" s="14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14"/>
      <c r="Q353" s="21"/>
      <c r="R353" s="21"/>
      <c r="S353" s="21"/>
      <c r="T353" s="21"/>
      <c r="U353" s="21"/>
      <c r="V353" s="14"/>
      <c r="W353" s="22"/>
      <c r="X353" s="14"/>
      <c r="Y353" s="11" t="str">
        <f>IF(V353="","",IF(X353&lt;&gt;"",IF(X353-V353&lt;30,"No","Sí"),IF(TODAY()-V353&gt;=30,"Sí","En curso")))</f>
        <v/>
      </c>
      <c r="Z353" s="14"/>
      <c r="AA353" s="21"/>
      <c r="AB353" s="14"/>
      <c r="AC353" s="21"/>
      <c r="AD353" s="21"/>
      <c r="AE353" s="7"/>
      <c r="AF353" s="11" t="str">
        <f>IF(OR(AC353&lt;&gt;"Abierto",Z353=""),"",TODAY()-Z353)</f>
        <v/>
      </c>
      <c r="AG353" s="11" t="str">
        <f>IF(AC353&lt;&gt;"Abierto","",IF(AB353="","Sin siguiente acción",IF(AB353&lt;TODAY(),"Vencido",IF(AB353=TODAY(),"Hoy","En tiempo"))))</f>
        <v/>
      </c>
      <c r="AH353" s="11" t="str">
        <f>IF(OR(B353="",V353=""),"",V353-B353)</f>
        <v/>
      </c>
      <c r="AI353" s="16" t="str">
        <f>IF(P353="","",P353-WEEKDAY(P353,3))</f>
        <v/>
      </c>
      <c r="AJ353" s="23" t="str">
        <f>IF(P353="","",DATE(YEAR(P353),MONTH(P353),1))</f>
        <v/>
      </c>
    </row>
    <row r="354">
      <c r="A354" s="21"/>
      <c r="B354" s="14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14"/>
      <c r="Q354" s="21"/>
      <c r="R354" s="21"/>
      <c r="S354" s="21"/>
      <c r="T354" s="21"/>
      <c r="U354" s="21"/>
      <c r="V354" s="14"/>
      <c r="W354" s="22"/>
      <c r="X354" s="14"/>
      <c r="Y354" s="11" t="str">
        <f>IF(V354="","",IF(X354&lt;&gt;"",IF(X354-V354&lt;30,"No","Sí"),IF(TODAY()-V354&gt;=30,"Sí","En curso")))</f>
        <v/>
      </c>
      <c r="Z354" s="14"/>
      <c r="AA354" s="21"/>
      <c r="AB354" s="14"/>
      <c r="AC354" s="21"/>
      <c r="AD354" s="21"/>
      <c r="AE354" s="7"/>
      <c r="AF354" s="11" t="str">
        <f>IF(OR(AC354&lt;&gt;"Abierto",Z354=""),"",TODAY()-Z354)</f>
        <v/>
      </c>
      <c r="AG354" s="11" t="str">
        <f>IF(AC354&lt;&gt;"Abierto","",IF(AB354="","Sin siguiente acción",IF(AB354&lt;TODAY(),"Vencido",IF(AB354=TODAY(),"Hoy","En tiempo"))))</f>
        <v/>
      </c>
      <c r="AH354" s="11" t="str">
        <f>IF(OR(B354="",V354=""),"",V354-B354)</f>
        <v/>
      </c>
      <c r="AI354" s="16" t="str">
        <f>IF(P354="","",P354-WEEKDAY(P354,3))</f>
        <v/>
      </c>
      <c r="AJ354" s="23" t="str">
        <f>IF(P354="","",DATE(YEAR(P354),MONTH(P354),1))</f>
        <v/>
      </c>
    </row>
    <row r="355">
      <c r="A355" s="21"/>
      <c r="B355" s="14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14"/>
      <c r="Q355" s="21"/>
      <c r="R355" s="21"/>
      <c r="S355" s="21"/>
      <c r="T355" s="21"/>
      <c r="U355" s="21"/>
      <c r="V355" s="14"/>
      <c r="W355" s="22"/>
      <c r="X355" s="14"/>
      <c r="Y355" s="11" t="str">
        <f>IF(V355="","",IF(X355&lt;&gt;"",IF(X355-V355&lt;30,"No","Sí"),IF(TODAY()-V355&gt;=30,"Sí","En curso")))</f>
        <v/>
      </c>
      <c r="Z355" s="14"/>
      <c r="AA355" s="21"/>
      <c r="AB355" s="14"/>
      <c r="AC355" s="21"/>
      <c r="AD355" s="21"/>
      <c r="AE355" s="7"/>
      <c r="AF355" s="11" t="str">
        <f>IF(OR(AC355&lt;&gt;"Abierto",Z355=""),"",TODAY()-Z355)</f>
        <v/>
      </c>
      <c r="AG355" s="11" t="str">
        <f>IF(AC355&lt;&gt;"Abierto","",IF(AB355="","Sin siguiente acción",IF(AB355&lt;TODAY(),"Vencido",IF(AB355=TODAY(),"Hoy","En tiempo"))))</f>
        <v/>
      </c>
      <c r="AH355" s="11" t="str">
        <f>IF(OR(B355="",V355=""),"",V355-B355)</f>
        <v/>
      </c>
      <c r="AI355" s="16" t="str">
        <f>IF(P355="","",P355-WEEKDAY(P355,3))</f>
        <v/>
      </c>
      <c r="AJ355" s="23" t="str">
        <f>IF(P355="","",DATE(YEAR(P355),MONTH(P355),1))</f>
        <v/>
      </c>
    </row>
    <row r="356">
      <c r="A356" s="21"/>
      <c r="B356" s="14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14"/>
      <c r="Q356" s="21"/>
      <c r="R356" s="21"/>
      <c r="S356" s="21"/>
      <c r="T356" s="21"/>
      <c r="U356" s="21"/>
      <c r="V356" s="14"/>
      <c r="W356" s="22"/>
      <c r="X356" s="14"/>
      <c r="Y356" s="11" t="str">
        <f>IF(V356="","",IF(X356&lt;&gt;"",IF(X356-V356&lt;30,"No","Sí"),IF(TODAY()-V356&gt;=30,"Sí","En curso")))</f>
        <v/>
      </c>
      <c r="Z356" s="14"/>
      <c r="AA356" s="21"/>
      <c r="AB356" s="14"/>
      <c r="AC356" s="21"/>
      <c r="AD356" s="21"/>
      <c r="AE356" s="7"/>
      <c r="AF356" s="11" t="str">
        <f>IF(OR(AC356&lt;&gt;"Abierto",Z356=""),"",TODAY()-Z356)</f>
        <v/>
      </c>
      <c r="AG356" s="11" t="str">
        <f>IF(AC356&lt;&gt;"Abierto","",IF(AB356="","Sin siguiente acción",IF(AB356&lt;TODAY(),"Vencido",IF(AB356=TODAY(),"Hoy","En tiempo"))))</f>
        <v/>
      </c>
      <c r="AH356" s="11" t="str">
        <f>IF(OR(B356="",V356=""),"",V356-B356)</f>
        <v/>
      </c>
      <c r="AI356" s="16" t="str">
        <f>IF(P356="","",P356-WEEKDAY(P356,3))</f>
        <v/>
      </c>
      <c r="AJ356" s="23" t="str">
        <f>IF(P356="","",DATE(YEAR(P356),MONTH(P356),1))</f>
        <v/>
      </c>
    </row>
    <row r="357">
      <c r="A357" s="21"/>
      <c r="B357" s="14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14"/>
      <c r="Q357" s="21"/>
      <c r="R357" s="21"/>
      <c r="S357" s="21"/>
      <c r="T357" s="21"/>
      <c r="U357" s="21"/>
      <c r="V357" s="14"/>
      <c r="W357" s="22"/>
      <c r="X357" s="14"/>
      <c r="Y357" s="11" t="str">
        <f>IF(V357="","",IF(X357&lt;&gt;"",IF(X357-V357&lt;30,"No","Sí"),IF(TODAY()-V357&gt;=30,"Sí","En curso")))</f>
        <v/>
      </c>
      <c r="Z357" s="14"/>
      <c r="AA357" s="21"/>
      <c r="AB357" s="14"/>
      <c r="AC357" s="21"/>
      <c r="AD357" s="21"/>
      <c r="AE357" s="7"/>
      <c r="AF357" s="11" t="str">
        <f>IF(OR(AC357&lt;&gt;"Abierto",Z357=""),"",TODAY()-Z357)</f>
        <v/>
      </c>
      <c r="AG357" s="11" t="str">
        <f>IF(AC357&lt;&gt;"Abierto","",IF(AB357="","Sin siguiente acción",IF(AB357&lt;TODAY(),"Vencido",IF(AB357=TODAY(),"Hoy","En tiempo"))))</f>
        <v/>
      </c>
      <c r="AH357" s="11" t="str">
        <f>IF(OR(B357="",V357=""),"",V357-B357)</f>
        <v/>
      </c>
      <c r="AI357" s="16" t="str">
        <f>IF(P357="","",P357-WEEKDAY(P357,3))</f>
        <v/>
      </c>
      <c r="AJ357" s="23" t="str">
        <f>IF(P357="","",DATE(YEAR(P357),MONTH(P357),1))</f>
        <v/>
      </c>
    </row>
    <row r="358">
      <c r="A358" s="21"/>
      <c r="B358" s="14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14"/>
      <c r="Q358" s="21"/>
      <c r="R358" s="21"/>
      <c r="S358" s="21"/>
      <c r="T358" s="21"/>
      <c r="U358" s="21"/>
      <c r="V358" s="14"/>
      <c r="W358" s="22"/>
      <c r="X358" s="14"/>
      <c r="Y358" s="11" t="str">
        <f>IF(V358="","",IF(X358&lt;&gt;"",IF(X358-V358&lt;30,"No","Sí"),IF(TODAY()-V358&gt;=30,"Sí","En curso")))</f>
        <v/>
      </c>
      <c r="Z358" s="14"/>
      <c r="AA358" s="21"/>
      <c r="AB358" s="14"/>
      <c r="AC358" s="21"/>
      <c r="AD358" s="21"/>
      <c r="AE358" s="7"/>
      <c r="AF358" s="11" t="str">
        <f>IF(OR(AC358&lt;&gt;"Abierto",Z358=""),"",TODAY()-Z358)</f>
        <v/>
      </c>
      <c r="AG358" s="11" t="str">
        <f>IF(AC358&lt;&gt;"Abierto","",IF(AB358="","Sin siguiente acción",IF(AB358&lt;TODAY(),"Vencido",IF(AB358=TODAY(),"Hoy","En tiempo"))))</f>
        <v/>
      </c>
      <c r="AH358" s="11" t="str">
        <f>IF(OR(B358="",V358=""),"",V358-B358)</f>
        <v/>
      </c>
      <c r="AI358" s="16" t="str">
        <f>IF(P358="","",P358-WEEKDAY(P358,3))</f>
        <v/>
      </c>
      <c r="AJ358" s="23" t="str">
        <f>IF(P358="","",DATE(YEAR(P358),MONTH(P358),1))</f>
        <v/>
      </c>
    </row>
    <row r="359">
      <c r="A359" s="21"/>
      <c r="B359" s="14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14"/>
      <c r="Q359" s="21"/>
      <c r="R359" s="21"/>
      <c r="S359" s="21"/>
      <c r="T359" s="21"/>
      <c r="U359" s="21"/>
      <c r="V359" s="14"/>
      <c r="W359" s="22"/>
      <c r="X359" s="14"/>
      <c r="Y359" s="11" t="str">
        <f>IF(V359="","",IF(X359&lt;&gt;"",IF(X359-V359&lt;30,"No","Sí"),IF(TODAY()-V359&gt;=30,"Sí","En curso")))</f>
        <v/>
      </c>
      <c r="Z359" s="14"/>
      <c r="AA359" s="21"/>
      <c r="AB359" s="14"/>
      <c r="AC359" s="21"/>
      <c r="AD359" s="21"/>
      <c r="AE359" s="7"/>
      <c r="AF359" s="11" t="str">
        <f>IF(OR(AC359&lt;&gt;"Abierto",Z359=""),"",TODAY()-Z359)</f>
        <v/>
      </c>
      <c r="AG359" s="11" t="str">
        <f>IF(AC359&lt;&gt;"Abierto","",IF(AB359="","Sin siguiente acción",IF(AB359&lt;TODAY(),"Vencido",IF(AB359=TODAY(),"Hoy","En tiempo"))))</f>
        <v/>
      </c>
      <c r="AH359" s="11" t="str">
        <f>IF(OR(B359="",V359=""),"",V359-B359)</f>
        <v/>
      </c>
      <c r="AI359" s="16" t="str">
        <f>IF(P359="","",P359-WEEKDAY(P359,3))</f>
        <v/>
      </c>
      <c r="AJ359" s="23" t="str">
        <f>IF(P359="","",DATE(YEAR(P359),MONTH(P359),1))</f>
        <v/>
      </c>
    </row>
    <row r="360">
      <c r="A360" s="21"/>
      <c r="B360" s="14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14"/>
      <c r="Q360" s="21"/>
      <c r="R360" s="21"/>
      <c r="S360" s="21"/>
      <c r="T360" s="21"/>
      <c r="U360" s="21"/>
      <c r="V360" s="14"/>
      <c r="W360" s="22"/>
      <c r="X360" s="14"/>
      <c r="Y360" s="11" t="str">
        <f>IF(V360="","",IF(X360&lt;&gt;"",IF(X360-V360&lt;30,"No","Sí"),IF(TODAY()-V360&gt;=30,"Sí","En curso")))</f>
        <v/>
      </c>
      <c r="Z360" s="14"/>
      <c r="AA360" s="21"/>
      <c r="AB360" s="14"/>
      <c r="AC360" s="21"/>
      <c r="AD360" s="21"/>
      <c r="AE360" s="7"/>
      <c r="AF360" s="11" t="str">
        <f>IF(OR(AC360&lt;&gt;"Abierto",Z360=""),"",TODAY()-Z360)</f>
        <v/>
      </c>
      <c r="AG360" s="11" t="str">
        <f>IF(AC360&lt;&gt;"Abierto","",IF(AB360="","Sin siguiente acción",IF(AB360&lt;TODAY(),"Vencido",IF(AB360=TODAY(),"Hoy","En tiempo"))))</f>
        <v/>
      </c>
      <c r="AH360" s="11" t="str">
        <f>IF(OR(B360="",V360=""),"",V360-B360)</f>
        <v/>
      </c>
      <c r="AI360" s="16" t="str">
        <f>IF(P360="","",P360-WEEKDAY(P360,3))</f>
        <v/>
      </c>
      <c r="AJ360" s="23" t="str">
        <f>IF(P360="","",DATE(YEAR(P360),MONTH(P360),1))</f>
        <v/>
      </c>
    </row>
    <row r="361">
      <c r="A361" s="21"/>
      <c r="B361" s="14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14"/>
      <c r="Q361" s="21"/>
      <c r="R361" s="21"/>
      <c r="S361" s="21"/>
      <c r="T361" s="21"/>
      <c r="U361" s="21"/>
      <c r="V361" s="14"/>
      <c r="W361" s="22"/>
      <c r="X361" s="14"/>
      <c r="Y361" s="11" t="str">
        <f>IF(V361="","",IF(X361&lt;&gt;"",IF(X361-V361&lt;30,"No","Sí"),IF(TODAY()-V361&gt;=30,"Sí","En curso")))</f>
        <v/>
      </c>
      <c r="Z361" s="14"/>
      <c r="AA361" s="21"/>
      <c r="AB361" s="14"/>
      <c r="AC361" s="21"/>
      <c r="AD361" s="21"/>
      <c r="AE361" s="7"/>
      <c r="AF361" s="11" t="str">
        <f>IF(OR(AC361&lt;&gt;"Abierto",Z361=""),"",TODAY()-Z361)</f>
        <v/>
      </c>
      <c r="AG361" s="11" t="str">
        <f>IF(AC361&lt;&gt;"Abierto","",IF(AB361="","Sin siguiente acción",IF(AB361&lt;TODAY(),"Vencido",IF(AB361=TODAY(),"Hoy","En tiempo"))))</f>
        <v/>
      </c>
      <c r="AH361" s="11" t="str">
        <f>IF(OR(B361="",V361=""),"",V361-B361)</f>
        <v/>
      </c>
      <c r="AI361" s="16" t="str">
        <f>IF(P361="","",P361-WEEKDAY(P361,3))</f>
        <v/>
      </c>
      <c r="AJ361" s="23" t="str">
        <f>IF(P361="","",DATE(YEAR(P361),MONTH(P361),1))</f>
        <v/>
      </c>
    </row>
    <row r="362">
      <c r="A362" s="21"/>
      <c r="B362" s="14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14"/>
      <c r="Q362" s="21"/>
      <c r="R362" s="21"/>
      <c r="S362" s="21"/>
      <c r="T362" s="21"/>
      <c r="U362" s="21"/>
      <c r="V362" s="14"/>
      <c r="W362" s="22"/>
      <c r="X362" s="14"/>
      <c r="Y362" s="11" t="str">
        <f>IF(V362="","",IF(X362&lt;&gt;"",IF(X362-V362&lt;30,"No","Sí"),IF(TODAY()-V362&gt;=30,"Sí","En curso")))</f>
        <v/>
      </c>
      <c r="Z362" s="14"/>
      <c r="AA362" s="21"/>
      <c r="AB362" s="14"/>
      <c r="AC362" s="21"/>
      <c r="AD362" s="21"/>
      <c r="AE362" s="7"/>
      <c r="AF362" s="11" t="str">
        <f>IF(OR(AC362&lt;&gt;"Abierto",Z362=""),"",TODAY()-Z362)</f>
        <v/>
      </c>
      <c r="AG362" s="11" t="str">
        <f>IF(AC362&lt;&gt;"Abierto","",IF(AB362="","Sin siguiente acción",IF(AB362&lt;TODAY(),"Vencido",IF(AB362=TODAY(),"Hoy","En tiempo"))))</f>
        <v/>
      </c>
      <c r="AH362" s="11" t="str">
        <f>IF(OR(B362="",V362=""),"",V362-B362)</f>
        <v/>
      </c>
      <c r="AI362" s="16" t="str">
        <f>IF(P362="","",P362-WEEKDAY(P362,3))</f>
        <v/>
      </c>
      <c r="AJ362" s="23" t="str">
        <f>IF(P362="","",DATE(YEAR(P362),MONTH(P362),1))</f>
        <v/>
      </c>
    </row>
    <row r="363">
      <c r="A363" s="21"/>
      <c r="B363" s="14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14"/>
      <c r="Q363" s="21"/>
      <c r="R363" s="21"/>
      <c r="S363" s="21"/>
      <c r="T363" s="21"/>
      <c r="U363" s="21"/>
      <c r="V363" s="14"/>
      <c r="W363" s="22"/>
      <c r="X363" s="14"/>
      <c r="Y363" s="11" t="str">
        <f>IF(V363="","",IF(X363&lt;&gt;"",IF(X363-V363&lt;30,"No","Sí"),IF(TODAY()-V363&gt;=30,"Sí","En curso")))</f>
        <v/>
      </c>
      <c r="Z363" s="14"/>
      <c r="AA363" s="21"/>
      <c r="AB363" s="14"/>
      <c r="AC363" s="21"/>
      <c r="AD363" s="21"/>
      <c r="AE363" s="7"/>
      <c r="AF363" s="11" t="str">
        <f>IF(OR(AC363&lt;&gt;"Abierto",Z363=""),"",TODAY()-Z363)</f>
        <v/>
      </c>
      <c r="AG363" s="11" t="str">
        <f>IF(AC363&lt;&gt;"Abierto","",IF(AB363="","Sin siguiente acción",IF(AB363&lt;TODAY(),"Vencido",IF(AB363=TODAY(),"Hoy","En tiempo"))))</f>
        <v/>
      </c>
      <c r="AH363" s="11" t="str">
        <f>IF(OR(B363="",V363=""),"",V363-B363)</f>
        <v/>
      </c>
      <c r="AI363" s="16" t="str">
        <f>IF(P363="","",P363-WEEKDAY(P363,3))</f>
        <v/>
      </c>
      <c r="AJ363" s="23" t="str">
        <f>IF(P363="","",DATE(YEAR(P363),MONTH(P363),1))</f>
        <v/>
      </c>
    </row>
    <row r="364">
      <c r="A364" s="21"/>
      <c r="B364" s="14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14"/>
      <c r="Q364" s="21"/>
      <c r="R364" s="21"/>
      <c r="S364" s="21"/>
      <c r="T364" s="21"/>
      <c r="U364" s="21"/>
      <c r="V364" s="14"/>
      <c r="W364" s="22"/>
      <c r="X364" s="14"/>
      <c r="Y364" s="11" t="str">
        <f>IF(V364="","",IF(X364&lt;&gt;"",IF(X364-V364&lt;30,"No","Sí"),IF(TODAY()-V364&gt;=30,"Sí","En curso")))</f>
        <v/>
      </c>
      <c r="Z364" s="14"/>
      <c r="AA364" s="21"/>
      <c r="AB364" s="14"/>
      <c r="AC364" s="21"/>
      <c r="AD364" s="21"/>
      <c r="AE364" s="7"/>
      <c r="AF364" s="11" t="str">
        <f>IF(OR(AC364&lt;&gt;"Abierto",Z364=""),"",TODAY()-Z364)</f>
        <v/>
      </c>
      <c r="AG364" s="11" t="str">
        <f>IF(AC364&lt;&gt;"Abierto","",IF(AB364="","Sin siguiente acción",IF(AB364&lt;TODAY(),"Vencido",IF(AB364=TODAY(),"Hoy","En tiempo"))))</f>
        <v/>
      </c>
      <c r="AH364" s="11" t="str">
        <f>IF(OR(B364="",V364=""),"",V364-B364)</f>
        <v/>
      </c>
      <c r="AI364" s="16" t="str">
        <f>IF(P364="","",P364-WEEKDAY(P364,3))</f>
        <v/>
      </c>
      <c r="AJ364" s="23" t="str">
        <f>IF(P364="","",DATE(YEAR(P364),MONTH(P364),1))</f>
        <v/>
      </c>
    </row>
    <row r="365">
      <c r="A365" s="21"/>
      <c r="B365" s="14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14"/>
      <c r="Q365" s="21"/>
      <c r="R365" s="21"/>
      <c r="S365" s="21"/>
      <c r="T365" s="21"/>
      <c r="U365" s="21"/>
      <c r="V365" s="14"/>
      <c r="W365" s="22"/>
      <c r="X365" s="14"/>
      <c r="Y365" s="11" t="str">
        <f>IF(V365="","",IF(X365&lt;&gt;"",IF(X365-V365&lt;30,"No","Sí"),IF(TODAY()-V365&gt;=30,"Sí","En curso")))</f>
        <v/>
      </c>
      <c r="Z365" s="14"/>
      <c r="AA365" s="21"/>
      <c r="AB365" s="14"/>
      <c r="AC365" s="21"/>
      <c r="AD365" s="21"/>
      <c r="AE365" s="7"/>
      <c r="AF365" s="11" t="str">
        <f>IF(OR(AC365&lt;&gt;"Abierto",Z365=""),"",TODAY()-Z365)</f>
        <v/>
      </c>
      <c r="AG365" s="11" t="str">
        <f>IF(AC365&lt;&gt;"Abierto","",IF(AB365="","Sin siguiente acción",IF(AB365&lt;TODAY(),"Vencido",IF(AB365=TODAY(),"Hoy","En tiempo"))))</f>
        <v/>
      </c>
      <c r="AH365" s="11" t="str">
        <f>IF(OR(B365="",V365=""),"",V365-B365)</f>
        <v/>
      </c>
      <c r="AI365" s="16" t="str">
        <f>IF(P365="","",P365-WEEKDAY(P365,3))</f>
        <v/>
      </c>
      <c r="AJ365" s="23" t="str">
        <f>IF(P365="","",DATE(YEAR(P365),MONTH(P365),1))</f>
        <v/>
      </c>
    </row>
    <row r="366">
      <c r="A366" s="21"/>
      <c r="B366" s="14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14"/>
      <c r="Q366" s="21"/>
      <c r="R366" s="21"/>
      <c r="S366" s="21"/>
      <c r="T366" s="21"/>
      <c r="U366" s="21"/>
      <c r="V366" s="14"/>
      <c r="W366" s="22"/>
      <c r="X366" s="14"/>
      <c r="Y366" s="11" t="str">
        <f>IF(V366="","",IF(X366&lt;&gt;"",IF(X366-V366&lt;30,"No","Sí"),IF(TODAY()-V366&gt;=30,"Sí","En curso")))</f>
        <v/>
      </c>
      <c r="Z366" s="14"/>
      <c r="AA366" s="21"/>
      <c r="AB366" s="14"/>
      <c r="AC366" s="21"/>
      <c r="AD366" s="21"/>
      <c r="AE366" s="7"/>
      <c r="AF366" s="11" t="str">
        <f>IF(OR(AC366&lt;&gt;"Abierto",Z366=""),"",TODAY()-Z366)</f>
        <v/>
      </c>
      <c r="AG366" s="11" t="str">
        <f>IF(AC366&lt;&gt;"Abierto","",IF(AB366="","Sin siguiente acción",IF(AB366&lt;TODAY(),"Vencido",IF(AB366=TODAY(),"Hoy","En tiempo"))))</f>
        <v/>
      </c>
      <c r="AH366" s="11" t="str">
        <f>IF(OR(B366="",V366=""),"",V366-B366)</f>
        <v/>
      </c>
      <c r="AI366" s="16" t="str">
        <f>IF(P366="","",P366-WEEKDAY(P366,3))</f>
        <v/>
      </c>
      <c r="AJ366" s="23" t="str">
        <f>IF(P366="","",DATE(YEAR(P366),MONTH(P366),1))</f>
        <v/>
      </c>
    </row>
    <row r="367">
      <c r="A367" s="21"/>
      <c r="B367" s="14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14"/>
      <c r="Q367" s="21"/>
      <c r="R367" s="21"/>
      <c r="S367" s="21"/>
      <c r="T367" s="21"/>
      <c r="U367" s="21"/>
      <c r="V367" s="14"/>
      <c r="W367" s="22"/>
      <c r="X367" s="14"/>
      <c r="Y367" s="11" t="str">
        <f>IF(V367="","",IF(X367&lt;&gt;"",IF(X367-V367&lt;30,"No","Sí"),IF(TODAY()-V367&gt;=30,"Sí","En curso")))</f>
        <v/>
      </c>
      <c r="Z367" s="14"/>
      <c r="AA367" s="21"/>
      <c r="AB367" s="14"/>
      <c r="AC367" s="21"/>
      <c r="AD367" s="21"/>
      <c r="AE367" s="7"/>
      <c r="AF367" s="11" t="str">
        <f>IF(OR(AC367&lt;&gt;"Abierto",Z367=""),"",TODAY()-Z367)</f>
        <v/>
      </c>
      <c r="AG367" s="11" t="str">
        <f>IF(AC367&lt;&gt;"Abierto","",IF(AB367="","Sin siguiente acción",IF(AB367&lt;TODAY(),"Vencido",IF(AB367=TODAY(),"Hoy","En tiempo"))))</f>
        <v/>
      </c>
      <c r="AH367" s="11" t="str">
        <f>IF(OR(B367="",V367=""),"",V367-B367)</f>
        <v/>
      </c>
      <c r="AI367" s="16" t="str">
        <f>IF(P367="","",P367-WEEKDAY(P367,3))</f>
        <v/>
      </c>
      <c r="AJ367" s="23" t="str">
        <f>IF(P367="","",DATE(YEAR(P367),MONTH(P367),1))</f>
        <v/>
      </c>
    </row>
    <row r="368">
      <c r="A368" s="21"/>
      <c r="B368" s="14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14"/>
      <c r="Q368" s="21"/>
      <c r="R368" s="21"/>
      <c r="S368" s="21"/>
      <c r="T368" s="21"/>
      <c r="U368" s="21"/>
      <c r="V368" s="14"/>
      <c r="W368" s="22"/>
      <c r="X368" s="14"/>
      <c r="Y368" s="11" t="str">
        <f>IF(V368="","",IF(X368&lt;&gt;"",IF(X368-V368&lt;30,"No","Sí"),IF(TODAY()-V368&gt;=30,"Sí","En curso")))</f>
        <v/>
      </c>
      <c r="Z368" s="14"/>
      <c r="AA368" s="21"/>
      <c r="AB368" s="14"/>
      <c r="AC368" s="21"/>
      <c r="AD368" s="21"/>
      <c r="AE368" s="7"/>
      <c r="AF368" s="11" t="str">
        <f>IF(OR(AC368&lt;&gt;"Abierto",Z368=""),"",TODAY()-Z368)</f>
        <v/>
      </c>
      <c r="AG368" s="11" t="str">
        <f>IF(AC368&lt;&gt;"Abierto","",IF(AB368="","Sin siguiente acción",IF(AB368&lt;TODAY(),"Vencido",IF(AB368=TODAY(),"Hoy","En tiempo"))))</f>
        <v/>
      </c>
      <c r="AH368" s="11" t="str">
        <f>IF(OR(B368="",V368=""),"",V368-B368)</f>
        <v/>
      </c>
      <c r="AI368" s="16" t="str">
        <f>IF(P368="","",P368-WEEKDAY(P368,3))</f>
        <v/>
      </c>
      <c r="AJ368" s="23" t="str">
        <f>IF(P368="","",DATE(YEAR(P368),MONTH(P368),1))</f>
        <v/>
      </c>
    </row>
    <row r="369">
      <c r="A369" s="21"/>
      <c r="B369" s="14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14"/>
      <c r="Q369" s="21"/>
      <c r="R369" s="21"/>
      <c r="S369" s="21"/>
      <c r="T369" s="21"/>
      <c r="U369" s="21"/>
      <c r="V369" s="14"/>
      <c r="W369" s="22"/>
      <c r="X369" s="14"/>
      <c r="Y369" s="11" t="str">
        <f>IF(V369="","",IF(X369&lt;&gt;"",IF(X369-V369&lt;30,"No","Sí"),IF(TODAY()-V369&gt;=30,"Sí","En curso")))</f>
        <v/>
      </c>
      <c r="Z369" s="14"/>
      <c r="AA369" s="21"/>
      <c r="AB369" s="14"/>
      <c r="AC369" s="21"/>
      <c r="AD369" s="21"/>
      <c r="AE369" s="7"/>
      <c r="AF369" s="11" t="str">
        <f>IF(OR(AC369&lt;&gt;"Abierto",Z369=""),"",TODAY()-Z369)</f>
        <v/>
      </c>
      <c r="AG369" s="11" t="str">
        <f>IF(AC369&lt;&gt;"Abierto","",IF(AB369="","Sin siguiente acción",IF(AB369&lt;TODAY(),"Vencido",IF(AB369=TODAY(),"Hoy","En tiempo"))))</f>
        <v/>
      </c>
      <c r="AH369" s="11" t="str">
        <f>IF(OR(B369="",V369=""),"",V369-B369)</f>
        <v/>
      </c>
      <c r="AI369" s="16" t="str">
        <f>IF(P369="","",P369-WEEKDAY(P369,3))</f>
        <v/>
      </c>
      <c r="AJ369" s="23" t="str">
        <f>IF(P369="","",DATE(YEAR(P369),MONTH(P369),1))</f>
        <v/>
      </c>
    </row>
    <row r="370">
      <c r="A370" s="21"/>
      <c r="B370" s="14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14"/>
      <c r="Q370" s="21"/>
      <c r="R370" s="21"/>
      <c r="S370" s="21"/>
      <c r="T370" s="21"/>
      <c r="U370" s="21"/>
      <c r="V370" s="14"/>
      <c r="W370" s="22"/>
      <c r="X370" s="14"/>
      <c r="Y370" s="11" t="str">
        <f>IF(V370="","",IF(X370&lt;&gt;"",IF(X370-V370&lt;30,"No","Sí"),IF(TODAY()-V370&gt;=30,"Sí","En curso")))</f>
        <v/>
      </c>
      <c r="Z370" s="14"/>
      <c r="AA370" s="21"/>
      <c r="AB370" s="14"/>
      <c r="AC370" s="21"/>
      <c r="AD370" s="21"/>
      <c r="AE370" s="7"/>
      <c r="AF370" s="11" t="str">
        <f>IF(OR(AC370&lt;&gt;"Abierto",Z370=""),"",TODAY()-Z370)</f>
        <v/>
      </c>
      <c r="AG370" s="11" t="str">
        <f>IF(AC370&lt;&gt;"Abierto","",IF(AB370="","Sin siguiente acción",IF(AB370&lt;TODAY(),"Vencido",IF(AB370=TODAY(),"Hoy","En tiempo"))))</f>
        <v/>
      </c>
      <c r="AH370" s="11" t="str">
        <f>IF(OR(B370="",V370=""),"",V370-B370)</f>
        <v/>
      </c>
      <c r="AI370" s="16" t="str">
        <f>IF(P370="","",P370-WEEKDAY(P370,3))</f>
        <v/>
      </c>
      <c r="AJ370" s="23" t="str">
        <f>IF(P370="","",DATE(YEAR(P370),MONTH(P370),1))</f>
        <v/>
      </c>
    </row>
    <row r="371">
      <c r="A371" s="21"/>
      <c r="B371" s="14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14"/>
      <c r="Q371" s="21"/>
      <c r="R371" s="21"/>
      <c r="S371" s="21"/>
      <c r="T371" s="21"/>
      <c r="U371" s="21"/>
      <c r="V371" s="14"/>
      <c r="W371" s="22"/>
      <c r="X371" s="14"/>
      <c r="Y371" s="11" t="str">
        <f>IF(V371="","",IF(X371&lt;&gt;"",IF(X371-V371&lt;30,"No","Sí"),IF(TODAY()-V371&gt;=30,"Sí","En curso")))</f>
        <v/>
      </c>
      <c r="Z371" s="14"/>
      <c r="AA371" s="21"/>
      <c r="AB371" s="14"/>
      <c r="AC371" s="21"/>
      <c r="AD371" s="21"/>
      <c r="AE371" s="7"/>
      <c r="AF371" s="11" t="str">
        <f>IF(OR(AC371&lt;&gt;"Abierto",Z371=""),"",TODAY()-Z371)</f>
        <v/>
      </c>
      <c r="AG371" s="11" t="str">
        <f>IF(AC371&lt;&gt;"Abierto","",IF(AB371="","Sin siguiente acción",IF(AB371&lt;TODAY(),"Vencido",IF(AB371=TODAY(),"Hoy","En tiempo"))))</f>
        <v/>
      </c>
      <c r="AH371" s="11" t="str">
        <f>IF(OR(B371="",V371=""),"",V371-B371)</f>
        <v/>
      </c>
      <c r="AI371" s="16" t="str">
        <f>IF(P371="","",P371-WEEKDAY(P371,3))</f>
        <v/>
      </c>
      <c r="AJ371" s="23" t="str">
        <f>IF(P371="","",DATE(YEAR(P371),MONTH(P371),1))</f>
        <v/>
      </c>
    </row>
    <row r="372">
      <c r="A372" s="21"/>
      <c r="B372" s="14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14"/>
      <c r="Q372" s="21"/>
      <c r="R372" s="21"/>
      <c r="S372" s="21"/>
      <c r="T372" s="21"/>
      <c r="U372" s="21"/>
      <c r="V372" s="14"/>
      <c r="W372" s="22"/>
      <c r="X372" s="14"/>
      <c r="Y372" s="11" t="str">
        <f>IF(V372="","",IF(X372&lt;&gt;"",IF(X372-V372&lt;30,"No","Sí"),IF(TODAY()-V372&gt;=30,"Sí","En curso")))</f>
        <v/>
      </c>
      <c r="Z372" s="14"/>
      <c r="AA372" s="21"/>
      <c r="AB372" s="14"/>
      <c r="AC372" s="21"/>
      <c r="AD372" s="21"/>
      <c r="AE372" s="7"/>
      <c r="AF372" s="11" t="str">
        <f>IF(OR(AC372&lt;&gt;"Abierto",Z372=""),"",TODAY()-Z372)</f>
        <v/>
      </c>
      <c r="AG372" s="11" t="str">
        <f>IF(AC372&lt;&gt;"Abierto","",IF(AB372="","Sin siguiente acción",IF(AB372&lt;TODAY(),"Vencido",IF(AB372=TODAY(),"Hoy","En tiempo"))))</f>
        <v/>
      </c>
      <c r="AH372" s="11" t="str">
        <f>IF(OR(B372="",V372=""),"",V372-B372)</f>
        <v/>
      </c>
      <c r="AI372" s="16" t="str">
        <f>IF(P372="","",P372-WEEKDAY(P372,3))</f>
        <v/>
      </c>
      <c r="AJ372" s="23" t="str">
        <f>IF(P372="","",DATE(YEAR(P372),MONTH(P372),1))</f>
        <v/>
      </c>
    </row>
    <row r="373">
      <c r="A373" s="21"/>
      <c r="B373" s="14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14"/>
      <c r="Q373" s="21"/>
      <c r="R373" s="21"/>
      <c r="S373" s="21"/>
      <c r="T373" s="21"/>
      <c r="U373" s="21"/>
      <c r="V373" s="14"/>
      <c r="W373" s="22"/>
      <c r="X373" s="14"/>
      <c r="Y373" s="11" t="str">
        <f>IF(V373="","",IF(X373&lt;&gt;"",IF(X373-V373&lt;30,"No","Sí"),IF(TODAY()-V373&gt;=30,"Sí","En curso")))</f>
        <v/>
      </c>
      <c r="Z373" s="14"/>
      <c r="AA373" s="21"/>
      <c r="AB373" s="14"/>
      <c r="AC373" s="21"/>
      <c r="AD373" s="21"/>
      <c r="AE373" s="7"/>
      <c r="AF373" s="11" t="str">
        <f>IF(OR(AC373&lt;&gt;"Abierto",Z373=""),"",TODAY()-Z373)</f>
        <v/>
      </c>
      <c r="AG373" s="11" t="str">
        <f>IF(AC373&lt;&gt;"Abierto","",IF(AB373="","Sin siguiente acción",IF(AB373&lt;TODAY(),"Vencido",IF(AB373=TODAY(),"Hoy","En tiempo"))))</f>
        <v/>
      </c>
      <c r="AH373" s="11" t="str">
        <f>IF(OR(B373="",V373=""),"",V373-B373)</f>
        <v/>
      </c>
      <c r="AI373" s="16" t="str">
        <f>IF(P373="","",P373-WEEKDAY(P373,3))</f>
        <v/>
      </c>
      <c r="AJ373" s="23" t="str">
        <f>IF(P373="","",DATE(YEAR(P373),MONTH(P373),1))</f>
        <v/>
      </c>
    </row>
    <row r="374">
      <c r="A374" s="21"/>
      <c r="B374" s="14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14"/>
      <c r="Q374" s="21"/>
      <c r="R374" s="21"/>
      <c r="S374" s="21"/>
      <c r="T374" s="21"/>
      <c r="U374" s="21"/>
      <c r="V374" s="14"/>
      <c r="W374" s="22"/>
      <c r="X374" s="14"/>
      <c r="Y374" s="11" t="str">
        <f>IF(V374="","",IF(X374&lt;&gt;"",IF(X374-V374&lt;30,"No","Sí"),IF(TODAY()-V374&gt;=30,"Sí","En curso")))</f>
        <v/>
      </c>
      <c r="Z374" s="14"/>
      <c r="AA374" s="21"/>
      <c r="AB374" s="14"/>
      <c r="AC374" s="21"/>
      <c r="AD374" s="21"/>
      <c r="AE374" s="7"/>
      <c r="AF374" s="11" t="str">
        <f>IF(OR(AC374&lt;&gt;"Abierto",Z374=""),"",TODAY()-Z374)</f>
        <v/>
      </c>
      <c r="AG374" s="11" t="str">
        <f>IF(AC374&lt;&gt;"Abierto","",IF(AB374="","Sin siguiente acción",IF(AB374&lt;TODAY(),"Vencido",IF(AB374=TODAY(),"Hoy","En tiempo"))))</f>
        <v/>
      </c>
      <c r="AH374" s="11" t="str">
        <f>IF(OR(B374="",V374=""),"",V374-B374)</f>
        <v/>
      </c>
      <c r="AI374" s="16" t="str">
        <f>IF(P374="","",P374-WEEKDAY(P374,3))</f>
        <v/>
      </c>
      <c r="AJ374" s="23" t="str">
        <f>IF(P374="","",DATE(YEAR(P374),MONTH(P374),1))</f>
        <v/>
      </c>
    </row>
    <row r="375">
      <c r="A375" s="21"/>
      <c r="B375" s="14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14"/>
      <c r="Q375" s="21"/>
      <c r="R375" s="21"/>
      <c r="S375" s="21"/>
      <c r="T375" s="21"/>
      <c r="U375" s="21"/>
      <c r="V375" s="14"/>
      <c r="W375" s="22"/>
      <c r="X375" s="14"/>
      <c r="Y375" s="11" t="str">
        <f>IF(V375="","",IF(X375&lt;&gt;"",IF(X375-V375&lt;30,"No","Sí"),IF(TODAY()-V375&gt;=30,"Sí","En curso")))</f>
        <v/>
      </c>
      <c r="Z375" s="14"/>
      <c r="AA375" s="21"/>
      <c r="AB375" s="14"/>
      <c r="AC375" s="21"/>
      <c r="AD375" s="21"/>
      <c r="AE375" s="7"/>
      <c r="AF375" s="11" t="str">
        <f>IF(OR(AC375&lt;&gt;"Abierto",Z375=""),"",TODAY()-Z375)</f>
        <v/>
      </c>
      <c r="AG375" s="11" t="str">
        <f>IF(AC375&lt;&gt;"Abierto","",IF(AB375="","Sin siguiente acción",IF(AB375&lt;TODAY(),"Vencido",IF(AB375=TODAY(),"Hoy","En tiempo"))))</f>
        <v/>
      </c>
      <c r="AH375" s="11" t="str">
        <f>IF(OR(B375="",V375=""),"",V375-B375)</f>
        <v/>
      </c>
      <c r="AI375" s="16" t="str">
        <f>IF(P375="","",P375-WEEKDAY(P375,3))</f>
        <v/>
      </c>
      <c r="AJ375" s="23" t="str">
        <f>IF(P375="","",DATE(YEAR(P375),MONTH(P375),1))</f>
        <v/>
      </c>
    </row>
    <row r="376">
      <c r="A376" s="21"/>
      <c r="B376" s="14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14"/>
      <c r="Q376" s="21"/>
      <c r="R376" s="21"/>
      <c r="S376" s="21"/>
      <c r="T376" s="21"/>
      <c r="U376" s="21"/>
      <c r="V376" s="14"/>
      <c r="W376" s="22"/>
      <c r="X376" s="14"/>
      <c r="Y376" s="11" t="str">
        <f>IF(V376="","",IF(X376&lt;&gt;"",IF(X376-V376&lt;30,"No","Sí"),IF(TODAY()-V376&gt;=30,"Sí","En curso")))</f>
        <v/>
      </c>
      <c r="Z376" s="14"/>
      <c r="AA376" s="21"/>
      <c r="AB376" s="14"/>
      <c r="AC376" s="21"/>
      <c r="AD376" s="21"/>
      <c r="AE376" s="7"/>
      <c r="AF376" s="11" t="str">
        <f>IF(OR(AC376&lt;&gt;"Abierto",Z376=""),"",TODAY()-Z376)</f>
        <v/>
      </c>
      <c r="AG376" s="11" t="str">
        <f>IF(AC376&lt;&gt;"Abierto","",IF(AB376="","Sin siguiente acción",IF(AB376&lt;TODAY(),"Vencido",IF(AB376=TODAY(),"Hoy","En tiempo"))))</f>
        <v/>
      </c>
      <c r="AH376" s="11" t="str">
        <f>IF(OR(B376="",V376=""),"",V376-B376)</f>
        <v/>
      </c>
      <c r="AI376" s="16" t="str">
        <f>IF(P376="","",P376-WEEKDAY(P376,3))</f>
        <v/>
      </c>
      <c r="AJ376" s="23" t="str">
        <f>IF(P376="","",DATE(YEAR(P376),MONTH(P376),1))</f>
        <v/>
      </c>
    </row>
    <row r="377">
      <c r="A377" s="21"/>
      <c r="B377" s="14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14"/>
      <c r="Q377" s="21"/>
      <c r="R377" s="21"/>
      <c r="S377" s="21"/>
      <c r="T377" s="21"/>
      <c r="U377" s="21"/>
      <c r="V377" s="14"/>
      <c r="W377" s="22"/>
      <c r="X377" s="14"/>
      <c r="Y377" s="11" t="str">
        <f>IF(V377="","",IF(X377&lt;&gt;"",IF(X377-V377&lt;30,"No","Sí"),IF(TODAY()-V377&gt;=30,"Sí","En curso")))</f>
        <v/>
      </c>
      <c r="Z377" s="14"/>
      <c r="AA377" s="21"/>
      <c r="AB377" s="14"/>
      <c r="AC377" s="21"/>
      <c r="AD377" s="21"/>
      <c r="AE377" s="7"/>
      <c r="AF377" s="11" t="str">
        <f>IF(OR(AC377&lt;&gt;"Abierto",Z377=""),"",TODAY()-Z377)</f>
        <v/>
      </c>
      <c r="AG377" s="11" t="str">
        <f>IF(AC377&lt;&gt;"Abierto","",IF(AB377="","Sin siguiente acción",IF(AB377&lt;TODAY(),"Vencido",IF(AB377=TODAY(),"Hoy","En tiempo"))))</f>
        <v/>
      </c>
      <c r="AH377" s="11" t="str">
        <f>IF(OR(B377="",V377=""),"",V377-B377)</f>
        <v/>
      </c>
      <c r="AI377" s="16" t="str">
        <f>IF(P377="","",P377-WEEKDAY(P377,3))</f>
        <v/>
      </c>
      <c r="AJ377" s="23" t="str">
        <f>IF(P377="","",DATE(YEAR(P377),MONTH(P377),1))</f>
        <v/>
      </c>
    </row>
    <row r="378">
      <c r="A378" s="21"/>
      <c r="B378" s="14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14"/>
      <c r="Q378" s="21"/>
      <c r="R378" s="21"/>
      <c r="S378" s="21"/>
      <c r="T378" s="21"/>
      <c r="U378" s="21"/>
      <c r="V378" s="14"/>
      <c r="W378" s="22"/>
      <c r="X378" s="14"/>
      <c r="Y378" s="11" t="str">
        <f>IF(V378="","",IF(X378&lt;&gt;"",IF(X378-V378&lt;30,"No","Sí"),IF(TODAY()-V378&gt;=30,"Sí","En curso")))</f>
        <v/>
      </c>
      <c r="Z378" s="14"/>
      <c r="AA378" s="21"/>
      <c r="AB378" s="14"/>
      <c r="AC378" s="21"/>
      <c r="AD378" s="21"/>
      <c r="AE378" s="7"/>
      <c r="AF378" s="11" t="str">
        <f>IF(OR(AC378&lt;&gt;"Abierto",Z378=""),"",TODAY()-Z378)</f>
        <v/>
      </c>
      <c r="AG378" s="11" t="str">
        <f>IF(AC378&lt;&gt;"Abierto","",IF(AB378="","Sin siguiente acción",IF(AB378&lt;TODAY(),"Vencido",IF(AB378=TODAY(),"Hoy","En tiempo"))))</f>
        <v/>
      </c>
      <c r="AH378" s="11" t="str">
        <f>IF(OR(B378="",V378=""),"",V378-B378)</f>
        <v/>
      </c>
      <c r="AI378" s="16" t="str">
        <f>IF(P378="","",P378-WEEKDAY(P378,3))</f>
        <v/>
      </c>
      <c r="AJ378" s="23" t="str">
        <f>IF(P378="","",DATE(YEAR(P378),MONTH(P378),1))</f>
        <v/>
      </c>
    </row>
    <row r="379">
      <c r="A379" s="21"/>
      <c r="B379" s="14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14"/>
      <c r="Q379" s="21"/>
      <c r="R379" s="21"/>
      <c r="S379" s="21"/>
      <c r="T379" s="21"/>
      <c r="U379" s="21"/>
      <c r="V379" s="14"/>
      <c r="W379" s="22"/>
      <c r="X379" s="14"/>
      <c r="Y379" s="11" t="str">
        <f>IF(V379="","",IF(X379&lt;&gt;"",IF(X379-V379&lt;30,"No","Sí"),IF(TODAY()-V379&gt;=30,"Sí","En curso")))</f>
        <v/>
      </c>
      <c r="Z379" s="14"/>
      <c r="AA379" s="21"/>
      <c r="AB379" s="14"/>
      <c r="AC379" s="21"/>
      <c r="AD379" s="21"/>
      <c r="AE379" s="7"/>
      <c r="AF379" s="11" t="str">
        <f>IF(OR(AC379&lt;&gt;"Abierto",Z379=""),"",TODAY()-Z379)</f>
        <v/>
      </c>
      <c r="AG379" s="11" t="str">
        <f>IF(AC379&lt;&gt;"Abierto","",IF(AB379="","Sin siguiente acción",IF(AB379&lt;TODAY(),"Vencido",IF(AB379=TODAY(),"Hoy","En tiempo"))))</f>
        <v/>
      </c>
      <c r="AH379" s="11" t="str">
        <f>IF(OR(B379="",V379=""),"",V379-B379)</f>
        <v/>
      </c>
      <c r="AI379" s="16" t="str">
        <f>IF(P379="","",P379-WEEKDAY(P379,3))</f>
        <v/>
      </c>
      <c r="AJ379" s="23" t="str">
        <f>IF(P379="","",DATE(YEAR(P379),MONTH(P379),1))</f>
        <v/>
      </c>
    </row>
    <row r="380">
      <c r="A380" s="21"/>
      <c r="B380" s="14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14"/>
      <c r="Q380" s="21"/>
      <c r="R380" s="21"/>
      <c r="S380" s="21"/>
      <c r="T380" s="21"/>
      <c r="U380" s="21"/>
      <c r="V380" s="14"/>
      <c r="W380" s="22"/>
      <c r="X380" s="14"/>
      <c r="Y380" s="11" t="str">
        <f>IF(V380="","",IF(X380&lt;&gt;"",IF(X380-V380&lt;30,"No","Sí"),IF(TODAY()-V380&gt;=30,"Sí","En curso")))</f>
        <v/>
      </c>
      <c r="Z380" s="14"/>
      <c r="AA380" s="21"/>
      <c r="AB380" s="14"/>
      <c r="AC380" s="21"/>
      <c r="AD380" s="21"/>
      <c r="AE380" s="7"/>
      <c r="AF380" s="11" t="str">
        <f>IF(OR(AC380&lt;&gt;"Abierto",Z380=""),"",TODAY()-Z380)</f>
        <v/>
      </c>
      <c r="AG380" s="11" t="str">
        <f>IF(AC380&lt;&gt;"Abierto","",IF(AB380="","Sin siguiente acción",IF(AB380&lt;TODAY(),"Vencido",IF(AB380=TODAY(),"Hoy","En tiempo"))))</f>
        <v/>
      </c>
      <c r="AH380" s="11" t="str">
        <f>IF(OR(B380="",V380=""),"",V380-B380)</f>
        <v/>
      </c>
      <c r="AI380" s="16" t="str">
        <f>IF(P380="","",P380-WEEKDAY(P380,3))</f>
        <v/>
      </c>
      <c r="AJ380" s="23" t="str">
        <f>IF(P380="","",DATE(YEAR(P380),MONTH(P380),1))</f>
        <v/>
      </c>
    </row>
    <row r="381">
      <c r="A381" s="21"/>
      <c r="B381" s="14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14"/>
      <c r="Q381" s="21"/>
      <c r="R381" s="21"/>
      <c r="S381" s="21"/>
      <c r="T381" s="21"/>
      <c r="U381" s="21"/>
      <c r="V381" s="14"/>
      <c r="W381" s="22"/>
      <c r="X381" s="14"/>
      <c r="Y381" s="11" t="str">
        <f>IF(V381="","",IF(X381&lt;&gt;"",IF(X381-V381&lt;30,"No","Sí"),IF(TODAY()-V381&gt;=30,"Sí","En curso")))</f>
        <v/>
      </c>
      <c r="Z381" s="14"/>
      <c r="AA381" s="21"/>
      <c r="AB381" s="14"/>
      <c r="AC381" s="21"/>
      <c r="AD381" s="21"/>
      <c r="AE381" s="7"/>
      <c r="AF381" s="11" t="str">
        <f>IF(OR(AC381&lt;&gt;"Abierto",Z381=""),"",TODAY()-Z381)</f>
        <v/>
      </c>
      <c r="AG381" s="11" t="str">
        <f>IF(AC381&lt;&gt;"Abierto","",IF(AB381="","Sin siguiente acción",IF(AB381&lt;TODAY(),"Vencido",IF(AB381=TODAY(),"Hoy","En tiempo"))))</f>
        <v/>
      </c>
      <c r="AH381" s="11" t="str">
        <f>IF(OR(B381="",V381=""),"",V381-B381)</f>
        <v/>
      </c>
      <c r="AI381" s="16" t="str">
        <f>IF(P381="","",P381-WEEKDAY(P381,3))</f>
        <v/>
      </c>
      <c r="AJ381" s="23" t="str">
        <f>IF(P381="","",DATE(YEAR(P381),MONTH(P381),1))</f>
        <v/>
      </c>
    </row>
    <row r="382">
      <c r="A382" s="21"/>
      <c r="B382" s="14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14"/>
      <c r="Q382" s="21"/>
      <c r="R382" s="21"/>
      <c r="S382" s="21"/>
      <c r="T382" s="21"/>
      <c r="U382" s="21"/>
      <c r="V382" s="14"/>
      <c r="W382" s="22"/>
      <c r="X382" s="14"/>
      <c r="Y382" s="11" t="str">
        <f>IF(V382="","",IF(X382&lt;&gt;"",IF(X382-V382&lt;30,"No","Sí"),IF(TODAY()-V382&gt;=30,"Sí","En curso")))</f>
        <v/>
      </c>
      <c r="Z382" s="14"/>
      <c r="AA382" s="21"/>
      <c r="AB382" s="14"/>
      <c r="AC382" s="21"/>
      <c r="AD382" s="21"/>
      <c r="AE382" s="7"/>
      <c r="AF382" s="11" t="str">
        <f>IF(OR(AC382&lt;&gt;"Abierto",Z382=""),"",TODAY()-Z382)</f>
        <v/>
      </c>
      <c r="AG382" s="11" t="str">
        <f>IF(AC382&lt;&gt;"Abierto","",IF(AB382="","Sin siguiente acción",IF(AB382&lt;TODAY(),"Vencido",IF(AB382=TODAY(),"Hoy","En tiempo"))))</f>
        <v/>
      </c>
      <c r="AH382" s="11" t="str">
        <f>IF(OR(B382="",V382=""),"",V382-B382)</f>
        <v/>
      </c>
      <c r="AI382" s="16" t="str">
        <f>IF(P382="","",P382-WEEKDAY(P382,3))</f>
        <v/>
      </c>
      <c r="AJ382" s="23" t="str">
        <f>IF(P382="","",DATE(YEAR(P382),MONTH(P382),1))</f>
        <v/>
      </c>
    </row>
    <row r="383">
      <c r="A383" s="21"/>
      <c r="B383" s="14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14"/>
      <c r="Q383" s="21"/>
      <c r="R383" s="21"/>
      <c r="S383" s="21"/>
      <c r="T383" s="21"/>
      <c r="U383" s="21"/>
      <c r="V383" s="14"/>
      <c r="W383" s="22"/>
      <c r="X383" s="14"/>
      <c r="Y383" s="11" t="str">
        <f>IF(V383="","",IF(X383&lt;&gt;"",IF(X383-V383&lt;30,"No","Sí"),IF(TODAY()-V383&gt;=30,"Sí","En curso")))</f>
        <v/>
      </c>
      <c r="Z383" s="14"/>
      <c r="AA383" s="21"/>
      <c r="AB383" s="14"/>
      <c r="AC383" s="21"/>
      <c r="AD383" s="21"/>
      <c r="AE383" s="7"/>
      <c r="AF383" s="11" t="str">
        <f>IF(OR(AC383&lt;&gt;"Abierto",Z383=""),"",TODAY()-Z383)</f>
        <v/>
      </c>
      <c r="AG383" s="11" t="str">
        <f>IF(AC383&lt;&gt;"Abierto","",IF(AB383="","Sin siguiente acción",IF(AB383&lt;TODAY(),"Vencido",IF(AB383=TODAY(),"Hoy","En tiempo"))))</f>
        <v/>
      </c>
      <c r="AH383" s="11" t="str">
        <f>IF(OR(B383="",V383=""),"",V383-B383)</f>
        <v/>
      </c>
      <c r="AI383" s="16" t="str">
        <f>IF(P383="","",P383-WEEKDAY(P383,3))</f>
        <v/>
      </c>
      <c r="AJ383" s="23" t="str">
        <f>IF(P383="","",DATE(YEAR(P383),MONTH(P383),1))</f>
        <v/>
      </c>
    </row>
    <row r="384">
      <c r="A384" s="21"/>
      <c r="B384" s="14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14"/>
      <c r="Q384" s="21"/>
      <c r="R384" s="21"/>
      <c r="S384" s="21"/>
      <c r="T384" s="21"/>
      <c r="U384" s="21"/>
      <c r="V384" s="14"/>
      <c r="W384" s="22"/>
      <c r="X384" s="14"/>
      <c r="Y384" s="11" t="str">
        <f>IF(V384="","",IF(X384&lt;&gt;"",IF(X384-V384&lt;30,"No","Sí"),IF(TODAY()-V384&gt;=30,"Sí","En curso")))</f>
        <v/>
      </c>
      <c r="Z384" s="14"/>
      <c r="AA384" s="21"/>
      <c r="AB384" s="14"/>
      <c r="AC384" s="21"/>
      <c r="AD384" s="21"/>
      <c r="AE384" s="7"/>
      <c r="AF384" s="11" t="str">
        <f>IF(OR(AC384&lt;&gt;"Abierto",Z384=""),"",TODAY()-Z384)</f>
        <v/>
      </c>
      <c r="AG384" s="11" t="str">
        <f>IF(AC384&lt;&gt;"Abierto","",IF(AB384="","Sin siguiente acción",IF(AB384&lt;TODAY(),"Vencido",IF(AB384=TODAY(),"Hoy","En tiempo"))))</f>
        <v/>
      </c>
      <c r="AH384" s="11" t="str">
        <f>IF(OR(B384="",V384=""),"",V384-B384)</f>
        <v/>
      </c>
      <c r="AI384" s="16" t="str">
        <f>IF(P384="","",P384-WEEKDAY(P384,3))</f>
        <v/>
      </c>
      <c r="AJ384" s="23" t="str">
        <f>IF(P384="","",DATE(YEAR(P384),MONTH(P384),1))</f>
        <v/>
      </c>
    </row>
    <row r="385">
      <c r="A385" s="21"/>
      <c r="B385" s="14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14"/>
      <c r="Q385" s="21"/>
      <c r="R385" s="21"/>
      <c r="S385" s="21"/>
      <c r="T385" s="21"/>
      <c r="U385" s="21"/>
      <c r="V385" s="14"/>
      <c r="W385" s="22"/>
      <c r="X385" s="14"/>
      <c r="Y385" s="11" t="str">
        <f>IF(V385="","",IF(X385&lt;&gt;"",IF(X385-V385&lt;30,"No","Sí"),IF(TODAY()-V385&gt;=30,"Sí","En curso")))</f>
        <v/>
      </c>
      <c r="Z385" s="14"/>
      <c r="AA385" s="21"/>
      <c r="AB385" s="14"/>
      <c r="AC385" s="21"/>
      <c r="AD385" s="21"/>
      <c r="AE385" s="7"/>
      <c r="AF385" s="11" t="str">
        <f>IF(OR(AC385&lt;&gt;"Abierto",Z385=""),"",TODAY()-Z385)</f>
        <v/>
      </c>
      <c r="AG385" s="11" t="str">
        <f>IF(AC385&lt;&gt;"Abierto","",IF(AB385="","Sin siguiente acción",IF(AB385&lt;TODAY(),"Vencido",IF(AB385=TODAY(),"Hoy","En tiempo"))))</f>
        <v/>
      </c>
      <c r="AH385" s="11" t="str">
        <f>IF(OR(B385="",V385=""),"",V385-B385)</f>
        <v/>
      </c>
      <c r="AI385" s="16" t="str">
        <f>IF(P385="","",P385-WEEKDAY(P385,3))</f>
        <v/>
      </c>
      <c r="AJ385" s="23" t="str">
        <f>IF(P385="","",DATE(YEAR(P385),MONTH(P385),1))</f>
        <v/>
      </c>
    </row>
    <row r="386">
      <c r="A386" s="21"/>
      <c r="B386" s="14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14"/>
      <c r="Q386" s="21"/>
      <c r="R386" s="21"/>
      <c r="S386" s="21"/>
      <c r="T386" s="21"/>
      <c r="U386" s="21"/>
      <c r="V386" s="14"/>
      <c r="W386" s="22"/>
      <c r="X386" s="14"/>
      <c r="Y386" s="11" t="str">
        <f>IF(V386="","",IF(X386&lt;&gt;"",IF(X386-V386&lt;30,"No","Sí"),IF(TODAY()-V386&gt;=30,"Sí","En curso")))</f>
        <v/>
      </c>
      <c r="Z386" s="14"/>
      <c r="AA386" s="21"/>
      <c r="AB386" s="14"/>
      <c r="AC386" s="21"/>
      <c r="AD386" s="21"/>
      <c r="AE386" s="7"/>
      <c r="AF386" s="11" t="str">
        <f>IF(OR(AC386&lt;&gt;"Abierto",Z386=""),"",TODAY()-Z386)</f>
        <v/>
      </c>
      <c r="AG386" s="11" t="str">
        <f>IF(AC386&lt;&gt;"Abierto","",IF(AB386="","Sin siguiente acción",IF(AB386&lt;TODAY(),"Vencido",IF(AB386=TODAY(),"Hoy","En tiempo"))))</f>
        <v/>
      </c>
      <c r="AH386" s="11" t="str">
        <f>IF(OR(B386="",V386=""),"",V386-B386)</f>
        <v/>
      </c>
      <c r="AI386" s="16" t="str">
        <f>IF(P386="","",P386-WEEKDAY(P386,3))</f>
        <v/>
      </c>
      <c r="AJ386" s="23" t="str">
        <f>IF(P386="","",DATE(YEAR(P386),MONTH(P386),1))</f>
        <v/>
      </c>
    </row>
    <row r="387">
      <c r="A387" s="21"/>
      <c r="B387" s="14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14"/>
      <c r="Q387" s="21"/>
      <c r="R387" s="21"/>
      <c r="S387" s="21"/>
      <c r="T387" s="21"/>
      <c r="U387" s="21"/>
      <c r="V387" s="14"/>
      <c r="W387" s="22"/>
      <c r="X387" s="14"/>
      <c r="Y387" s="11" t="str">
        <f>IF(V387="","",IF(X387&lt;&gt;"",IF(X387-V387&lt;30,"No","Sí"),IF(TODAY()-V387&gt;=30,"Sí","En curso")))</f>
        <v/>
      </c>
      <c r="Z387" s="14"/>
      <c r="AA387" s="21"/>
      <c r="AB387" s="14"/>
      <c r="AC387" s="21"/>
      <c r="AD387" s="21"/>
      <c r="AE387" s="7"/>
      <c r="AF387" s="11" t="str">
        <f>IF(OR(AC387&lt;&gt;"Abierto",Z387=""),"",TODAY()-Z387)</f>
        <v/>
      </c>
      <c r="AG387" s="11" t="str">
        <f>IF(AC387&lt;&gt;"Abierto","",IF(AB387="","Sin siguiente acción",IF(AB387&lt;TODAY(),"Vencido",IF(AB387=TODAY(),"Hoy","En tiempo"))))</f>
        <v/>
      </c>
      <c r="AH387" s="11" t="str">
        <f>IF(OR(B387="",V387=""),"",V387-B387)</f>
        <v/>
      </c>
      <c r="AI387" s="16" t="str">
        <f>IF(P387="","",P387-WEEKDAY(P387,3))</f>
        <v/>
      </c>
      <c r="AJ387" s="23" t="str">
        <f>IF(P387="","",DATE(YEAR(P387),MONTH(P387),1))</f>
        <v/>
      </c>
    </row>
    <row r="388">
      <c r="A388" s="21"/>
      <c r="B388" s="14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14"/>
      <c r="Q388" s="21"/>
      <c r="R388" s="21"/>
      <c r="S388" s="21"/>
      <c r="T388" s="21"/>
      <c r="U388" s="21"/>
      <c r="V388" s="14"/>
      <c r="W388" s="22"/>
      <c r="X388" s="14"/>
      <c r="Y388" s="11" t="str">
        <f>IF(V388="","",IF(X388&lt;&gt;"",IF(X388-V388&lt;30,"No","Sí"),IF(TODAY()-V388&gt;=30,"Sí","En curso")))</f>
        <v/>
      </c>
      <c r="Z388" s="14"/>
      <c r="AA388" s="21"/>
      <c r="AB388" s="14"/>
      <c r="AC388" s="21"/>
      <c r="AD388" s="21"/>
      <c r="AE388" s="7"/>
      <c r="AF388" s="11" t="str">
        <f>IF(OR(AC388&lt;&gt;"Abierto",Z388=""),"",TODAY()-Z388)</f>
        <v/>
      </c>
      <c r="AG388" s="11" t="str">
        <f>IF(AC388&lt;&gt;"Abierto","",IF(AB388="","Sin siguiente acción",IF(AB388&lt;TODAY(),"Vencido",IF(AB388=TODAY(),"Hoy","En tiempo"))))</f>
        <v/>
      </c>
      <c r="AH388" s="11" t="str">
        <f>IF(OR(B388="",V388=""),"",V388-B388)</f>
        <v/>
      </c>
      <c r="AI388" s="16" t="str">
        <f>IF(P388="","",P388-WEEKDAY(P388,3))</f>
        <v/>
      </c>
      <c r="AJ388" s="23" t="str">
        <f>IF(P388="","",DATE(YEAR(P388),MONTH(P388),1))</f>
        <v/>
      </c>
    </row>
    <row r="389">
      <c r="A389" s="21"/>
      <c r="B389" s="14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14"/>
      <c r="Q389" s="21"/>
      <c r="R389" s="21"/>
      <c r="S389" s="21"/>
      <c r="T389" s="21"/>
      <c r="U389" s="21"/>
      <c r="V389" s="14"/>
      <c r="W389" s="22"/>
      <c r="X389" s="14"/>
      <c r="Y389" s="11" t="str">
        <f>IF(V389="","",IF(X389&lt;&gt;"",IF(X389-V389&lt;30,"No","Sí"),IF(TODAY()-V389&gt;=30,"Sí","En curso")))</f>
        <v/>
      </c>
      <c r="Z389" s="14"/>
      <c r="AA389" s="21"/>
      <c r="AB389" s="14"/>
      <c r="AC389" s="21"/>
      <c r="AD389" s="21"/>
      <c r="AE389" s="7"/>
      <c r="AF389" s="11" t="str">
        <f>IF(OR(AC389&lt;&gt;"Abierto",Z389=""),"",TODAY()-Z389)</f>
        <v/>
      </c>
      <c r="AG389" s="11" t="str">
        <f>IF(AC389&lt;&gt;"Abierto","",IF(AB389="","Sin siguiente acción",IF(AB389&lt;TODAY(),"Vencido",IF(AB389=TODAY(),"Hoy","En tiempo"))))</f>
        <v/>
      </c>
      <c r="AH389" s="11" t="str">
        <f>IF(OR(B389="",V389=""),"",V389-B389)</f>
        <v/>
      </c>
      <c r="AI389" s="16" t="str">
        <f>IF(P389="","",P389-WEEKDAY(P389,3))</f>
        <v/>
      </c>
      <c r="AJ389" s="23" t="str">
        <f>IF(P389="","",DATE(YEAR(P389),MONTH(P389),1))</f>
        <v/>
      </c>
    </row>
    <row r="390">
      <c r="A390" s="21"/>
      <c r="B390" s="14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14"/>
      <c r="Q390" s="21"/>
      <c r="R390" s="21"/>
      <c r="S390" s="21"/>
      <c r="T390" s="21"/>
      <c r="U390" s="21"/>
      <c r="V390" s="14"/>
      <c r="W390" s="22"/>
      <c r="X390" s="14"/>
      <c r="Y390" s="11" t="str">
        <f>IF(V390="","",IF(X390&lt;&gt;"",IF(X390-V390&lt;30,"No","Sí"),IF(TODAY()-V390&gt;=30,"Sí","En curso")))</f>
        <v/>
      </c>
      <c r="Z390" s="14"/>
      <c r="AA390" s="21"/>
      <c r="AB390" s="14"/>
      <c r="AC390" s="21"/>
      <c r="AD390" s="21"/>
      <c r="AE390" s="7"/>
      <c r="AF390" s="11" t="str">
        <f>IF(OR(AC390&lt;&gt;"Abierto",Z390=""),"",TODAY()-Z390)</f>
        <v/>
      </c>
      <c r="AG390" s="11" t="str">
        <f>IF(AC390&lt;&gt;"Abierto","",IF(AB390="","Sin siguiente acción",IF(AB390&lt;TODAY(),"Vencido",IF(AB390=TODAY(),"Hoy","En tiempo"))))</f>
        <v/>
      </c>
      <c r="AH390" s="11" t="str">
        <f>IF(OR(B390="",V390=""),"",V390-B390)</f>
        <v/>
      </c>
      <c r="AI390" s="16" t="str">
        <f>IF(P390="","",P390-WEEKDAY(P390,3))</f>
        <v/>
      </c>
      <c r="AJ390" s="23" t="str">
        <f>IF(P390="","",DATE(YEAR(P390),MONTH(P390),1))</f>
        <v/>
      </c>
    </row>
    <row r="391">
      <c r="A391" s="21"/>
      <c r="B391" s="14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14"/>
      <c r="Q391" s="21"/>
      <c r="R391" s="21"/>
      <c r="S391" s="21"/>
      <c r="T391" s="21"/>
      <c r="U391" s="21"/>
      <c r="V391" s="14"/>
      <c r="W391" s="22"/>
      <c r="X391" s="14"/>
      <c r="Y391" s="11" t="str">
        <f>IF(V391="","",IF(X391&lt;&gt;"",IF(X391-V391&lt;30,"No","Sí"),IF(TODAY()-V391&gt;=30,"Sí","En curso")))</f>
        <v/>
      </c>
      <c r="Z391" s="14"/>
      <c r="AA391" s="21"/>
      <c r="AB391" s="14"/>
      <c r="AC391" s="21"/>
      <c r="AD391" s="21"/>
      <c r="AE391" s="7"/>
      <c r="AF391" s="11" t="str">
        <f>IF(OR(AC391&lt;&gt;"Abierto",Z391=""),"",TODAY()-Z391)</f>
        <v/>
      </c>
      <c r="AG391" s="11" t="str">
        <f>IF(AC391&lt;&gt;"Abierto","",IF(AB391="","Sin siguiente acción",IF(AB391&lt;TODAY(),"Vencido",IF(AB391=TODAY(),"Hoy","En tiempo"))))</f>
        <v/>
      </c>
      <c r="AH391" s="11" t="str">
        <f>IF(OR(B391="",V391=""),"",V391-B391)</f>
        <v/>
      </c>
      <c r="AI391" s="16" t="str">
        <f>IF(P391="","",P391-WEEKDAY(P391,3))</f>
        <v/>
      </c>
      <c r="AJ391" s="23" t="str">
        <f>IF(P391="","",DATE(YEAR(P391),MONTH(P391),1))</f>
        <v/>
      </c>
    </row>
    <row r="392">
      <c r="A392" s="21"/>
      <c r="B392" s="14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14"/>
      <c r="Q392" s="21"/>
      <c r="R392" s="21"/>
      <c r="S392" s="21"/>
      <c r="T392" s="21"/>
      <c r="U392" s="21"/>
      <c r="V392" s="14"/>
      <c r="W392" s="22"/>
      <c r="X392" s="14"/>
      <c r="Y392" s="11" t="str">
        <f>IF(V392="","",IF(X392&lt;&gt;"",IF(X392-V392&lt;30,"No","Sí"),IF(TODAY()-V392&gt;=30,"Sí","En curso")))</f>
        <v/>
      </c>
      <c r="Z392" s="14"/>
      <c r="AA392" s="21"/>
      <c r="AB392" s="14"/>
      <c r="AC392" s="21"/>
      <c r="AD392" s="21"/>
      <c r="AE392" s="7"/>
      <c r="AF392" s="11" t="str">
        <f>IF(OR(AC392&lt;&gt;"Abierto",Z392=""),"",TODAY()-Z392)</f>
        <v/>
      </c>
      <c r="AG392" s="11" t="str">
        <f>IF(AC392&lt;&gt;"Abierto","",IF(AB392="","Sin siguiente acción",IF(AB392&lt;TODAY(),"Vencido",IF(AB392=TODAY(),"Hoy","En tiempo"))))</f>
        <v/>
      </c>
      <c r="AH392" s="11" t="str">
        <f>IF(OR(B392="",V392=""),"",V392-B392)</f>
        <v/>
      </c>
      <c r="AI392" s="16" t="str">
        <f>IF(P392="","",P392-WEEKDAY(P392,3))</f>
        <v/>
      </c>
      <c r="AJ392" s="23" t="str">
        <f>IF(P392="","",DATE(YEAR(P392),MONTH(P392),1))</f>
        <v/>
      </c>
    </row>
    <row r="393">
      <c r="A393" s="21"/>
      <c r="B393" s="14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14"/>
      <c r="Q393" s="21"/>
      <c r="R393" s="21"/>
      <c r="S393" s="21"/>
      <c r="T393" s="21"/>
      <c r="U393" s="21"/>
      <c r="V393" s="14"/>
      <c r="W393" s="22"/>
      <c r="X393" s="14"/>
      <c r="Y393" s="11" t="str">
        <f>IF(V393="","",IF(X393&lt;&gt;"",IF(X393-V393&lt;30,"No","Sí"),IF(TODAY()-V393&gt;=30,"Sí","En curso")))</f>
        <v/>
      </c>
      <c r="Z393" s="14"/>
      <c r="AA393" s="21"/>
      <c r="AB393" s="14"/>
      <c r="AC393" s="21"/>
      <c r="AD393" s="21"/>
      <c r="AE393" s="7"/>
      <c r="AF393" s="11" t="str">
        <f>IF(OR(AC393&lt;&gt;"Abierto",Z393=""),"",TODAY()-Z393)</f>
        <v/>
      </c>
      <c r="AG393" s="11" t="str">
        <f>IF(AC393&lt;&gt;"Abierto","",IF(AB393="","Sin siguiente acción",IF(AB393&lt;TODAY(),"Vencido",IF(AB393=TODAY(),"Hoy","En tiempo"))))</f>
        <v/>
      </c>
      <c r="AH393" s="11" t="str">
        <f>IF(OR(B393="",V393=""),"",V393-B393)</f>
        <v/>
      </c>
      <c r="AI393" s="16" t="str">
        <f>IF(P393="","",P393-WEEKDAY(P393,3))</f>
        <v/>
      </c>
      <c r="AJ393" s="23" t="str">
        <f>IF(P393="","",DATE(YEAR(P393),MONTH(P393),1))</f>
        <v/>
      </c>
    </row>
    <row r="394">
      <c r="A394" s="21"/>
      <c r="B394" s="14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14"/>
      <c r="Q394" s="21"/>
      <c r="R394" s="21"/>
      <c r="S394" s="21"/>
      <c r="T394" s="21"/>
      <c r="U394" s="21"/>
      <c r="V394" s="14"/>
      <c r="W394" s="22"/>
      <c r="X394" s="14"/>
      <c r="Y394" s="11" t="str">
        <f>IF(V394="","",IF(X394&lt;&gt;"",IF(X394-V394&lt;30,"No","Sí"),IF(TODAY()-V394&gt;=30,"Sí","En curso")))</f>
        <v/>
      </c>
      <c r="Z394" s="14"/>
      <c r="AA394" s="21"/>
      <c r="AB394" s="14"/>
      <c r="AC394" s="21"/>
      <c r="AD394" s="21"/>
      <c r="AE394" s="7"/>
      <c r="AF394" s="11" t="str">
        <f>IF(OR(AC394&lt;&gt;"Abierto",Z394=""),"",TODAY()-Z394)</f>
        <v/>
      </c>
      <c r="AG394" s="11" t="str">
        <f>IF(AC394&lt;&gt;"Abierto","",IF(AB394="","Sin siguiente acción",IF(AB394&lt;TODAY(),"Vencido",IF(AB394=TODAY(),"Hoy","En tiempo"))))</f>
        <v/>
      </c>
      <c r="AH394" s="11" t="str">
        <f>IF(OR(B394="",V394=""),"",V394-B394)</f>
        <v/>
      </c>
      <c r="AI394" s="16" t="str">
        <f>IF(P394="","",P394-WEEKDAY(P394,3))</f>
        <v/>
      </c>
      <c r="AJ394" s="23" t="str">
        <f>IF(P394="","",DATE(YEAR(P394),MONTH(P394),1))</f>
        <v/>
      </c>
    </row>
    <row r="395">
      <c r="A395" s="21"/>
      <c r="B395" s="14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14"/>
      <c r="Q395" s="21"/>
      <c r="R395" s="21"/>
      <c r="S395" s="21"/>
      <c r="T395" s="21"/>
      <c r="U395" s="21"/>
      <c r="V395" s="14"/>
      <c r="W395" s="22"/>
      <c r="X395" s="14"/>
      <c r="Y395" s="11" t="str">
        <f>IF(V395="","",IF(X395&lt;&gt;"",IF(X395-V395&lt;30,"No","Sí"),IF(TODAY()-V395&gt;=30,"Sí","En curso")))</f>
        <v/>
      </c>
      <c r="Z395" s="14"/>
      <c r="AA395" s="21"/>
      <c r="AB395" s="14"/>
      <c r="AC395" s="21"/>
      <c r="AD395" s="21"/>
      <c r="AE395" s="7"/>
      <c r="AF395" s="11" t="str">
        <f>IF(OR(AC395&lt;&gt;"Abierto",Z395=""),"",TODAY()-Z395)</f>
        <v/>
      </c>
      <c r="AG395" s="11" t="str">
        <f>IF(AC395&lt;&gt;"Abierto","",IF(AB395="","Sin siguiente acción",IF(AB395&lt;TODAY(),"Vencido",IF(AB395=TODAY(),"Hoy","En tiempo"))))</f>
        <v/>
      </c>
      <c r="AH395" s="11" t="str">
        <f>IF(OR(B395="",V395=""),"",V395-B395)</f>
        <v/>
      </c>
      <c r="AI395" s="16" t="str">
        <f>IF(P395="","",P395-WEEKDAY(P395,3))</f>
        <v/>
      </c>
      <c r="AJ395" s="23" t="str">
        <f>IF(P395="","",DATE(YEAR(P395),MONTH(P395),1))</f>
        <v/>
      </c>
    </row>
    <row r="396">
      <c r="A396" s="21"/>
      <c r="B396" s="14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14"/>
      <c r="Q396" s="21"/>
      <c r="R396" s="21"/>
      <c r="S396" s="21"/>
      <c r="T396" s="21"/>
      <c r="U396" s="21"/>
      <c r="V396" s="14"/>
      <c r="W396" s="22"/>
      <c r="X396" s="14"/>
      <c r="Y396" s="11" t="str">
        <f>IF(V396="","",IF(X396&lt;&gt;"",IF(X396-V396&lt;30,"No","Sí"),IF(TODAY()-V396&gt;=30,"Sí","En curso")))</f>
        <v/>
      </c>
      <c r="Z396" s="14"/>
      <c r="AA396" s="21"/>
      <c r="AB396" s="14"/>
      <c r="AC396" s="21"/>
      <c r="AD396" s="21"/>
      <c r="AE396" s="7"/>
      <c r="AF396" s="11" t="str">
        <f>IF(OR(AC396&lt;&gt;"Abierto",Z396=""),"",TODAY()-Z396)</f>
        <v/>
      </c>
      <c r="AG396" s="11" t="str">
        <f>IF(AC396&lt;&gt;"Abierto","",IF(AB396="","Sin siguiente acción",IF(AB396&lt;TODAY(),"Vencido",IF(AB396=TODAY(),"Hoy","En tiempo"))))</f>
        <v/>
      </c>
      <c r="AH396" s="11" t="str">
        <f>IF(OR(B396="",V396=""),"",V396-B396)</f>
        <v/>
      </c>
      <c r="AI396" s="16" t="str">
        <f>IF(P396="","",P396-WEEKDAY(P396,3))</f>
        <v/>
      </c>
      <c r="AJ396" s="23" t="str">
        <f>IF(P396="","",DATE(YEAR(P396),MONTH(P396),1))</f>
        <v/>
      </c>
    </row>
    <row r="397">
      <c r="A397" s="21"/>
      <c r="B397" s="14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14"/>
      <c r="Q397" s="21"/>
      <c r="R397" s="21"/>
      <c r="S397" s="21"/>
      <c r="T397" s="21"/>
      <c r="U397" s="21"/>
      <c r="V397" s="14"/>
      <c r="W397" s="22"/>
      <c r="X397" s="14"/>
      <c r="Y397" s="11" t="str">
        <f>IF(V397="","",IF(X397&lt;&gt;"",IF(X397-V397&lt;30,"No","Sí"),IF(TODAY()-V397&gt;=30,"Sí","En curso")))</f>
        <v/>
      </c>
      <c r="Z397" s="14"/>
      <c r="AA397" s="21"/>
      <c r="AB397" s="14"/>
      <c r="AC397" s="21"/>
      <c r="AD397" s="21"/>
      <c r="AE397" s="7"/>
      <c r="AF397" s="11" t="str">
        <f>IF(OR(AC397&lt;&gt;"Abierto",Z397=""),"",TODAY()-Z397)</f>
        <v/>
      </c>
      <c r="AG397" s="11" t="str">
        <f>IF(AC397&lt;&gt;"Abierto","",IF(AB397="","Sin siguiente acción",IF(AB397&lt;TODAY(),"Vencido",IF(AB397=TODAY(),"Hoy","En tiempo"))))</f>
        <v/>
      </c>
      <c r="AH397" s="11" t="str">
        <f>IF(OR(B397="",V397=""),"",V397-B397)</f>
        <v/>
      </c>
      <c r="AI397" s="16" t="str">
        <f>IF(P397="","",P397-WEEKDAY(P397,3))</f>
        <v/>
      </c>
      <c r="AJ397" s="23" t="str">
        <f>IF(P397="","",DATE(YEAR(P397),MONTH(P397),1))</f>
        <v/>
      </c>
    </row>
    <row r="398">
      <c r="A398" s="21"/>
      <c r="B398" s="14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14"/>
      <c r="Q398" s="21"/>
      <c r="R398" s="21"/>
      <c r="S398" s="21"/>
      <c r="T398" s="21"/>
      <c r="U398" s="21"/>
      <c r="V398" s="14"/>
      <c r="W398" s="22"/>
      <c r="X398" s="14"/>
      <c r="Y398" s="11" t="str">
        <f>IF(V398="","",IF(X398&lt;&gt;"",IF(X398-V398&lt;30,"No","Sí"),IF(TODAY()-V398&gt;=30,"Sí","En curso")))</f>
        <v/>
      </c>
      <c r="Z398" s="14"/>
      <c r="AA398" s="21"/>
      <c r="AB398" s="14"/>
      <c r="AC398" s="21"/>
      <c r="AD398" s="21"/>
      <c r="AE398" s="7"/>
      <c r="AF398" s="11" t="str">
        <f>IF(OR(AC398&lt;&gt;"Abierto",Z398=""),"",TODAY()-Z398)</f>
        <v/>
      </c>
      <c r="AG398" s="11" t="str">
        <f>IF(AC398&lt;&gt;"Abierto","",IF(AB398="","Sin siguiente acción",IF(AB398&lt;TODAY(),"Vencido",IF(AB398=TODAY(),"Hoy","En tiempo"))))</f>
        <v/>
      </c>
      <c r="AH398" s="11" t="str">
        <f>IF(OR(B398="",V398=""),"",V398-B398)</f>
        <v/>
      </c>
      <c r="AI398" s="16" t="str">
        <f>IF(P398="","",P398-WEEKDAY(P398,3))</f>
        <v/>
      </c>
      <c r="AJ398" s="23" t="str">
        <f>IF(P398="","",DATE(YEAR(P398),MONTH(P398),1))</f>
        <v/>
      </c>
    </row>
    <row r="399">
      <c r="A399" s="21"/>
      <c r="B399" s="14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14"/>
      <c r="Q399" s="21"/>
      <c r="R399" s="21"/>
      <c r="S399" s="21"/>
      <c r="T399" s="21"/>
      <c r="U399" s="21"/>
      <c r="V399" s="14"/>
      <c r="W399" s="22"/>
      <c r="X399" s="14"/>
      <c r="Y399" s="11" t="str">
        <f>IF(V399="","",IF(X399&lt;&gt;"",IF(X399-V399&lt;30,"No","Sí"),IF(TODAY()-V399&gt;=30,"Sí","En curso")))</f>
        <v/>
      </c>
      <c r="Z399" s="14"/>
      <c r="AA399" s="21"/>
      <c r="AB399" s="14"/>
      <c r="AC399" s="21"/>
      <c r="AD399" s="21"/>
      <c r="AE399" s="7"/>
      <c r="AF399" s="11" t="str">
        <f>IF(OR(AC399&lt;&gt;"Abierto",Z399=""),"",TODAY()-Z399)</f>
        <v/>
      </c>
      <c r="AG399" s="11" t="str">
        <f>IF(AC399&lt;&gt;"Abierto","",IF(AB399="","Sin siguiente acción",IF(AB399&lt;TODAY(),"Vencido",IF(AB399=TODAY(),"Hoy","En tiempo"))))</f>
        <v/>
      </c>
      <c r="AH399" s="11" t="str">
        <f>IF(OR(B399="",V399=""),"",V399-B399)</f>
        <v/>
      </c>
      <c r="AI399" s="16" t="str">
        <f>IF(P399="","",P399-WEEKDAY(P399,3))</f>
        <v/>
      </c>
      <c r="AJ399" s="23" t="str">
        <f>IF(P399="","",DATE(YEAR(P399),MONTH(P399),1))</f>
        <v/>
      </c>
    </row>
    <row r="400">
      <c r="A400" s="21"/>
      <c r="B400" s="14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14"/>
      <c r="Q400" s="21"/>
      <c r="R400" s="21"/>
      <c r="S400" s="21"/>
      <c r="T400" s="21"/>
      <c r="U400" s="21"/>
      <c r="V400" s="14"/>
      <c r="W400" s="22"/>
      <c r="X400" s="14"/>
      <c r="Y400" s="11" t="str">
        <f>IF(V400="","",IF(X400&lt;&gt;"",IF(X400-V400&lt;30,"No","Sí"),IF(TODAY()-V400&gt;=30,"Sí","En curso")))</f>
        <v/>
      </c>
      <c r="Z400" s="14"/>
      <c r="AA400" s="21"/>
      <c r="AB400" s="14"/>
      <c r="AC400" s="21"/>
      <c r="AD400" s="21"/>
      <c r="AE400" s="7"/>
      <c r="AF400" s="11" t="str">
        <f>IF(OR(AC400&lt;&gt;"Abierto",Z400=""),"",TODAY()-Z400)</f>
        <v/>
      </c>
      <c r="AG400" s="11" t="str">
        <f>IF(AC400&lt;&gt;"Abierto","",IF(AB400="","Sin siguiente acción",IF(AB400&lt;TODAY(),"Vencido",IF(AB400=TODAY(),"Hoy","En tiempo"))))</f>
        <v/>
      </c>
      <c r="AH400" s="11" t="str">
        <f>IF(OR(B400="",V400=""),"",V400-B400)</f>
        <v/>
      </c>
      <c r="AI400" s="16" t="str">
        <f>IF(P400="","",P400-WEEKDAY(P400,3))</f>
        <v/>
      </c>
      <c r="AJ400" s="23" t="str">
        <f>IF(P400="","",DATE(YEAR(P400),MONTH(P400),1))</f>
        <v/>
      </c>
    </row>
    <row r="401">
      <c r="A401" s="21"/>
      <c r="B401" s="14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14"/>
      <c r="Q401" s="21"/>
      <c r="R401" s="21"/>
      <c r="S401" s="21"/>
      <c r="T401" s="21"/>
      <c r="U401" s="21"/>
      <c r="V401" s="14"/>
      <c r="W401" s="22"/>
      <c r="X401" s="14"/>
      <c r="Y401" s="11" t="str">
        <f>IF(V401="","",IF(X401&lt;&gt;"",IF(X401-V401&lt;30,"No","Sí"),IF(TODAY()-V401&gt;=30,"Sí","En curso")))</f>
        <v/>
      </c>
      <c r="Z401" s="14"/>
      <c r="AA401" s="21"/>
      <c r="AB401" s="14"/>
      <c r="AC401" s="21"/>
      <c r="AD401" s="21"/>
      <c r="AE401" s="7"/>
      <c r="AF401" s="11" t="str">
        <f>IF(OR(AC401&lt;&gt;"Abierto",Z401=""),"",TODAY()-Z401)</f>
        <v/>
      </c>
      <c r="AG401" s="11" t="str">
        <f>IF(AC401&lt;&gt;"Abierto","",IF(AB401="","Sin siguiente acción",IF(AB401&lt;TODAY(),"Vencido",IF(AB401=TODAY(),"Hoy","En tiempo"))))</f>
        <v/>
      </c>
      <c r="AH401" s="11" t="str">
        <f>IF(OR(B401="",V401=""),"",V401-B401)</f>
        <v/>
      </c>
      <c r="AI401" s="16" t="str">
        <f>IF(P401="","",P401-WEEKDAY(P401,3))</f>
        <v/>
      </c>
      <c r="AJ401" s="23" t="str">
        <f>IF(P401="","",DATE(YEAR(P401),MONTH(P401),1))</f>
        <v/>
      </c>
    </row>
    <row r="402">
      <c r="A402" s="21"/>
      <c r="B402" s="14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14"/>
      <c r="Q402" s="21"/>
      <c r="R402" s="21"/>
      <c r="S402" s="21"/>
      <c r="T402" s="21"/>
      <c r="U402" s="21"/>
      <c r="V402" s="14"/>
      <c r="W402" s="22"/>
      <c r="X402" s="14"/>
      <c r="Y402" s="11" t="str">
        <f>IF(V402="","",IF(X402&lt;&gt;"",IF(X402-V402&lt;30,"No","Sí"),IF(TODAY()-V402&gt;=30,"Sí","En curso")))</f>
        <v/>
      </c>
      <c r="Z402" s="14"/>
      <c r="AA402" s="21"/>
      <c r="AB402" s="14"/>
      <c r="AC402" s="21"/>
      <c r="AD402" s="21"/>
      <c r="AE402" s="7"/>
      <c r="AF402" s="11" t="str">
        <f>IF(OR(AC402&lt;&gt;"Abierto",Z402=""),"",TODAY()-Z402)</f>
        <v/>
      </c>
      <c r="AG402" s="11" t="str">
        <f>IF(AC402&lt;&gt;"Abierto","",IF(AB402="","Sin siguiente acción",IF(AB402&lt;TODAY(),"Vencido",IF(AB402=TODAY(),"Hoy","En tiempo"))))</f>
        <v/>
      </c>
      <c r="AH402" s="11" t="str">
        <f>IF(OR(B402="",V402=""),"",V402-B402)</f>
        <v/>
      </c>
      <c r="AI402" s="16" t="str">
        <f>IF(P402="","",P402-WEEKDAY(P402,3))</f>
        <v/>
      </c>
      <c r="AJ402" s="23" t="str">
        <f>IF(P402="","",DATE(YEAR(P402),MONTH(P402),1))</f>
        <v/>
      </c>
    </row>
    <row r="403">
      <c r="A403" s="21"/>
      <c r="B403" s="14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14"/>
      <c r="Q403" s="21"/>
      <c r="R403" s="21"/>
      <c r="S403" s="21"/>
      <c r="T403" s="21"/>
      <c r="U403" s="21"/>
      <c r="V403" s="14"/>
      <c r="W403" s="22"/>
      <c r="X403" s="14"/>
      <c r="Y403" s="11" t="str">
        <f>IF(V403="","",IF(X403&lt;&gt;"",IF(X403-V403&lt;30,"No","Sí"),IF(TODAY()-V403&gt;=30,"Sí","En curso")))</f>
        <v/>
      </c>
      <c r="Z403" s="14"/>
      <c r="AA403" s="21"/>
      <c r="AB403" s="14"/>
      <c r="AC403" s="21"/>
      <c r="AD403" s="21"/>
      <c r="AE403" s="7"/>
      <c r="AF403" s="11" t="str">
        <f>IF(OR(AC403&lt;&gt;"Abierto",Z403=""),"",TODAY()-Z403)</f>
        <v/>
      </c>
      <c r="AG403" s="11" t="str">
        <f>IF(AC403&lt;&gt;"Abierto","",IF(AB403="","Sin siguiente acción",IF(AB403&lt;TODAY(),"Vencido",IF(AB403=TODAY(),"Hoy","En tiempo"))))</f>
        <v/>
      </c>
      <c r="AH403" s="11" t="str">
        <f>IF(OR(B403="",V403=""),"",V403-B403)</f>
        <v/>
      </c>
      <c r="AI403" s="16" t="str">
        <f>IF(P403="","",P403-WEEKDAY(P403,3))</f>
        <v/>
      </c>
      <c r="AJ403" s="23" t="str">
        <f>IF(P403="","",DATE(YEAR(P403),MONTH(P403),1))</f>
        <v/>
      </c>
    </row>
    <row r="404">
      <c r="A404" s="21"/>
      <c r="B404" s="14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14"/>
      <c r="Q404" s="21"/>
      <c r="R404" s="21"/>
      <c r="S404" s="21"/>
      <c r="T404" s="21"/>
      <c r="U404" s="21"/>
      <c r="V404" s="14"/>
      <c r="W404" s="22"/>
      <c r="X404" s="14"/>
      <c r="Y404" s="11" t="str">
        <f>IF(V404="","",IF(X404&lt;&gt;"",IF(X404-V404&lt;30,"No","Sí"),IF(TODAY()-V404&gt;=30,"Sí","En curso")))</f>
        <v/>
      </c>
      <c r="Z404" s="14"/>
      <c r="AA404" s="21"/>
      <c r="AB404" s="14"/>
      <c r="AC404" s="21"/>
      <c r="AD404" s="21"/>
      <c r="AE404" s="7"/>
      <c r="AF404" s="11" t="str">
        <f>IF(OR(AC404&lt;&gt;"Abierto",Z404=""),"",TODAY()-Z404)</f>
        <v/>
      </c>
      <c r="AG404" s="11" t="str">
        <f>IF(AC404&lt;&gt;"Abierto","",IF(AB404="","Sin siguiente acción",IF(AB404&lt;TODAY(),"Vencido",IF(AB404=TODAY(),"Hoy","En tiempo"))))</f>
        <v/>
      </c>
      <c r="AH404" s="11" t="str">
        <f>IF(OR(B404="",V404=""),"",V404-B404)</f>
        <v/>
      </c>
      <c r="AI404" s="16" t="str">
        <f>IF(P404="","",P404-WEEKDAY(P404,3))</f>
        <v/>
      </c>
      <c r="AJ404" s="23" t="str">
        <f>IF(P404="","",DATE(YEAR(P404),MONTH(P404),1))</f>
        <v/>
      </c>
    </row>
    <row r="405">
      <c r="A405" s="21"/>
      <c r="B405" s="14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14"/>
      <c r="Q405" s="21"/>
      <c r="R405" s="21"/>
      <c r="S405" s="21"/>
      <c r="T405" s="21"/>
      <c r="U405" s="21"/>
      <c r="V405" s="14"/>
      <c r="W405" s="22"/>
      <c r="X405" s="14"/>
      <c r="Y405" s="11" t="str">
        <f>IF(V405="","",IF(X405&lt;&gt;"",IF(X405-V405&lt;30,"No","Sí"),IF(TODAY()-V405&gt;=30,"Sí","En curso")))</f>
        <v/>
      </c>
      <c r="Z405" s="14"/>
      <c r="AA405" s="21"/>
      <c r="AB405" s="14"/>
      <c r="AC405" s="21"/>
      <c r="AD405" s="21"/>
      <c r="AE405" s="7"/>
      <c r="AF405" s="11" t="str">
        <f>IF(OR(AC405&lt;&gt;"Abierto",Z405=""),"",TODAY()-Z405)</f>
        <v/>
      </c>
      <c r="AG405" s="11" t="str">
        <f>IF(AC405&lt;&gt;"Abierto","",IF(AB405="","Sin siguiente acción",IF(AB405&lt;TODAY(),"Vencido",IF(AB405=TODAY(),"Hoy","En tiempo"))))</f>
        <v/>
      </c>
      <c r="AH405" s="11" t="str">
        <f>IF(OR(B405="",V405=""),"",V405-B405)</f>
        <v/>
      </c>
      <c r="AI405" s="16" t="str">
        <f>IF(P405="","",P405-WEEKDAY(P405,3))</f>
        <v/>
      </c>
      <c r="AJ405" s="23" t="str">
        <f>IF(P405="","",DATE(YEAR(P405),MONTH(P405),1))</f>
        <v/>
      </c>
    </row>
    <row r="406">
      <c r="A406" s="21"/>
      <c r="B406" s="14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14"/>
      <c r="Q406" s="21"/>
      <c r="R406" s="21"/>
      <c r="S406" s="21"/>
      <c r="T406" s="21"/>
      <c r="U406" s="21"/>
      <c r="V406" s="14"/>
      <c r="W406" s="22"/>
      <c r="X406" s="14"/>
      <c r="Y406" s="11" t="str">
        <f>IF(V406="","",IF(X406&lt;&gt;"",IF(X406-V406&lt;30,"No","Sí"),IF(TODAY()-V406&gt;=30,"Sí","En curso")))</f>
        <v/>
      </c>
      <c r="Z406" s="14"/>
      <c r="AA406" s="21"/>
      <c r="AB406" s="14"/>
      <c r="AC406" s="21"/>
      <c r="AD406" s="21"/>
      <c r="AE406" s="7"/>
      <c r="AF406" s="11" t="str">
        <f>IF(OR(AC406&lt;&gt;"Abierto",Z406=""),"",TODAY()-Z406)</f>
        <v/>
      </c>
      <c r="AG406" s="11" t="str">
        <f>IF(AC406&lt;&gt;"Abierto","",IF(AB406="","Sin siguiente acción",IF(AB406&lt;TODAY(),"Vencido",IF(AB406=TODAY(),"Hoy","En tiempo"))))</f>
        <v/>
      </c>
      <c r="AH406" s="11" t="str">
        <f>IF(OR(B406="",V406=""),"",V406-B406)</f>
        <v/>
      </c>
      <c r="AI406" s="16" t="str">
        <f>IF(P406="","",P406-WEEKDAY(P406,3))</f>
        <v/>
      </c>
      <c r="AJ406" s="23" t="str">
        <f>IF(P406="","",DATE(YEAR(P406),MONTH(P406),1))</f>
        <v/>
      </c>
    </row>
    <row r="407">
      <c r="A407" s="21"/>
      <c r="B407" s="14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14"/>
      <c r="Q407" s="21"/>
      <c r="R407" s="21"/>
      <c r="S407" s="21"/>
      <c r="T407" s="21"/>
      <c r="U407" s="21"/>
      <c r="V407" s="14"/>
      <c r="W407" s="22"/>
      <c r="X407" s="14"/>
      <c r="Y407" s="11" t="str">
        <f>IF(V407="","",IF(X407&lt;&gt;"",IF(X407-V407&lt;30,"No","Sí"),IF(TODAY()-V407&gt;=30,"Sí","En curso")))</f>
        <v/>
      </c>
      <c r="Z407" s="14"/>
      <c r="AA407" s="21"/>
      <c r="AB407" s="14"/>
      <c r="AC407" s="21"/>
      <c r="AD407" s="21"/>
      <c r="AE407" s="7"/>
      <c r="AF407" s="11" t="str">
        <f>IF(OR(AC407&lt;&gt;"Abierto",Z407=""),"",TODAY()-Z407)</f>
        <v/>
      </c>
      <c r="AG407" s="11" t="str">
        <f>IF(AC407&lt;&gt;"Abierto","",IF(AB407="","Sin siguiente acción",IF(AB407&lt;TODAY(),"Vencido",IF(AB407=TODAY(),"Hoy","En tiempo"))))</f>
        <v/>
      </c>
      <c r="AH407" s="11" t="str">
        <f>IF(OR(B407="",V407=""),"",V407-B407)</f>
        <v/>
      </c>
      <c r="AI407" s="16" t="str">
        <f>IF(P407="","",P407-WEEKDAY(P407,3))</f>
        <v/>
      </c>
      <c r="AJ407" s="23" t="str">
        <f>IF(P407="","",DATE(YEAR(P407),MONTH(P407),1))</f>
        <v/>
      </c>
    </row>
    <row r="408">
      <c r="A408" s="21"/>
      <c r="B408" s="14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14"/>
      <c r="Q408" s="21"/>
      <c r="R408" s="21"/>
      <c r="S408" s="21"/>
      <c r="T408" s="21"/>
      <c r="U408" s="21"/>
      <c r="V408" s="14"/>
      <c r="W408" s="22"/>
      <c r="X408" s="14"/>
      <c r="Y408" s="11" t="str">
        <f>IF(V408="","",IF(X408&lt;&gt;"",IF(X408-V408&lt;30,"No","Sí"),IF(TODAY()-V408&gt;=30,"Sí","En curso")))</f>
        <v/>
      </c>
      <c r="Z408" s="14"/>
      <c r="AA408" s="21"/>
      <c r="AB408" s="14"/>
      <c r="AC408" s="21"/>
      <c r="AD408" s="21"/>
      <c r="AE408" s="7"/>
      <c r="AF408" s="11" t="str">
        <f>IF(OR(AC408&lt;&gt;"Abierto",Z408=""),"",TODAY()-Z408)</f>
        <v/>
      </c>
      <c r="AG408" s="11" t="str">
        <f>IF(AC408&lt;&gt;"Abierto","",IF(AB408="","Sin siguiente acción",IF(AB408&lt;TODAY(),"Vencido",IF(AB408=TODAY(),"Hoy","En tiempo"))))</f>
        <v/>
      </c>
      <c r="AH408" s="11" t="str">
        <f>IF(OR(B408="",V408=""),"",V408-B408)</f>
        <v/>
      </c>
      <c r="AI408" s="16" t="str">
        <f>IF(P408="","",P408-WEEKDAY(P408,3))</f>
        <v/>
      </c>
      <c r="AJ408" s="23" t="str">
        <f>IF(P408="","",DATE(YEAR(P408),MONTH(P408),1))</f>
        <v/>
      </c>
    </row>
    <row r="409">
      <c r="A409" s="21"/>
      <c r="B409" s="14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14"/>
      <c r="Q409" s="21"/>
      <c r="R409" s="21"/>
      <c r="S409" s="21"/>
      <c r="T409" s="21"/>
      <c r="U409" s="21"/>
      <c r="V409" s="14"/>
      <c r="W409" s="22"/>
      <c r="X409" s="14"/>
      <c r="Y409" s="11" t="str">
        <f>IF(V409="","",IF(X409&lt;&gt;"",IF(X409-V409&lt;30,"No","Sí"),IF(TODAY()-V409&gt;=30,"Sí","En curso")))</f>
        <v/>
      </c>
      <c r="Z409" s="14"/>
      <c r="AA409" s="21"/>
      <c r="AB409" s="14"/>
      <c r="AC409" s="21"/>
      <c r="AD409" s="21"/>
      <c r="AE409" s="7"/>
      <c r="AF409" s="11" t="str">
        <f>IF(OR(AC409&lt;&gt;"Abierto",Z409=""),"",TODAY()-Z409)</f>
        <v/>
      </c>
      <c r="AG409" s="11" t="str">
        <f>IF(AC409&lt;&gt;"Abierto","",IF(AB409="","Sin siguiente acción",IF(AB409&lt;TODAY(),"Vencido",IF(AB409=TODAY(),"Hoy","En tiempo"))))</f>
        <v/>
      </c>
      <c r="AH409" s="11" t="str">
        <f>IF(OR(B409="",V409=""),"",V409-B409)</f>
        <v/>
      </c>
      <c r="AI409" s="16" t="str">
        <f>IF(P409="","",P409-WEEKDAY(P409,3))</f>
        <v/>
      </c>
      <c r="AJ409" s="23" t="str">
        <f>IF(P409="","",DATE(YEAR(P409),MONTH(P409),1))</f>
        <v/>
      </c>
    </row>
    <row r="410">
      <c r="A410" s="21"/>
      <c r="B410" s="14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14"/>
      <c r="Q410" s="21"/>
      <c r="R410" s="21"/>
      <c r="S410" s="21"/>
      <c r="T410" s="21"/>
      <c r="U410" s="21"/>
      <c r="V410" s="14"/>
      <c r="W410" s="22"/>
      <c r="X410" s="14"/>
      <c r="Y410" s="11" t="str">
        <f>IF(V410="","",IF(X410&lt;&gt;"",IF(X410-V410&lt;30,"No","Sí"),IF(TODAY()-V410&gt;=30,"Sí","En curso")))</f>
        <v/>
      </c>
      <c r="Z410" s="14"/>
      <c r="AA410" s="21"/>
      <c r="AB410" s="14"/>
      <c r="AC410" s="21"/>
      <c r="AD410" s="21"/>
      <c r="AE410" s="7"/>
      <c r="AF410" s="11" t="str">
        <f>IF(OR(AC410&lt;&gt;"Abierto",Z410=""),"",TODAY()-Z410)</f>
        <v/>
      </c>
      <c r="AG410" s="11" t="str">
        <f>IF(AC410&lt;&gt;"Abierto","",IF(AB410="","Sin siguiente acción",IF(AB410&lt;TODAY(),"Vencido",IF(AB410=TODAY(),"Hoy","En tiempo"))))</f>
        <v/>
      </c>
      <c r="AH410" s="11" t="str">
        <f>IF(OR(B410="",V410=""),"",V410-B410)</f>
        <v/>
      </c>
      <c r="AI410" s="16" t="str">
        <f>IF(P410="","",P410-WEEKDAY(P410,3))</f>
        <v/>
      </c>
      <c r="AJ410" s="23" t="str">
        <f>IF(P410="","",DATE(YEAR(P410),MONTH(P410),1))</f>
        <v/>
      </c>
    </row>
    <row r="411">
      <c r="A411" s="21"/>
      <c r="B411" s="14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14"/>
      <c r="Q411" s="21"/>
      <c r="R411" s="21"/>
      <c r="S411" s="21"/>
      <c r="T411" s="21"/>
      <c r="U411" s="21"/>
      <c r="V411" s="14"/>
      <c r="W411" s="22"/>
      <c r="X411" s="14"/>
      <c r="Y411" s="11" t="str">
        <f>IF(V411="","",IF(X411&lt;&gt;"",IF(X411-V411&lt;30,"No","Sí"),IF(TODAY()-V411&gt;=30,"Sí","En curso")))</f>
        <v/>
      </c>
      <c r="Z411" s="14"/>
      <c r="AA411" s="21"/>
      <c r="AB411" s="14"/>
      <c r="AC411" s="21"/>
      <c r="AD411" s="21"/>
      <c r="AE411" s="7"/>
      <c r="AF411" s="11" t="str">
        <f>IF(OR(AC411&lt;&gt;"Abierto",Z411=""),"",TODAY()-Z411)</f>
        <v/>
      </c>
      <c r="AG411" s="11" t="str">
        <f>IF(AC411&lt;&gt;"Abierto","",IF(AB411="","Sin siguiente acción",IF(AB411&lt;TODAY(),"Vencido",IF(AB411=TODAY(),"Hoy","En tiempo"))))</f>
        <v/>
      </c>
      <c r="AH411" s="11" t="str">
        <f>IF(OR(B411="",V411=""),"",V411-B411)</f>
        <v/>
      </c>
      <c r="AI411" s="16" t="str">
        <f>IF(P411="","",P411-WEEKDAY(P411,3))</f>
        <v/>
      </c>
      <c r="AJ411" s="23" t="str">
        <f>IF(P411="","",DATE(YEAR(P411),MONTH(P411),1))</f>
        <v/>
      </c>
    </row>
    <row r="412">
      <c r="A412" s="21"/>
      <c r="B412" s="14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14"/>
      <c r="Q412" s="21"/>
      <c r="R412" s="21"/>
      <c r="S412" s="21"/>
      <c r="T412" s="21"/>
      <c r="U412" s="21"/>
      <c r="V412" s="14"/>
      <c r="W412" s="22"/>
      <c r="X412" s="14"/>
      <c r="Y412" s="11" t="str">
        <f>IF(V412="","",IF(X412&lt;&gt;"",IF(X412-V412&lt;30,"No","Sí"),IF(TODAY()-V412&gt;=30,"Sí","En curso")))</f>
        <v/>
      </c>
      <c r="Z412" s="14"/>
      <c r="AA412" s="21"/>
      <c r="AB412" s="14"/>
      <c r="AC412" s="21"/>
      <c r="AD412" s="21"/>
      <c r="AE412" s="7"/>
      <c r="AF412" s="11" t="str">
        <f>IF(OR(AC412&lt;&gt;"Abierto",Z412=""),"",TODAY()-Z412)</f>
        <v/>
      </c>
      <c r="AG412" s="11" t="str">
        <f>IF(AC412&lt;&gt;"Abierto","",IF(AB412="","Sin siguiente acción",IF(AB412&lt;TODAY(),"Vencido",IF(AB412=TODAY(),"Hoy","En tiempo"))))</f>
        <v/>
      </c>
      <c r="AH412" s="11" t="str">
        <f>IF(OR(B412="",V412=""),"",V412-B412)</f>
        <v/>
      </c>
      <c r="AI412" s="16" t="str">
        <f>IF(P412="","",P412-WEEKDAY(P412,3))</f>
        <v/>
      </c>
      <c r="AJ412" s="23" t="str">
        <f>IF(P412="","",DATE(YEAR(P412),MONTH(P412),1))</f>
        <v/>
      </c>
    </row>
    <row r="413">
      <c r="A413" s="21"/>
      <c r="B413" s="14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14"/>
      <c r="Q413" s="21"/>
      <c r="R413" s="21"/>
      <c r="S413" s="21"/>
      <c r="T413" s="21"/>
      <c r="U413" s="21"/>
      <c r="V413" s="14"/>
      <c r="W413" s="22"/>
      <c r="X413" s="14"/>
      <c r="Y413" s="11" t="str">
        <f>IF(V413="","",IF(X413&lt;&gt;"",IF(X413-V413&lt;30,"No","Sí"),IF(TODAY()-V413&gt;=30,"Sí","En curso")))</f>
        <v/>
      </c>
      <c r="Z413" s="14"/>
      <c r="AA413" s="21"/>
      <c r="AB413" s="14"/>
      <c r="AC413" s="21"/>
      <c r="AD413" s="21"/>
      <c r="AE413" s="7"/>
      <c r="AF413" s="11" t="str">
        <f>IF(OR(AC413&lt;&gt;"Abierto",Z413=""),"",TODAY()-Z413)</f>
        <v/>
      </c>
      <c r="AG413" s="11" t="str">
        <f>IF(AC413&lt;&gt;"Abierto","",IF(AB413="","Sin siguiente acción",IF(AB413&lt;TODAY(),"Vencido",IF(AB413=TODAY(),"Hoy","En tiempo"))))</f>
        <v/>
      </c>
      <c r="AH413" s="11" t="str">
        <f>IF(OR(B413="",V413=""),"",V413-B413)</f>
        <v/>
      </c>
      <c r="AI413" s="16" t="str">
        <f>IF(P413="","",P413-WEEKDAY(P413,3))</f>
        <v/>
      </c>
      <c r="AJ413" s="23" t="str">
        <f>IF(P413="","",DATE(YEAR(P413),MONTH(P413),1))</f>
        <v/>
      </c>
    </row>
    <row r="414">
      <c r="A414" s="21"/>
      <c r="B414" s="14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14"/>
      <c r="Q414" s="21"/>
      <c r="R414" s="21"/>
      <c r="S414" s="21"/>
      <c r="T414" s="21"/>
      <c r="U414" s="21"/>
      <c r="V414" s="14"/>
      <c r="W414" s="22"/>
      <c r="X414" s="14"/>
      <c r="Y414" s="11" t="str">
        <f>IF(V414="","",IF(X414&lt;&gt;"",IF(X414-V414&lt;30,"No","Sí"),IF(TODAY()-V414&gt;=30,"Sí","En curso")))</f>
        <v/>
      </c>
      <c r="Z414" s="14"/>
      <c r="AA414" s="21"/>
      <c r="AB414" s="14"/>
      <c r="AC414" s="21"/>
      <c r="AD414" s="21"/>
      <c r="AE414" s="7"/>
      <c r="AF414" s="11" t="str">
        <f>IF(OR(AC414&lt;&gt;"Abierto",Z414=""),"",TODAY()-Z414)</f>
        <v/>
      </c>
      <c r="AG414" s="11" t="str">
        <f>IF(AC414&lt;&gt;"Abierto","",IF(AB414="","Sin siguiente acción",IF(AB414&lt;TODAY(),"Vencido",IF(AB414=TODAY(),"Hoy","En tiempo"))))</f>
        <v/>
      </c>
      <c r="AH414" s="11" t="str">
        <f>IF(OR(B414="",V414=""),"",V414-B414)</f>
        <v/>
      </c>
      <c r="AI414" s="16" t="str">
        <f>IF(P414="","",P414-WEEKDAY(P414,3))</f>
        <v/>
      </c>
      <c r="AJ414" s="23" t="str">
        <f>IF(P414="","",DATE(YEAR(P414),MONTH(P414),1))</f>
        <v/>
      </c>
    </row>
    <row r="415">
      <c r="A415" s="21"/>
      <c r="B415" s="14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14"/>
      <c r="Q415" s="21"/>
      <c r="R415" s="21"/>
      <c r="S415" s="21"/>
      <c r="T415" s="21"/>
      <c r="U415" s="21"/>
      <c r="V415" s="14"/>
      <c r="W415" s="22"/>
      <c r="X415" s="14"/>
      <c r="Y415" s="11" t="str">
        <f>IF(V415="","",IF(X415&lt;&gt;"",IF(X415-V415&lt;30,"No","Sí"),IF(TODAY()-V415&gt;=30,"Sí","En curso")))</f>
        <v/>
      </c>
      <c r="Z415" s="14"/>
      <c r="AA415" s="21"/>
      <c r="AB415" s="14"/>
      <c r="AC415" s="21"/>
      <c r="AD415" s="21"/>
      <c r="AE415" s="7"/>
      <c r="AF415" s="11" t="str">
        <f>IF(OR(AC415&lt;&gt;"Abierto",Z415=""),"",TODAY()-Z415)</f>
        <v/>
      </c>
      <c r="AG415" s="11" t="str">
        <f>IF(AC415&lt;&gt;"Abierto","",IF(AB415="","Sin siguiente acción",IF(AB415&lt;TODAY(),"Vencido",IF(AB415=TODAY(),"Hoy","En tiempo"))))</f>
        <v/>
      </c>
      <c r="AH415" s="11" t="str">
        <f>IF(OR(B415="",V415=""),"",V415-B415)</f>
        <v/>
      </c>
      <c r="AI415" s="16" t="str">
        <f>IF(P415="","",P415-WEEKDAY(P415,3))</f>
        <v/>
      </c>
      <c r="AJ415" s="23" t="str">
        <f>IF(P415="","",DATE(YEAR(P415),MONTH(P415),1))</f>
        <v/>
      </c>
    </row>
    <row r="416">
      <c r="A416" s="21"/>
      <c r="B416" s="14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14"/>
      <c r="Q416" s="21"/>
      <c r="R416" s="21"/>
      <c r="S416" s="21"/>
      <c r="T416" s="21"/>
      <c r="U416" s="21"/>
      <c r="V416" s="14"/>
      <c r="W416" s="22"/>
      <c r="X416" s="14"/>
      <c r="Y416" s="11" t="str">
        <f>IF(V416="","",IF(X416&lt;&gt;"",IF(X416-V416&lt;30,"No","Sí"),IF(TODAY()-V416&gt;=30,"Sí","En curso")))</f>
        <v/>
      </c>
      <c r="Z416" s="14"/>
      <c r="AA416" s="21"/>
      <c r="AB416" s="14"/>
      <c r="AC416" s="21"/>
      <c r="AD416" s="21"/>
      <c r="AE416" s="7"/>
      <c r="AF416" s="11" t="str">
        <f>IF(OR(AC416&lt;&gt;"Abierto",Z416=""),"",TODAY()-Z416)</f>
        <v/>
      </c>
      <c r="AG416" s="11" t="str">
        <f>IF(AC416&lt;&gt;"Abierto","",IF(AB416="","Sin siguiente acción",IF(AB416&lt;TODAY(),"Vencido",IF(AB416=TODAY(),"Hoy","En tiempo"))))</f>
        <v/>
      </c>
      <c r="AH416" s="11" t="str">
        <f>IF(OR(B416="",V416=""),"",V416-B416)</f>
        <v/>
      </c>
      <c r="AI416" s="16" t="str">
        <f>IF(P416="","",P416-WEEKDAY(P416,3))</f>
        <v/>
      </c>
      <c r="AJ416" s="23" t="str">
        <f>IF(P416="","",DATE(YEAR(P416),MONTH(P416),1))</f>
        <v/>
      </c>
    </row>
    <row r="417">
      <c r="A417" s="21"/>
      <c r="B417" s="14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14"/>
      <c r="Q417" s="21"/>
      <c r="R417" s="21"/>
      <c r="S417" s="21"/>
      <c r="T417" s="21"/>
      <c r="U417" s="21"/>
      <c r="V417" s="14"/>
      <c r="W417" s="22"/>
      <c r="X417" s="14"/>
      <c r="Y417" s="11" t="str">
        <f>IF(V417="","",IF(X417&lt;&gt;"",IF(X417-V417&lt;30,"No","Sí"),IF(TODAY()-V417&gt;=30,"Sí","En curso")))</f>
        <v/>
      </c>
      <c r="Z417" s="14"/>
      <c r="AA417" s="21"/>
      <c r="AB417" s="14"/>
      <c r="AC417" s="21"/>
      <c r="AD417" s="21"/>
      <c r="AE417" s="7"/>
      <c r="AF417" s="11" t="str">
        <f>IF(OR(AC417&lt;&gt;"Abierto",Z417=""),"",TODAY()-Z417)</f>
        <v/>
      </c>
      <c r="AG417" s="11" t="str">
        <f>IF(AC417&lt;&gt;"Abierto","",IF(AB417="","Sin siguiente acción",IF(AB417&lt;TODAY(),"Vencido",IF(AB417=TODAY(),"Hoy","En tiempo"))))</f>
        <v/>
      </c>
      <c r="AH417" s="11" t="str">
        <f>IF(OR(B417="",V417=""),"",V417-B417)</f>
        <v/>
      </c>
      <c r="AI417" s="16" t="str">
        <f>IF(P417="","",P417-WEEKDAY(P417,3))</f>
        <v/>
      </c>
      <c r="AJ417" s="23" t="str">
        <f>IF(P417="","",DATE(YEAR(P417),MONTH(P417),1))</f>
        <v/>
      </c>
    </row>
    <row r="418">
      <c r="A418" s="21"/>
      <c r="B418" s="14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14"/>
      <c r="Q418" s="21"/>
      <c r="R418" s="21"/>
      <c r="S418" s="21"/>
      <c r="T418" s="21"/>
      <c r="U418" s="21"/>
      <c r="V418" s="14"/>
      <c r="W418" s="22"/>
      <c r="X418" s="14"/>
      <c r="Y418" s="11" t="str">
        <f>IF(V418="","",IF(X418&lt;&gt;"",IF(X418-V418&lt;30,"No","Sí"),IF(TODAY()-V418&gt;=30,"Sí","En curso")))</f>
        <v/>
      </c>
      <c r="Z418" s="14"/>
      <c r="AA418" s="21"/>
      <c r="AB418" s="14"/>
      <c r="AC418" s="21"/>
      <c r="AD418" s="21"/>
      <c r="AE418" s="7"/>
      <c r="AF418" s="11" t="str">
        <f>IF(OR(AC418&lt;&gt;"Abierto",Z418=""),"",TODAY()-Z418)</f>
        <v/>
      </c>
      <c r="AG418" s="11" t="str">
        <f>IF(AC418&lt;&gt;"Abierto","",IF(AB418="","Sin siguiente acción",IF(AB418&lt;TODAY(),"Vencido",IF(AB418=TODAY(),"Hoy","En tiempo"))))</f>
        <v/>
      </c>
      <c r="AH418" s="11" t="str">
        <f>IF(OR(B418="",V418=""),"",V418-B418)</f>
        <v/>
      </c>
      <c r="AI418" s="16" t="str">
        <f>IF(P418="","",P418-WEEKDAY(P418,3))</f>
        <v/>
      </c>
      <c r="AJ418" s="23" t="str">
        <f>IF(P418="","",DATE(YEAR(P418),MONTH(P418),1))</f>
        <v/>
      </c>
    </row>
    <row r="419">
      <c r="A419" s="21"/>
      <c r="B419" s="14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14"/>
      <c r="Q419" s="21"/>
      <c r="R419" s="21"/>
      <c r="S419" s="21"/>
      <c r="T419" s="21"/>
      <c r="U419" s="21"/>
      <c r="V419" s="14"/>
      <c r="W419" s="22"/>
      <c r="X419" s="14"/>
      <c r="Y419" s="11" t="str">
        <f>IF(V419="","",IF(X419&lt;&gt;"",IF(X419-V419&lt;30,"No","Sí"),IF(TODAY()-V419&gt;=30,"Sí","En curso")))</f>
        <v/>
      </c>
      <c r="Z419" s="14"/>
      <c r="AA419" s="21"/>
      <c r="AB419" s="14"/>
      <c r="AC419" s="21"/>
      <c r="AD419" s="21"/>
      <c r="AE419" s="7"/>
      <c r="AF419" s="11" t="str">
        <f>IF(OR(AC419&lt;&gt;"Abierto",Z419=""),"",TODAY()-Z419)</f>
        <v/>
      </c>
      <c r="AG419" s="11" t="str">
        <f>IF(AC419&lt;&gt;"Abierto","",IF(AB419="","Sin siguiente acción",IF(AB419&lt;TODAY(),"Vencido",IF(AB419=TODAY(),"Hoy","En tiempo"))))</f>
        <v/>
      </c>
      <c r="AH419" s="11" t="str">
        <f>IF(OR(B419="",V419=""),"",V419-B419)</f>
        <v/>
      </c>
      <c r="AI419" s="16" t="str">
        <f>IF(P419="","",P419-WEEKDAY(P419,3))</f>
        <v/>
      </c>
      <c r="AJ419" s="23" t="str">
        <f>IF(P419="","",DATE(YEAR(P419),MONTH(P419),1))</f>
        <v/>
      </c>
    </row>
    <row r="420">
      <c r="A420" s="21"/>
      <c r="B420" s="14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14"/>
      <c r="Q420" s="21"/>
      <c r="R420" s="21"/>
      <c r="S420" s="21"/>
      <c r="T420" s="21"/>
      <c r="U420" s="21"/>
      <c r="V420" s="14"/>
      <c r="W420" s="22"/>
      <c r="X420" s="14"/>
      <c r="Y420" s="11" t="str">
        <f>IF(V420="","",IF(X420&lt;&gt;"",IF(X420-V420&lt;30,"No","Sí"),IF(TODAY()-V420&gt;=30,"Sí","En curso")))</f>
        <v/>
      </c>
      <c r="Z420" s="14"/>
      <c r="AA420" s="21"/>
      <c r="AB420" s="14"/>
      <c r="AC420" s="21"/>
      <c r="AD420" s="21"/>
      <c r="AE420" s="7"/>
      <c r="AF420" s="11" t="str">
        <f>IF(OR(AC420&lt;&gt;"Abierto",Z420=""),"",TODAY()-Z420)</f>
        <v/>
      </c>
      <c r="AG420" s="11" t="str">
        <f>IF(AC420&lt;&gt;"Abierto","",IF(AB420="","Sin siguiente acción",IF(AB420&lt;TODAY(),"Vencido",IF(AB420=TODAY(),"Hoy","En tiempo"))))</f>
        <v/>
      </c>
      <c r="AH420" s="11" t="str">
        <f>IF(OR(B420="",V420=""),"",V420-B420)</f>
        <v/>
      </c>
      <c r="AI420" s="16" t="str">
        <f>IF(P420="","",P420-WEEKDAY(P420,3))</f>
        <v/>
      </c>
      <c r="AJ420" s="23" t="str">
        <f>IF(P420="","",DATE(YEAR(P420),MONTH(P420),1))</f>
        <v/>
      </c>
    </row>
    <row r="421">
      <c r="A421" s="21"/>
      <c r="B421" s="14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14"/>
      <c r="Q421" s="21"/>
      <c r="R421" s="21"/>
      <c r="S421" s="21"/>
      <c r="T421" s="21"/>
      <c r="U421" s="21"/>
      <c r="V421" s="14"/>
      <c r="W421" s="22"/>
      <c r="X421" s="14"/>
      <c r="Y421" s="11" t="str">
        <f>IF(V421="","",IF(X421&lt;&gt;"",IF(X421-V421&lt;30,"No","Sí"),IF(TODAY()-V421&gt;=30,"Sí","En curso")))</f>
        <v/>
      </c>
      <c r="Z421" s="14"/>
      <c r="AA421" s="21"/>
      <c r="AB421" s="14"/>
      <c r="AC421" s="21"/>
      <c r="AD421" s="21"/>
      <c r="AE421" s="7"/>
      <c r="AF421" s="11" t="str">
        <f>IF(OR(AC421&lt;&gt;"Abierto",Z421=""),"",TODAY()-Z421)</f>
        <v/>
      </c>
      <c r="AG421" s="11" t="str">
        <f>IF(AC421&lt;&gt;"Abierto","",IF(AB421="","Sin siguiente acción",IF(AB421&lt;TODAY(),"Vencido",IF(AB421=TODAY(),"Hoy","En tiempo"))))</f>
        <v/>
      </c>
      <c r="AH421" s="11" t="str">
        <f>IF(OR(B421="",V421=""),"",V421-B421)</f>
        <v/>
      </c>
      <c r="AI421" s="16" t="str">
        <f>IF(P421="","",P421-WEEKDAY(P421,3))</f>
        <v/>
      </c>
      <c r="AJ421" s="23" t="str">
        <f>IF(P421="","",DATE(YEAR(P421),MONTH(P421),1))</f>
        <v/>
      </c>
    </row>
    <row r="422">
      <c r="A422" s="21"/>
      <c r="B422" s="14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14"/>
      <c r="Q422" s="21"/>
      <c r="R422" s="21"/>
      <c r="S422" s="21"/>
      <c r="T422" s="21"/>
      <c r="U422" s="21"/>
      <c r="V422" s="14"/>
      <c r="W422" s="22"/>
      <c r="X422" s="14"/>
      <c r="Y422" s="11" t="str">
        <f>IF(V422="","",IF(X422&lt;&gt;"",IF(X422-V422&lt;30,"No","Sí"),IF(TODAY()-V422&gt;=30,"Sí","En curso")))</f>
        <v/>
      </c>
      <c r="Z422" s="14"/>
      <c r="AA422" s="21"/>
      <c r="AB422" s="14"/>
      <c r="AC422" s="21"/>
      <c r="AD422" s="21"/>
      <c r="AE422" s="7"/>
      <c r="AF422" s="11" t="str">
        <f>IF(OR(AC422&lt;&gt;"Abierto",Z422=""),"",TODAY()-Z422)</f>
        <v/>
      </c>
      <c r="AG422" s="11" t="str">
        <f>IF(AC422&lt;&gt;"Abierto","",IF(AB422="","Sin siguiente acción",IF(AB422&lt;TODAY(),"Vencido",IF(AB422=TODAY(),"Hoy","En tiempo"))))</f>
        <v/>
      </c>
      <c r="AH422" s="11" t="str">
        <f>IF(OR(B422="",V422=""),"",V422-B422)</f>
        <v/>
      </c>
      <c r="AI422" s="16" t="str">
        <f>IF(P422="","",P422-WEEKDAY(P422,3))</f>
        <v/>
      </c>
      <c r="AJ422" s="23" t="str">
        <f>IF(P422="","",DATE(YEAR(P422),MONTH(P422),1))</f>
        <v/>
      </c>
    </row>
    <row r="423">
      <c r="A423" s="21"/>
      <c r="B423" s="14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14"/>
      <c r="Q423" s="21"/>
      <c r="R423" s="21"/>
      <c r="S423" s="21"/>
      <c r="T423" s="21"/>
      <c r="U423" s="21"/>
      <c r="V423" s="14"/>
      <c r="W423" s="22"/>
      <c r="X423" s="14"/>
      <c r="Y423" s="11" t="str">
        <f>IF(V423="","",IF(X423&lt;&gt;"",IF(X423-V423&lt;30,"No","Sí"),IF(TODAY()-V423&gt;=30,"Sí","En curso")))</f>
        <v/>
      </c>
      <c r="Z423" s="14"/>
      <c r="AA423" s="21"/>
      <c r="AB423" s="14"/>
      <c r="AC423" s="21"/>
      <c r="AD423" s="21"/>
      <c r="AE423" s="7"/>
      <c r="AF423" s="11" t="str">
        <f>IF(OR(AC423&lt;&gt;"Abierto",Z423=""),"",TODAY()-Z423)</f>
        <v/>
      </c>
      <c r="AG423" s="11" t="str">
        <f>IF(AC423&lt;&gt;"Abierto","",IF(AB423="","Sin siguiente acción",IF(AB423&lt;TODAY(),"Vencido",IF(AB423=TODAY(),"Hoy","En tiempo"))))</f>
        <v/>
      </c>
      <c r="AH423" s="11" t="str">
        <f>IF(OR(B423="",V423=""),"",V423-B423)</f>
        <v/>
      </c>
      <c r="AI423" s="16" t="str">
        <f>IF(P423="","",P423-WEEKDAY(P423,3))</f>
        <v/>
      </c>
      <c r="AJ423" s="23" t="str">
        <f>IF(P423="","",DATE(YEAR(P423),MONTH(P423),1))</f>
        <v/>
      </c>
    </row>
    <row r="424">
      <c r="A424" s="21"/>
      <c r="B424" s="14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14"/>
      <c r="Q424" s="21"/>
      <c r="R424" s="21"/>
      <c r="S424" s="21"/>
      <c r="T424" s="21"/>
      <c r="U424" s="21"/>
      <c r="V424" s="14"/>
      <c r="W424" s="22"/>
      <c r="X424" s="14"/>
      <c r="Y424" s="11" t="str">
        <f>IF(V424="","",IF(X424&lt;&gt;"",IF(X424-V424&lt;30,"No","Sí"),IF(TODAY()-V424&gt;=30,"Sí","En curso")))</f>
        <v/>
      </c>
      <c r="Z424" s="14"/>
      <c r="AA424" s="21"/>
      <c r="AB424" s="14"/>
      <c r="AC424" s="21"/>
      <c r="AD424" s="21"/>
      <c r="AE424" s="7"/>
      <c r="AF424" s="11" t="str">
        <f>IF(OR(AC424&lt;&gt;"Abierto",Z424=""),"",TODAY()-Z424)</f>
        <v/>
      </c>
      <c r="AG424" s="11" t="str">
        <f>IF(AC424&lt;&gt;"Abierto","",IF(AB424="","Sin siguiente acción",IF(AB424&lt;TODAY(),"Vencido",IF(AB424=TODAY(),"Hoy","En tiempo"))))</f>
        <v/>
      </c>
      <c r="AH424" s="11" t="str">
        <f>IF(OR(B424="",V424=""),"",V424-B424)</f>
        <v/>
      </c>
      <c r="AI424" s="16" t="str">
        <f>IF(P424="","",P424-WEEKDAY(P424,3))</f>
        <v/>
      </c>
      <c r="AJ424" s="23" t="str">
        <f>IF(P424="","",DATE(YEAR(P424),MONTH(P424),1))</f>
        <v/>
      </c>
    </row>
    <row r="425">
      <c r="A425" s="21"/>
      <c r="B425" s="14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14"/>
      <c r="Q425" s="21"/>
      <c r="R425" s="21"/>
      <c r="S425" s="21"/>
      <c r="T425" s="21"/>
      <c r="U425" s="21"/>
      <c r="V425" s="14"/>
      <c r="W425" s="22"/>
      <c r="X425" s="14"/>
      <c r="Y425" s="11" t="str">
        <f>IF(V425="","",IF(X425&lt;&gt;"",IF(X425-V425&lt;30,"No","Sí"),IF(TODAY()-V425&gt;=30,"Sí","En curso")))</f>
        <v/>
      </c>
      <c r="Z425" s="14"/>
      <c r="AA425" s="21"/>
      <c r="AB425" s="14"/>
      <c r="AC425" s="21"/>
      <c r="AD425" s="21"/>
      <c r="AE425" s="7"/>
      <c r="AF425" s="11" t="str">
        <f>IF(OR(AC425&lt;&gt;"Abierto",Z425=""),"",TODAY()-Z425)</f>
        <v/>
      </c>
      <c r="AG425" s="11" t="str">
        <f>IF(AC425&lt;&gt;"Abierto","",IF(AB425="","Sin siguiente acción",IF(AB425&lt;TODAY(),"Vencido",IF(AB425=TODAY(),"Hoy","En tiempo"))))</f>
        <v/>
      </c>
      <c r="AH425" s="11" t="str">
        <f>IF(OR(B425="",V425=""),"",V425-B425)</f>
        <v/>
      </c>
      <c r="AI425" s="16" t="str">
        <f>IF(P425="","",P425-WEEKDAY(P425,3))</f>
        <v/>
      </c>
      <c r="AJ425" s="23" t="str">
        <f>IF(P425="","",DATE(YEAR(P425),MONTH(P425),1))</f>
        <v/>
      </c>
    </row>
    <row r="426">
      <c r="A426" s="21"/>
      <c r="B426" s="14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14"/>
      <c r="Q426" s="21"/>
      <c r="R426" s="21"/>
      <c r="S426" s="21"/>
      <c r="T426" s="21"/>
      <c r="U426" s="21"/>
      <c r="V426" s="14"/>
      <c r="W426" s="22"/>
      <c r="X426" s="14"/>
      <c r="Y426" s="11" t="str">
        <f>IF(V426="","",IF(X426&lt;&gt;"",IF(X426-V426&lt;30,"No","Sí"),IF(TODAY()-V426&gt;=30,"Sí","En curso")))</f>
        <v/>
      </c>
      <c r="Z426" s="14"/>
      <c r="AA426" s="21"/>
      <c r="AB426" s="14"/>
      <c r="AC426" s="21"/>
      <c r="AD426" s="21"/>
      <c r="AE426" s="7"/>
      <c r="AF426" s="11" t="str">
        <f>IF(OR(AC426&lt;&gt;"Abierto",Z426=""),"",TODAY()-Z426)</f>
        <v/>
      </c>
      <c r="AG426" s="11" t="str">
        <f>IF(AC426&lt;&gt;"Abierto","",IF(AB426="","Sin siguiente acción",IF(AB426&lt;TODAY(),"Vencido",IF(AB426=TODAY(),"Hoy","En tiempo"))))</f>
        <v/>
      </c>
      <c r="AH426" s="11" t="str">
        <f>IF(OR(B426="",V426=""),"",V426-B426)</f>
        <v/>
      </c>
      <c r="AI426" s="16" t="str">
        <f>IF(P426="","",P426-WEEKDAY(P426,3))</f>
        <v/>
      </c>
      <c r="AJ426" s="23" t="str">
        <f>IF(P426="","",DATE(YEAR(P426),MONTH(P426),1))</f>
        <v/>
      </c>
    </row>
    <row r="427">
      <c r="A427" s="21"/>
      <c r="B427" s="14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14"/>
      <c r="Q427" s="21"/>
      <c r="R427" s="21"/>
      <c r="S427" s="21"/>
      <c r="T427" s="21"/>
      <c r="U427" s="21"/>
      <c r="V427" s="14"/>
      <c r="W427" s="22"/>
      <c r="X427" s="14"/>
      <c r="Y427" s="11" t="str">
        <f>IF(V427="","",IF(X427&lt;&gt;"",IF(X427-V427&lt;30,"No","Sí"),IF(TODAY()-V427&gt;=30,"Sí","En curso")))</f>
        <v/>
      </c>
      <c r="Z427" s="14"/>
      <c r="AA427" s="21"/>
      <c r="AB427" s="14"/>
      <c r="AC427" s="21"/>
      <c r="AD427" s="21"/>
      <c r="AE427" s="7"/>
      <c r="AF427" s="11" t="str">
        <f>IF(OR(AC427&lt;&gt;"Abierto",Z427=""),"",TODAY()-Z427)</f>
        <v/>
      </c>
      <c r="AG427" s="11" t="str">
        <f>IF(AC427&lt;&gt;"Abierto","",IF(AB427="","Sin siguiente acción",IF(AB427&lt;TODAY(),"Vencido",IF(AB427=TODAY(),"Hoy","En tiempo"))))</f>
        <v/>
      </c>
      <c r="AH427" s="11" t="str">
        <f>IF(OR(B427="",V427=""),"",V427-B427)</f>
        <v/>
      </c>
      <c r="AI427" s="16" t="str">
        <f>IF(P427="","",P427-WEEKDAY(P427,3))</f>
        <v/>
      </c>
      <c r="AJ427" s="23" t="str">
        <f>IF(P427="","",DATE(YEAR(P427),MONTH(P427),1))</f>
        <v/>
      </c>
    </row>
    <row r="428">
      <c r="A428" s="21"/>
      <c r="B428" s="14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14"/>
      <c r="Q428" s="21"/>
      <c r="R428" s="21"/>
      <c r="S428" s="21"/>
      <c r="T428" s="21"/>
      <c r="U428" s="21"/>
      <c r="V428" s="14"/>
      <c r="W428" s="22"/>
      <c r="X428" s="14"/>
      <c r="Y428" s="11" t="str">
        <f>IF(V428="","",IF(X428&lt;&gt;"",IF(X428-V428&lt;30,"No","Sí"),IF(TODAY()-V428&gt;=30,"Sí","En curso")))</f>
        <v/>
      </c>
      <c r="Z428" s="14"/>
      <c r="AA428" s="21"/>
      <c r="AB428" s="14"/>
      <c r="AC428" s="21"/>
      <c r="AD428" s="21"/>
      <c r="AE428" s="7"/>
      <c r="AF428" s="11" t="str">
        <f>IF(OR(AC428&lt;&gt;"Abierto",Z428=""),"",TODAY()-Z428)</f>
        <v/>
      </c>
      <c r="AG428" s="11" t="str">
        <f>IF(AC428&lt;&gt;"Abierto","",IF(AB428="","Sin siguiente acción",IF(AB428&lt;TODAY(),"Vencido",IF(AB428=TODAY(),"Hoy","En tiempo"))))</f>
        <v/>
      </c>
      <c r="AH428" s="11" t="str">
        <f>IF(OR(B428="",V428=""),"",V428-B428)</f>
        <v/>
      </c>
      <c r="AI428" s="16" t="str">
        <f>IF(P428="","",P428-WEEKDAY(P428,3))</f>
        <v/>
      </c>
      <c r="AJ428" s="23" t="str">
        <f>IF(P428="","",DATE(YEAR(P428),MONTH(P428),1))</f>
        <v/>
      </c>
    </row>
    <row r="429">
      <c r="A429" s="21"/>
      <c r="B429" s="14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14"/>
      <c r="Q429" s="21"/>
      <c r="R429" s="21"/>
      <c r="S429" s="21"/>
      <c r="T429" s="21"/>
      <c r="U429" s="21"/>
      <c r="V429" s="14"/>
      <c r="W429" s="22"/>
      <c r="X429" s="14"/>
      <c r="Y429" s="11" t="str">
        <f>IF(V429="","",IF(X429&lt;&gt;"",IF(X429-V429&lt;30,"No","Sí"),IF(TODAY()-V429&gt;=30,"Sí","En curso")))</f>
        <v/>
      </c>
      <c r="Z429" s="14"/>
      <c r="AA429" s="21"/>
      <c r="AB429" s="14"/>
      <c r="AC429" s="21"/>
      <c r="AD429" s="21"/>
      <c r="AE429" s="7"/>
      <c r="AF429" s="11" t="str">
        <f>IF(OR(AC429&lt;&gt;"Abierto",Z429=""),"",TODAY()-Z429)</f>
        <v/>
      </c>
      <c r="AG429" s="11" t="str">
        <f>IF(AC429&lt;&gt;"Abierto","",IF(AB429="","Sin siguiente acción",IF(AB429&lt;TODAY(),"Vencido",IF(AB429=TODAY(),"Hoy","En tiempo"))))</f>
        <v/>
      </c>
      <c r="AH429" s="11" t="str">
        <f>IF(OR(B429="",V429=""),"",V429-B429)</f>
        <v/>
      </c>
      <c r="AI429" s="16" t="str">
        <f>IF(P429="","",P429-WEEKDAY(P429,3))</f>
        <v/>
      </c>
      <c r="AJ429" s="23" t="str">
        <f>IF(P429="","",DATE(YEAR(P429),MONTH(P429),1))</f>
        <v/>
      </c>
    </row>
    <row r="430">
      <c r="A430" s="21"/>
      <c r="B430" s="14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14"/>
      <c r="Q430" s="21"/>
      <c r="R430" s="21"/>
      <c r="S430" s="21"/>
      <c r="T430" s="21"/>
      <c r="U430" s="21"/>
      <c r="V430" s="14"/>
      <c r="W430" s="22"/>
      <c r="X430" s="14"/>
      <c r="Y430" s="11" t="str">
        <f>IF(V430="","",IF(X430&lt;&gt;"",IF(X430-V430&lt;30,"No","Sí"),IF(TODAY()-V430&gt;=30,"Sí","En curso")))</f>
        <v/>
      </c>
      <c r="Z430" s="14"/>
      <c r="AA430" s="21"/>
      <c r="AB430" s="14"/>
      <c r="AC430" s="21"/>
      <c r="AD430" s="21"/>
      <c r="AE430" s="7"/>
      <c r="AF430" s="11" t="str">
        <f>IF(OR(AC430&lt;&gt;"Abierto",Z430=""),"",TODAY()-Z430)</f>
        <v/>
      </c>
      <c r="AG430" s="11" t="str">
        <f>IF(AC430&lt;&gt;"Abierto","",IF(AB430="","Sin siguiente acción",IF(AB430&lt;TODAY(),"Vencido",IF(AB430=TODAY(),"Hoy","En tiempo"))))</f>
        <v/>
      </c>
      <c r="AH430" s="11" t="str">
        <f>IF(OR(B430="",V430=""),"",V430-B430)</f>
        <v/>
      </c>
      <c r="AI430" s="16" t="str">
        <f>IF(P430="","",P430-WEEKDAY(P430,3))</f>
        <v/>
      </c>
      <c r="AJ430" s="23" t="str">
        <f>IF(P430="","",DATE(YEAR(P430),MONTH(P430),1))</f>
        <v/>
      </c>
    </row>
    <row r="431">
      <c r="A431" s="21"/>
      <c r="B431" s="14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14"/>
      <c r="Q431" s="21"/>
      <c r="R431" s="21"/>
      <c r="S431" s="21"/>
      <c r="T431" s="21"/>
      <c r="U431" s="21"/>
      <c r="V431" s="14"/>
      <c r="W431" s="22"/>
      <c r="X431" s="14"/>
      <c r="Y431" s="11" t="str">
        <f>IF(V431="","",IF(X431&lt;&gt;"",IF(X431-V431&lt;30,"No","Sí"),IF(TODAY()-V431&gt;=30,"Sí","En curso")))</f>
        <v/>
      </c>
      <c r="Z431" s="14"/>
      <c r="AA431" s="21"/>
      <c r="AB431" s="14"/>
      <c r="AC431" s="21"/>
      <c r="AD431" s="21"/>
      <c r="AE431" s="7"/>
      <c r="AF431" s="11" t="str">
        <f>IF(OR(AC431&lt;&gt;"Abierto",Z431=""),"",TODAY()-Z431)</f>
        <v/>
      </c>
      <c r="AG431" s="11" t="str">
        <f>IF(AC431&lt;&gt;"Abierto","",IF(AB431="","Sin siguiente acción",IF(AB431&lt;TODAY(),"Vencido",IF(AB431=TODAY(),"Hoy","En tiempo"))))</f>
        <v/>
      </c>
      <c r="AH431" s="11" t="str">
        <f>IF(OR(B431="",V431=""),"",V431-B431)</f>
        <v/>
      </c>
      <c r="AI431" s="16" t="str">
        <f>IF(P431="","",P431-WEEKDAY(P431,3))</f>
        <v/>
      </c>
      <c r="AJ431" s="23" t="str">
        <f>IF(P431="","",DATE(YEAR(P431),MONTH(P431),1))</f>
        <v/>
      </c>
    </row>
    <row r="432">
      <c r="A432" s="21"/>
      <c r="B432" s="14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14"/>
      <c r="Q432" s="21"/>
      <c r="R432" s="21"/>
      <c r="S432" s="21"/>
      <c r="T432" s="21"/>
      <c r="U432" s="21"/>
      <c r="V432" s="14"/>
      <c r="W432" s="22"/>
      <c r="X432" s="14"/>
      <c r="Y432" s="11" t="str">
        <f>IF(V432="","",IF(X432&lt;&gt;"",IF(X432-V432&lt;30,"No","Sí"),IF(TODAY()-V432&gt;=30,"Sí","En curso")))</f>
        <v/>
      </c>
      <c r="Z432" s="14"/>
      <c r="AA432" s="21"/>
      <c r="AB432" s="14"/>
      <c r="AC432" s="21"/>
      <c r="AD432" s="21"/>
      <c r="AE432" s="7"/>
      <c r="AF432" s="11" t="str">
        <f>IF(OR(AC432&lt;&gt;"Abierto",Z432=""),"",TODAY()-Z432)</f>
        <v/>
      </c>
      <c r="AG432" s="11" t="str">
        <f>IF(AC432&lt;&gt;"Abierto","",IF(AB432="","Sin siguiente acción",IF(AB432&lt;TODAY(),"Vencido",IF(AB432=TODAY(),"Hoy","En tiempo"))))</f>
        <v/>
      </c>
      <c r="AH432" s="11" t="str">
        <f>IF(OR(B432="",V432=""),"",V432-B432)</f>
        <v/>
      </c>
      <c r="AI432" s="16" t="str">
        <f>IF(P432="","",P432-WEEKDAY(P432,3))</f>
        <v/>
      </c>
      <c r="AJ432" s="23" t="str">
        <f>IF(P432="","",DATE(YEAR(P432),MONTH(P432),1))</f>
        <v/>
      </c>
    </row>
    <row r="433">
      <c r="A433" s="21"/>
      <c r="B433" s="14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14"/>
      <c r="Q433" s="21"/>
      <c r="R433" s="21"/>
      <c r="S433" s="21"/>
      <c r="T433" s="21"/>
      <c r="U433" s="21"/>
      <c r="V433" s="14"/>
      <c r="W433" s="22"/>
      <c r="X433" s="14"/>
      <c r="Y433" s="11" t="str">
        <f>IF(V433="","",IF(X433&lt;&gt;"",IF(X433-V433&lt;30,"No","Sí"),IF(TODAY()-V433&gt;=30,"Sí","En curso")))</f>
        <v/>
      </c>
      <c r="Z433" s="14"/>
      <c r="AA433" s="21"/>
      <c r="AB433" s="14"/>
      <c r="AC433" s="21"/>
      <c r="AD433" s="21"/>
      <c r="AE433" s="7"/>
      <c r="AF433" s="11" t="str">
        <f>IF(OR(AC433&lt;&gt;"Abierto",Z433=""),"",TODAY()-Z433)</f>
        <v/>
      </c>
      <c r="AG433" s="11" t="str">
        <f>IF(AC433&lt;&gt;"Abierto","",IF(AB433="","Sin siguiente acción",IF(AB433&lt;TODAY(),"Vencido",IF(AB433=TODAY(),"Hoy","En tiempo"))))</f>
        <v/>
      </c>
      <c r="AH433" s="11" t="str">
        <f>IF(OR(B433="",V433=""),"",V433-B433)</f>
        <v/>
      </c>
      <c r="AI433" s="16" t="str">
        <f>IF(P433="","",P433-WEEKDAY(P433,3))</f>
        <v/>
      </c>
      <c r="AJ433" s="23" t="str">
        <f>IF(P433="","",DATE(YEAR(P433),MONTH(P433),1))</f>
        <v/>
      </c>
    </row>
    <row r="434">
      <c r="A434" s="21"/>
      <c r="B434" s="14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14"/>
      <c r="Q434" s="21"/>
      <c r="R434" s="21"/>
      <c r="S434" s="21"/>
      <c r="T434" s="21"/>
      <c r="U434" s="21"/>
      <c r="V434" s="14"/>
      <c r="W434" s="22"/>
      <c r="X434" s="14"/>
      <c r="Y434" s="11" t="str">
        <f>IF(V434="","",IF(X434&lt;&gt;"",IF(X434-V434&lt;30,"No","Sí"),IF(TODAY()-V434&gt;=30,"Sí","En curso")))</f>
        <v/>
      </c>
      <c r="Z434" s="14"/>
      <c r="AA434" s="21"/>
      <c r="AB434" s="14"/>
      <c r="AC434" s="21"/>
      <c r="AD434" s="21"/>
      <c r="AE434" s="7"/>
      <c r="AF434" s="11" t="str">
        <f>IF(OR(AC434&lt;&gt;"Abierto",Z434=""),"",TODAY()-Z434)</f>
        <v/>
      </c>
      <c r="AG434" s="11" t="str">
        <f>IF(AC434&lt;&gt;"Abierto","",IF(AB434="","Sin siguiente acción",IF(AB434&lt;TODAY(),"Vencido",IF(AB434=TODAY(),"Hoy","En tiempo"))))</f>
        <v/>
      </c>
      <c r="AH434" s="11" t="str">
        <f>IF(OR(B434="",V434=""),"",V434-B434)</f>
        <v/>
      </c>
      <c r="AI434" s="16" t="str">
        <f>IF(P434="","",P434-WEEKDAY(P434,3))</f>
        <v/>
      </c>
      <c r="AJ434" s="23" t="str">
        <f>IF(P434="","",DATE(YEAR(P434),MONTH(P434),1))</f>
        <v/>
      </c>
    </row>
    <row r="435">
      <c r="A435" s="21"/>
      <c r="B435" s="14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14"/>
      <c r="Q435" s="21"/>
      <c r="R435" s="21"/>
      <c r="S435" s="21"/>
      <c r="T435" s="21"/>
      <c r="U435" s="21"/>
      <c r="V435" s="14"/>
      <c r="W435" s="22"/>
      <c r="X435" s="14"/>
      <c r="Y435" s="11" t="str">
        <f>IF(V435="","",IF(X435&lt;&gt;"",IF(X435-V435&lt;30,"No","Sí"),IF(TODAY()-V435&gt;=30,"Sí","En curso")))</f>
        <v/>
      </c>
      <c r="Z435" s="14"/>
      <c r="AA435" s="21"/>
      <c r="AB435" s="14"/>
      <c r="AC435" s="21"/>
      <c r="AD435" s="21"/>
      <c r="AE435" s="7"/>
      <c r="AF435" s="11" t="str">
        <f>IF(OR(AC435&lt;&gt;"Abierto",Z435=""),"",TODAY()-Z435)</f>
        <v/>
      </c>
      <c r="AG435" s="11" t="str">
        <f>IF(AC435&lt;&gt;"Abierto","",IF(AB435="","Sin siguiente acción",IF(AB435&lt;TODAY(),"Vencido",IF(AB435=TODAY(),"Hoy","En tiempo"))))</f>
        <v/>
      </c>
      <c r="AH435" s="11" t="str">
        <f>IF(OR(B435="",V435=""),"",V435-B435)</f>
        <v/>
      </c>
      <c r="AI435" s="16" t="str">
        <f>IF(P435="","",P435-WEEKDAY(P435,3))</f>
        <v/>
      </c>
      <c r="AJ435" s="23" t="str">
        <f>IF(P435="","",DATE(YEAR(P435),MONTH(P435),1))</f>
        <v/>
      </c>
    </row>
    <row r="436">
      <c r="A436" s="21"/>
      <c r="B436" s="14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14"/>
      <c r="Q436" s="21"/>
      <c r="R436" s="21"/>
      <c r="S436" s="21"/>
      <c r="T436" s="21"/>
      <c r="U436" s="21"/>
      <c r="V436" s="14"/>
      <c r="W436" s="22"/>
      <c r="X436" s="14"/>
      <c r="Y436" s="11" t="str">
        <f>IF(V436="","",IF(X436&lt;&gt;"",IF(X436-V436&lt;30,"No","Sí"),IF(TODAY()-V436&gt;=30,"Sí","En curso")))</f>
        <v/>
      </c>
      <c r="Z436" s="14"/>
      <c r="AA436" s="21"/>
      <c r="AB436" s="14"/>
      <c r="AC436" s="21"/>
      <c r="AD436" s="21"/>
      <c r="AE436" s="7"/>
      <c r="AF436" s="11" t="str">
        <f>IF(OR(AC436&lt;&gt;"Abierto",Z436=""),"",TODAY()-Z436)</f>
        <v/>
      </c>
      <c r="AG436" s="11" t="str">
        <f>IF(AC436&lt;&gt;"Abierto","",IF(AB436="","Sin siguiente acción",IF(AB436&lt;TODAY(),"Vencido",IF(AB436=TODAY(),"Hoy","En tiempo"))))</f>
        <v/>
      </c>
      <c r="AH436" s="11" t="str">
        <f>IF(OR(B436="",V436=""),"",V436-B436)</f>
        <v/>
      </c>
      <c r="AI436" s="16" t="str">
        <f>IF(P436="","",P436-WEEKDAY(P436,3))</f>
        <v/>
      </c>
      <c r="AJ436" s="23" t="str">
        <f>IF(P436="","",DATE(YEAR(P436),MONTH(P436),1))</f>
        <v/>
      </c>
    </row>
    <row r="437">
      <c r="A437" s="21"/>
      <c r="B437" s="14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14"/>
      <c r="Q437" s="21"/>
      <c r="R437" s="21"/>
      <c r="S437" s="21"/>
      <c r="T437" s="21"/>
      <c r="U437" s="21"/>
      <c r="V437" s="14"/>
      <c r="W437" s="22"/>
      <c r="X437" s="14"/>
      <c r="Y437" s="11" t="str">
        <f>IF(V437="","",IF(X437&lt;&gt;"",IF(X437-V437&lt;30,"No","Sí"),IF(TODAY()-V437&gt;=30,"Sí","En curso")))</f>
        <v/>
      </c>
      <c r="Z437" s="14"/>
      <c r="AA437" s="21"/>
      <c r="AB437" s="14"/>
      <c r="AC437" s="21"/>
      <c r="AD437" s="21"/>
      <c r="AE437" s="7"/>
      <c r="AF437" s="11" t="str">
        <f>IF(OR(AC437&lt;&gt;"Abierto",Z437=""),"",TODAY()-Z437)</f>
        <v/>
      </c>
      <c r="AG437" s="11" t="str">
        <f>IF(AC437&lt;&gt;"Abierto","",IF(AB437="","Sin siguiente acción",IF(AB437&lt;TODAY(),"Vencido",IF(AB437=TODAY(),"Hoy","En tiempo"))))</f>
        <v/>
      </c>
      <c r="AH437" s="11" t="str">
        <f>IF(OR(B437="",V437=""),"",V437-B437)</f>
        <v/>
      </c>
      <c r="AI437" s="16" t="str">
        <f>IF(P437="","",P437-WEEKDAY(P437,3))</f>
        <v/>
      </c>
      <c r="AJ437" s="23" t="str">
        <f>IF(P437="","",DATE(YEAR(P437),MONTH(P437),1))</f>
        <v/>
      </c>
    </row>
    <row r="438">
      <c r="A438" s="21"/>
      <c r="B438" s="14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14"/>
      <c r="Q438" s="21"/>
      <c r="R438" s="21"/>
      <c r="S438" s="21"/>
      <c r="T438" s="21"/>
      <c r="U438" s="21"/>
      <c r="V438" s="14"/>
      <c r="W438" s="22"/>
      <c r="X438" s="14"/>
      <c r="Y438" s="11" t="str">
        <f>IF(V438="","",IF(X438&lt;&gt;"",IF(X438-V438&lt;30,"No","Sí"),IF(TODAY()-V438&gt;=30,"Sí","En curso")))</f>
        <v/>
      </c>
      <c r="Z438" s="14"/>
      <c r="AA438" s="21"/>
      <c r="AB438" s="14"/>
      <c r="AC438" s="21"/>
      <c r="AD438" s="21"/>
      <c r="AE438" s="7"/>
      <c r="AF438" s="11" t="str">
        <f>IF(OR(AC438&lt;&gt;"Abierto",Z438=""),"",TODAY()-Z438)</f>
        <v/>
      </c>
      <c r="AG438" s="11" t="str">
        <f>IF(AC438&lt;&gt;"Abierto","",IF(AB438="","Sin siguiente acción",IF(AB438&lt;TODAY(),"Vencido",IF(AB438=TODAY(),"Hoy","En tiempo"))))</f>
        <v/>
      </c>
      <c r="AH438" s="11" t="str">
        <f>IF(OR(B438="",V438=""),"",V438-B438)</f>
        <v/>
      </c>
      <c r="AI438" s="16" t="str">
        <f>IF(P438="","",P438-WEEKDAY(P438,3))</f>
        <v/>
      </c>
      <c r="AJ438" s="23" t="str">
        <f>IF(P438="","",DATE(YEAR(P438),MONTH(P438),1))</f>
        <v/>
      </c>
    </row>
    <row r="439">
      <c r="A439" s="21"/>
      <c r="B439" s="14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14"/>
      <c r="Q439" s="21"/>
      <c r="R439" s="21"/>
      <c r="S439" s="21"/>
      <c r="T439" s="21"/>
      <c r="U439" s="21"/>
      <c r="V439" s="14"/>
      <c r="W439" s="22"/>
      <c r="X439" s="14"/>
      <c r="Y439" s="11" t="str">
        <f>IF(V439="","",IF(X439&lt;&gt;"",IF(X439-V439&lt;30,"No","Sí"),IF(TODAY()-V439&gt;=30,"Sí","En curso")))</f>
        <v/>
      </c>
      <c r="Z439" s="14"/>
      <c r="AA439" s="21"/>
      <c r="AB439" s="14"/>
      <c r="AC439" s="21"/>
      <c r="AD439" s="21"/>
      <c r="AE439" s="7"/>
      <c r="AF439" s="11" t="str">
        <f>IF(OR(AC439&lt;&gt;"Abierto",Z439=""),"",TODAY()-Z439)</f>
        <v/>
      </c>
      <c r="AG439" s="11" t="str">
        <f>IF(AC439&lt;&gt;"Abierto","",IF(AB439="","Sin siguiente acción",IF(AB439&lt;TODAY(),"Vencido",IF(AB439=TODAY(),"Hoy","En tiempo"))))</f>
        <v/>
      </c>
      <c r="AH439" s="11" t="str">
        <f>IF(OR(B439="",V439=""),"",V439-B439)</f>
        <v/>
      </c>
      <c r="AI439" s="16" t="str">
        <f>IF(P439="","",P439-WEEKDAY(P439,3))</f>
        <v/>
      </c>
      <c r="AJ439" s="23" t="str">
        <f>IF(P439="","",DATE(YEAR(P439),MONTH(P439),1))</f>
        <v/>
      </c>
    </row>
    <row r="440">
      <c r="A440" s="21"/>
      <c r="B440" s="14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14"/>
      <c r="Q440" s="21"/>
      <c r="R440" s="21"/>
      <c r="S440" s="21"/>
      <c r="T440" s="21"/>
      <c r="U440" s="21"/>
      <c r="V440" s="14"/>
      <c r="W440" s="22"/>
      <c r="X440" s="14"/>
      <c r="Y440" s="11" t="str">
        <f>IF(V440="","",IF(X440&lt;&gt;"",IF(X440-V440&lt;30,"No","Sí"),IF(TODAY()-V440&gt;=30,"Sí","En curso")))</f>
        <v/>
      </c>
      <c r="Z440" s="14"/>
      <c r="AA440" s="21"/>
      <c r="AB440" s="14"/>
      <c r="AC440" s="21"/>
      <c r="AD440" s="21"/>
      <c r="AE440" s="7"/>
      <c r="AF440" s="11" t="str">
        <f>IF(OR(AC440&lt;&gt;"Abierto",Z440=""),"",TODAY()-Z440)</f>
        <v/>
      </c>
      <c r="AG440" s="11" t="str">
        <f>IF(AC440&lt;&gt;"Abierto","",IF(AB440="","Sin siguiente acción",IF(AB440&lt;TODAY(),"Vencido",IF(AB440=TODAY(),"Hoy","En tiempo"))))</f>
        <v/>
      </c>
      <c r="AH440" s="11" t="str">
        <f>IF(OR(B440="",V440=""),"",V440-B440)</f>
        <v/>
      </c>
      <c r="AI440" s="16" t="str">
        <f>IF(P440="","",P440-WEEKDAY(P440,3))</f>
        <v/>
      </c>
      <c r="AJ440" s="23" t="str">
        <f>IF(P440="","",DATE(YEAR(P440),MONTH(P440),1))</f>
        <v/>
      </c>
    </row>
    <row r="441">
      <c r="A441" s="21"/>
      <c r="B441" s="14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14"/>
      <c r="Q441" s="21"/>
      <c r="R441" s="21"/>
      <c r="S441" s="21"/>
      <c r="T441" s="21"/>
      <c r="U441" s="21"/>
      <c r="V441" s="14"/>
      <c r="W441" s="22"/>
      <c r="X441" s="14"/>
      <c r="Y441" s="11" t="str">
        <f>IF(V441="","",IF(X441&lt;&gt;"",IF(X441-V441&lt;30,"No","Sí"),IF(TODAY()-V441&gt;=30,"Sí","En curso")))</f>
        <v/>
      </c>
      <c r="Z441" s="14"/>
      <c r="AA441" s="21"/>
      <c r="AB441" s="14"/>
      <c r="AC441" s="21"/>
      <c r="AD441" s="21"/>
      <c r="AE441" s="7"/>
      <c r="AF441" s="11" t="str">
        <f>IF(OR(AC441&lt;&gt;"Abierto",Z441=""),"",TODAY()-Z441)</f>
        <v/>
      </c>
      <c r="AG441" s="11" t="str">
        <f>IF(AC441&lt;&gt;"Abierto","",IF(AB441="","Sin siguiente acción",IF(AB441&lt;TODAY(),"Vencido",IF(AB441=TODAY(),"Hoy","En tiempo"))))</f>
        <v/>
      </c>
      <c r="AH441" s="11" t="str">
        <f>IF(OR(B441="",V441=""),"",V441-B441)</f>
        <v/>
      </c>
      <c r="AI441" s="16" t="str">
        <f>IF(P441="","",P441-WEEKDAY(P441,3))</f>
        <v/>
      </c>
      <c r="AJ441" s="23" t="str">
        <f>IF(P441="","",DATE(YEAR(P441),MONTH(P441),1))</f>
        <v/>
      </c>
    </row>
    <row r="442">
      <c r="A442" s="21"/>
      <c r="B442" s="14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14"/>
      <c r="Q442" s="21"/>
      <c r="R442" s="21"/>
      <c r="S442" s="21"/>
      <c r="T442" s="21"/>
      <c r="U442" s="21"/>
      <c r="V442" s="14"/>
      <c r="W442" s="22"/>
      <c r="X442" s="14"/>
      <c r="Y442" s="11" t="str">
        <f>IF(V442="","",IF(X442&lt;&gt;"",IF(X442-V442&lt;30,"No","Sí"),IF(TODAY()-V442&gt;=30,"Sí","En curso")))</f>
        <v/>
      </c>
      <c r="Z442" s="14"/>
      <c r="AA442" s="21"/>
      <c r="AB442" s="14"/>
      <c r="AC442" s="21"/>
      <c r="AD442" s="21"/>
      <c r="AE442" s="7"/>
      <c r="AF442" s="11" t="str">
        <f>IF(OR(AC442&lt;&gt;"Abierto",Z442=""),"",TODAY()-Z442)</f>
        <v/>
      </c>
      <c r="AG442" s="11" t="str">
        <f>IF(AC442&lt;&gt;"Abierto","",IF(AB442="","Sin siguiente acción",IF(AB442&lt;TODAY(),"Vencido",IF(AB442=TODAY(),"Hoy","En tiempo"))))</f>
        <v/>
      </c>
      <c r="AH442" s="11" t="str">
        <f>IF(OR(B442="",V442=""),"",V442-B442)</f>
        <v/>
      </c>
      <c r="AI442" s="16" t="str">
        <f>IF(P442="","",P442-WEEKDAY(P442,3))</f>
        <v/>
      </c>
      <c r="AJ442" s="23" t="str">
        <f>IF(P442="","",DATE(YEAR(P442),MONTH(P442),1))</f>
        <v/>
      </c>
    </row>
    <row r="443">
      <c r="A443" s="21"/>
      <c r="B443" s="14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14"/>
      <c r="Q443" s="21"/>
      <c r="R443" s="21"/>
      <c r="S443" s="21"/>
      <c r="T443" s="21"/>
      <c r="U443" s="21"/>
      <c r="V443" s="14"/>
      <c r="W443" s="22"/>
      <c r="X443" s="14"/>
      <c r="Y443" s="11" t="str">
        <f>IF(V443="","",IF(X443&lt;&gt;"",IF(X443-V443&lt;30,"No","Sí"),IF(TODAY()-V443&gt;=30,"Sí","En curso")))</f>
        <v/>
      </c>
      <c r="Z443" s="14"/>
      <c r="AA443" s="21"/>
      <c r="AB443" s="14"/>
      <c r="AC443" s="21"/>
      <c r="AD443" s="21"/>
      <c r="AE443" s="7"/>
      <c r="AF443" s="11" t="str">
        <f>IF(OR(AC443&lt;&gt;"Abierto",Z443=""),"",TODAY()-Z443)</f>
        <v/>
      </c>
      <c r="AG443" s="11" t="str">
        <f>IF(AC443&lt;&gt;"Abierto","",IF(AB443="","Sin siguiente acción",IF(AB443&lt;TODAY(),"Vencido",IF(AB443=TODAY(),"Hoy","En tiempo"))))</f>
        <v/>
      </c>
      <c r="AH443" s="11" t="str">
        <f>IF(OR(B443="",V443=""),"",V443-B443)</f>
        <v/>
      </c>
      <c r="AI443" s="16" t="str">
        <f>IF(P443="","",P443-WEEKDAY(P443,3))</f>
        <v/>
      </c>
      <c r="AJ443" s="23" t="str">
        <f>IF(P443="","",DATE(YEAR(P443),MONTH(P443),1))</f>
        <v/>
      </c>
    </row>
    <row r="444">
      <c r="A444" s="21"/>
      <c r="B444" s="14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14"/>
      <c r="Q444" s="21"/>
      <c r="R444" s="21"/>
      <c r="S444" s="21"/>
      <c r="T444" s="21"/>
      <c r="U444" s="21"/>
      <c r="V444" s="14"/>
      <c r="W444" s="22"/>
      <c r="X444" s="14"/>
      <c r="Y444" s="11" t="str">
        <f>IF(V444="","",IF(X444&lt;&gt;"",IF(X444-V444&lt;30,"No","Sí"),IF(TODAY()-V444&gt;=30,"Sí","En curso")))</f>
        <v/>
      </c>
      <c r="Z444" s="14"/>
      <c r="AA444" s="21"/>
      <c r="AB444" s="14"/>
      <c r="AC444" s="21"/>
      <c r="AD444" s="21"/>
      <c r="AE444" s="7"/>
      <c r="AF444" s="11" t="str">
        <f>IF(OR(AC444&lt;&gt;"Abierto",Z444=""),"",TODAY()-Z444)</f>
        <v/>
      </c>
      <c r="AG444" s="11" t="str">
        <f>IF(AC444&lt;&gt;"Abierto","",IF(AB444="","Sin siguiente acción",IF(AB444&lt;TODAY(),"Vencido",IF(AB444=TODAY(),"Hoy","En tiempo"))))</f>
        <v/>
      </c>
      <c r="AH444" s="11" t="str">
        <f>IF(OR(B444="",V444=""),"",V444-B444)</f>
        <v/>
      </c>
      <c r="AI444" s="16" t="str">
        <f>IF(P444="","",P444-WEEKDAY(P444,3))</f>
        <v/>
      </c>
      <c r="AJ444" s="23" t="str">
        <f>IF(P444="","",DATE(YEAR(P444),MONTH(P444),1))</f>
        <v/>
      </c>
    </row>
    <row r="445">
      <c r="A445" s="21"/>
      <c r="B445" s="14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14"/>
      <c r="Q445" s="21"/>
      <c r="R445" s="21"/>
      <c r="S445" s="21"/>
      <c r="T445" s="21"/>
      <c r="U445" s="21"/>
      <c r="V445" s="14"/>
      <c r="W445" s="22"/>
      <c r="X445" s="14"/>
      <c r="Y445" s="11" t="str">
        <f>IF(V445="","",IF(X445&lt;&gt;"",IF(X445-V445&lt;30,"No","Sí"),IF(TODAY()-V445&gt;=30,"Sí","En curso")))</f>
        <v/>
      </c>
      <c r="Z445" s="14"/>
      <c r="AA445" s="21"/>
      <c r="AB445" s="14"/>
      <c r="AC445" s="21"/>
      <c r="AD445" s="21"/>
      <c r="AE445" s="7"/>
      <c r="AF445" s="11" t="str">
        <f>IF(OR(AC445&lt;&gt;"Abierto",Z445=""),"",TODAY()-Z445)</f>
        <v/>
      </c>
      <c r="AG445" s="11" t="str">
        <f>IF(AC445&lt;&gt;"Abierto","",IF(AB445="","Sin siguiente acción",IF(AB445&lt;TODAY(),"Vencido",IF(AB445=TODAY(),"Hoy","En tiempo"))))</f>
        <v/>
      </c>
      <c r="AH445" s="11" t="str">
        <f>IF(OR(B445="",V445=""),"",V445-B445)</f>
        <v/>
      </c>
      <c r="AI445" s="16" t="str">
        <f>IF(P445="","",P445-WEEKDAY(P445,3))</f>
        <v/>
      </c>
      <c r="AJ445" s="23" t="str">
        <f>IF(P445="","",DATE(YEAR(P445),MONTH(P445),1))</f>
        <v/>
      </c>
    </row>
    <row r="446">
      <c r="A446" s="21"/>
      <c r="B446" s="14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14"/>
      <c r="Q446" s="21"/>
      <c r="R446" s="21"/>
      <c r="S446" s="21"/>
      <c r="T446" s="21"/>
      <c r="U446" s="21"/>
      <c r="V446" s="14"/>
      <c r="W446" s="22"/>
      <c r="X446" s="14"/>
      <c r="Y446" s="11" t="str">
        <f>IF(V446="","",IF(X446&lt;&gt;"",IF(X446-V446&lt;30,"No","Sí"),IF(TODAY()-V446&gt;=30,"Sí","En curso")))</f>
        <v/>
      </c>
      <c r="Z446" s="14"/>
      <c r="AA446" s="21"/>
      <c r="AB446" s="14"/>
      <c r="AC446" s="21"/>
      <c r="AD446" s="21"/>
      <c r="AE446" s="7"/>
      <c r="AF446" s="11" t="str">
        <f>IF(OR(AC446&lt;&gt;"Abierto",Z446=""),"",TODAY()-Z446)</f>
        <v/>
      </c>
      <c r="AG446" s="11" t="str">
        <f>IF(AC446&lt;&gt;"Abierto","",IF(AB446="","Sin siguiente acción",IF(AB446&lt;TODAY(),"Vencido",IF(AB446=TODAY(),"Hoy","En tiempo"))))</f>
        <v/>
      </c>
      <c r="AH446" s="11" t="str">
        <f>IF(OR(B446="",V446=""),"",V446-B446)</f>
        <v/>
      </c>
      <c r="AI446" s="16" t="str">
        <f>IF(P446="","",P446-WEEKDAY(P446,3))</f>
        <v/>
      </c>
      <c r="AJ446" s="23" t="str">
        <f>IF(P446="","",DATE(YEAR(P446),MONTH(P446),1))</f>
        <v/>
      </c>
    </row>
    <row r="447">
      <c r="A447" s="21"/>
      <c r="B447" s="14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14"/>
      <c r="Q447" s="21"/>
      <c r="R447" s="21"/>
      <c r="S447" s="21"/>
      <c r="T447" s="21"/>
      <c r="U447" s="21"/>
      <c r="V447" s="14"/>
      <c r="W447" s="22"/>
      <c r="X447" s="14"/>
      <c r="Y447" s="11" t="str">
        <f>IF(V447="","",IF(X447&lt;&gt;"",IF(X447-V447&lt;30,"No","Sí"),IF(TODAY()-V447&gt;=30,"Sí","En curso")))</f>
        <v/>
      </c>
      <c r="Z447" s="14"/>
      <c r="AA447" s="21"/>
      <c r="AB447" s="14"/>
      <c r="AC447" s="21"/>
      <c r="AD447" s="21"/>
      <c r="AE447" s="7"/>
      <c r="AF447" s="11" t="str">
        <f>IF(OR(AC447&lt;&gt;"Abierto",Z447=""),"",TODAY()-Z447)</f>
        <v/>
      </c>
      <c r="AG447" s="11" t="str">
        <f>IF(AC447&lt;&gt;"Abierto","",IF(AB447="","Sin siguiente acción",IF(AB447&lt;TODAY(),"Vencido",IF(AB447=TODAY(),"Hoy","En tiempo"))))</f>
        <v/>
      </c>
      <c r="AH447" s="11" t="str">
        <f>IF(OR(B447="",V447=""),"",V447-B447)</f>
        <v/>
      </c>
      <c r="AI447" s="16" t="str">
        <f>IF(P447="","",P447-WEEKDAY(P447,3))</f>
        <v/>
      </c>
      <c r="AJ447" s="23" t="str">
        <f>IF(P447="","",DATE(YEAR(P447),MONTH(P447),1))</f>
        <v/>
      </c>
    </row>
    <row r="448">
      <c r="A448" s="21"/>
      <c r="B448" s="14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14"/>
      <c r="Q448" s="21"/>
      <c r="R448" s="21"/>
      <c r="S448" s="21"/>
      <c r="T448" s="21"/>
      <c r="U448" s="21"/>
      <c r="V448" s="14"/>
      <c r="W448" s="22"/>
      <c r="X448" s="14"/>
      <c r="Y448" s="11" t="str">
        <f>IF(V448="","",IF(X448&lt;&gt;"",IF(X448-V448&lt;30,"No","Sí"),IF(TODAY()-V448&gt;=30,"Sí","En curso")))</f>
        <v/>
      </c>
      <c r="Z448" s="14"/>
      <c r="AA448" s="21"/>
      <c r="AB448" s="14"/>
      <c r="AC448" s="21"/>
      <c r="AD448" s="21"/>
      <c r="AE448" s="7"/>
      <c r="AF448" s="11" t="str">
        <f>IF(OR(AC448&lt;&gt;"Abierto",Z448=""),"",TODAY()-Z448)</f>
        <v/>
      </c>
      <c r="AG448" s="11" t="str">
        <f>IF(AC448&lt;&gt;"Abierto","",IF(AB448="","Sin siguiente acción",IF(AB448&lt;TODAY(),"Vencido",IF(AB448=TODAY(),"Hoy","En tiempo"))))</f>
        <v/>
      </c>
      <c r="AH448" s="11" t="str">
        <f>IF(OR(B448="",V448=""),"",V448-B448)</f>
        <v/>
      </c>
      <c r="AI448" s="16" t="str">
        <f>IF(P448="","",P448-WEEKDAY(P448,3))</f>
        <v/>
      </c>
      <c r="AJ448" s="23" t="str">
        <f>IF(P448="","",DATE(YEAR(P448),MONTH(P448),1))</f>
        <v/>
      </c>
    </row>
    <row r="449">
      <c r="A449" s="21"/>
      <c r="B449" s="14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14"/>
      <c r="Q449" s="21"/>
      <c r="R449" s="21"/>
      <c r="S449" s="21"/>
      <c r="T449" s="21"/>
      <c r="U449" s="21"/>
      <c r="V449" s="14"/>
      <c r="W449" s="22"/>
      <c r="X449" s="14"/>
      <c r="Y449" s="11" t="str">
        <f>IF(V449="","",IF(X449&lt;&gt;"",IF(X449-V449&lt;30,"No","Sí"),IF(TODAY()-V449&gt;=30,"Sí","En curso")))</f>
        <v/>
      </c>
      <c r="Z449" s="14"/>
      <c r="AA449" s="21"/>
      <c r="AB449" s="14"/>
      <c r="AC449" s="21"/>
      <c r="AD449" s="21"/>
      <c r="AE449" s="7"/>
      <c r="AF449" s="11" t="str">
        <f>IF(OR(AC449&lt;&gt;"Abierto",Z449=""),"",TODAY()-Z449)</f>
        <v/>
      </c>
      <c r="AG449" s="11" t="str">
        <f>IF(AC449&lt;&gt;"Abierto","",IF(AB449="","Sin siguiente acción",IF(AB449&lt;TODAY(),"Vencido",IF(AB449=TODAY(),"Hoy","En tiempo"))))</f>
        <v/>
      </c>
      <c r="AH449" s="11" t="str">
        <f>IF(OR(B449="",V449=""),"",V449-B449)</f>
        <v/>
      </c>
      <c r="AI449" s="16" t="str">
        <f>IF(P449="","",P449-WEEKDAY(P449,3))</f>
        <v/>
      </c>
      <c r="AJ449" s="23" t="str">
        <f>IF(P449="","",DATE(YEAR(P449),MONTH(P449),1))</f>
        <v/>
      </c>
    </row>
    <row r="450">
      <c r="A450" s="21"/>
      <c r="B450" s="14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14"/>
      <c r="Q450" s="21"/>
      <c r="R450" s="21"/>
      <c r="S450" s="21"/>
      <c r="T450" s="21"/>
      <c r="U450" s="21"/>
      <c r="V450" s="14"/>
      <c r="W450" s="22"/>
      <c r="X450" s="14"/>
      <c r="Y450" s="11" t="str">
        <f>IF(V450="","",IF(X450&lt;&gt;"",IF(X450-V450&lt;30,"No","Sí"),IF(TODAY()-V450&gt;=30,"Sí","En curso")))</f>
        <v/>
      </c>
      <c r="Z450" s="14"/>
      <c r="AA450" s="21"/>
      <c r="AB450" s="14"/>
      <c r="AC450" s="21"/>
      <c r="AD450" s="21"/>
      <c r="AE450" s="7"/>
      <c r="AF450" s="11" t="str">
        <f>IF(OR(AC450&lt;&gt;"Abierto",Z450=""),"",TODAY()-Z450)</f>
        <v/>
      </c>
      <c r="AG450" s="11" t="str">
        <f>IF(AC450&lt;&gt;"Abierto","",IF(AB450="","Sin siguiente acción",IF(AB450&lt;TODAY(),"Vencido",IF(AB450=TODAY(),"Hoy","En tiempo"))))</f>
        <v/>
      </c>
      <c r="AH450" s="11" t="str">
        <f>IF(OR(B450="",V450=""),"",V450-B450)</f>
        <v/>
      </c>
      <c r="AI450" s="16" t="str">
        <f>IF(P450="","",P450-WEEKDAY(P450,3))</f>
        <v/>
      </c>
      <c r="AJ450" s="23" t="str">
        <f>IF(P450="","",DATE(YEAR(P450),MONTH(P450),1))</f>
        <v/>
      </c>
    </row>
    <row r="451">
      <c r="A451" s="21"/>
      <c r="B451" s="14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14"/>
      <c r="Q451" s="21"/>
      <c r="R451" s="21"/>
      <c r="S451" s="21"/>
      <c r="T451" s="21"/>
      <c r="U451" s="21"/>
      <c r="V451" s="14"/>
      <c r="W451" s="22"/>
      <c r="X451" s="14"/>
      <c r="Y451" s="11" t="str">
        <f>IF(V451="","",IF(X451&lt;&gt;"",IF(X451-V451&lt;30,"No","Sí"),IF(TODAY()-V451&gt;=30,"Sí","En curso")))</f>
        <v/>
      </c>
      <c r="Z451" s="14"/>
      <c r="AA451" s="21"/>
      <c r="AB451" s="14"/>
      <c r="AC451" s="21"/>
      <c r="AD451" s="21"/>
      <c r="AE451" s="7"/>
      <c r="AF451" s="11" t="str">
        <f>IF(OR(AC451&lt;&gt;"Abierto",Z451=""),"",TODAY()-Z451)</f>
        <v/>
      </c>
      <c r="AG451" s="11" t="str">
        <f>IF(AC451&lt;&gt;"Abierto","",IF(AB451="","Sin siguiente acción",IF(AB451&lt;TODAY(),"Vencido",IF(AB451=TODAY(),"Hoy","En tiempo"))))</f>
        <v/>
      </c>
      <c r="AH451" s="11" t="str">
        <f>IF(OR(B451="",V451=""),"",V451-B451)</f>
        <v/>
      </c>
      <c r="AI451" s="16" t="str">
        <f>IF(P451="","",P451-WEEKDAY(P451,3))</f>
        <v/>
      </c>
      <c r="AJ451" s="23" t="str">
        <f>IF(P451="","",DATE(YEAR(P451),MONTH(P451),1))</f>
        <v/>
      </c>
    </row>
    <row r="452">
      <c r="A452" s="21"/>
      <c r="B452" s="14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14"/>
      <c r="Q452" s="21"/>
      <c r="R452" s="21"/>
      <c r="S452" s="21"/>
      <c r="T452" s="21"/>
      <c r="U452" s="21"/>
      <c r="V452" s="14"/>
      <c r="W452" s="22"/>
      <c r="X452" s="14"/>
      <c r="Y452" s="11" t="str">
        <f>IF(V452="","",IF(X452&lt;&gt;"",IF(X452-V452&lt;30,"No","Sí"),IF(TODAY()-V452&gt;=30,"Sí","En curso")))</f>
        <v/>
      </c>
      <c r="Z452" s="14"/>
      <c r="AA452" s="21"/>
      <c r="AB452" s="14"/>
      <c r="AC452" s="21"/>
      <c r="AD452" s="21"/>
      <c r="AE452" s="7"/>
      <c r="AF452" s="11" t="str">
        <f>IF(OR(AC452&lt;&gt;"Abierto",Z452=""),"",TODAY()-Z452)</f>
        <v/>
      </c>
      <c r="AG452" s="11" t="str">
        <f>IF(AC452&lt;&gt;"Abierto","",IF(AB452="","Sin siguiente acción",IF(AB452&lt;TODAY(),"Vencido",IF(AB452=TODAY(),"Hoy","En tiempo"))))</f>
        <v/>
      </c>
      <c r="AH452" s="11" t="str">
        <f>IF(OR(B452="",V452=""),"",V452-B452)</f>
        <v/>
      </c>
      <c r="AI452" s="16" t="str">
        <f>IF(P452="","",P452-WEEKDAY(P452,3))</f>
        <v/>
      </c>
      <c r="AJ452" s="23" t="str">
        <f>IF(P452="","",DATE(YEAR(P452),MONTH(P452),1))</f>
        <v/>
      </c>
    </row>
    <row r="453">
      <c r="A453" s="21"/>
      <c r="B453" s="14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14"/>
      <c r="Q453" s="21"/>
      <c r="R453" s="21"/>
      <c r="S453" s="21"/>
      <c r="T453" s="21"/>
      <c r="U453" s="21"/>
      <c r="V453" s="14"/>
      <c r="W453" s="22"/>
      <c r="X453" s="14"/>
      <c r="Y453" s="11" t="str">
        <f>IF(V453="","",IF(X453&lt;&gt;"",IF(X453-V453&lt;30,"No","Sí"),IF(TODAY()-V453&gt;=30,"Sí","En curso")))</f>
        <v/>
      </c>
      <c r="Z453" s="14"/>
      <c r="AA453" s="21"/>
      <c r="AB453" s="14"/>
      <c r="AC453" s="21"/>
      <c r="AD453" s="21"/>
      <c r="AE453" s="7"/>
      <c r="AF453" s="11" t="str">
        <f>IF(OR(AC453&lt;&gt;"Abierto",Z453=""),"",TODAY()-Z453)</f>
        <v/>
      </c>
      <c r="AG453" s="11" t="str">
        <f>IF(AC453&lt;&gt;"Abierto","",IF(AB453="","Sin siguiente acción",IF(AB453&lt;TODAY(),"Vencido",IF(AB453=TODAY(),"Hoy","En tiempo"))))</f>
        <v/>
      </c>
      <c r="AH453" s="11" t="str">
        <f>IF(OR(B453="",V453=""),"",V453-B453)</f>
        <v/>
      </c>
      <c r="AI453" s="16" t="str">
        <f>IF(P453="","",P453-WEEKDAY(P453,3))</f>
        <v/>
      </c>
      <c r="AJ453" s="23" t="str">
        <f>IF(P453="","",DATE(YEAR(P453),MONTH(P453),1))</f>
        <v/>
      </c>
    </row>
    <row r="454">
      <c r="A454" s="21"/>
      <c r="B454" s="14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14"/>
      <c r="Q454" s="21"/>
      <c r="R454" s="21"/>
      <c r="S454" s="21"/>
      <c r="T454" s="21"/>
      <c r="U454" s="21"/>
      <c r="V454" s="14"/>
      <c r="W454" s="22"/>
      <c r="X454" s="14"/>
      <c r="Y454" s="11" t="str">
        <f>IF(V454="","",IF(X454&lt;&gt;"",IF(X454-V454&lt;30,"No","Sí"),IF(TODAY()-V454&gt;=30,"Sí","En curso")))</f>
        <v/>
      </c>
      <c r="Z454" s="14"/>
      <c r="AA454" s="21"/>
      <c r="AB454" s="14"/>
      <c r="AC454" s="21"/>
      <c r="AD454" s="21"/>
      <c r="AE454" s="7"/>
      <c r="AF454" s="11" t="str">
        <f>IF(OR(AC454&lt;&gt;"Abierto",Z454=""),"",TODAY()-Z454)</f>
        <v/>
      </c>
      <c r="AG454" s="11" t="str">
        <f>IF(AC454&lt;&gt;"Abierto","",IF(AB454="","Sin siguiente acción",IF(AB454&lt;TODAY(),"Vencido",IF(AB454=TODAY(),"Hoy","En tiempo"))))</f>
        <v/>
      </c>
      <c r="AH454" s="11" t="str">
        <f>IF(OR(B454="",V454=""),"",V454-B454)</f>
        <v/>
      </c>
      <c r="AI454" s="16" t="str">
        <f>IF(P454="","",P454-WEEKDAY(P454,3))</f>
        <v/>
      </c>
      <c r="AJ454" s="23" t="str">
        <f>IF(P454="","",DATE(YEAR(P454),MONTH(P454),1))</f>
        <v/>
      </c>
    </row>
    <row r="455">
      <c r="A455" s="21"/>
      <c r="B455" s="14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14"/>
      <c r="Q455" s="21"/>
      <c r="R455" s="21"/>
      <c r="S455" s="21"/>
      <c r="T455" s="21"/>
      <c r="U455" s="21"/>
      <c r="V455" s="14"/>
      <c r="W455" s="22"/>
      <c r="X455" s="14"/>
      <c r="Y455" s="11" t="str">
        <f>IF(V455="","",IF(X455&lt;&gt;"",IF(X455-V455&lt;30,"No","Sí"),IF(TODAY()-V455&gt;=30,"Sí","En curso")))</f>
        <v/>
      </c>
      <c r="Z455" s="14"/>
      <c r="AA455" s="21"/>
      <c r="AB455" s="14"/>
      <c r="AC455" s="21"/>
      <c r="AD455" s="21"/>
      <c r="AE455" s="7"/>
      <c r="AF455" s="11" t="str">
        <f>IF(OR(AC455&lt;&gt;"Abierto",Z455=""),"",TODAY()-Z455)</f>
        <v/>
      </c>
      <c r="AG455" s="11" t="str">
        <f>IF(AC455&lt;&gt;"Abierto","",IF(AB455="","Sin siguiente acción",IF(AB455&lt;TODAY(),"Vencido",IF(AB455=TODAY(),"Hoy","En tiempo"))))</f>
        <v/>
      </c>
      <c r="AH455" s="11" t="str">
        <f>IF(OR(B455="",V455=""),"",V455-B455)</f>
        <v/>
      </c>
      <c r="AI455" s="16" t="str">
        <f>IF(P455="","",P455-WEEKDAY(P455,3))</f>
        <v/>
      </c>
      <c r="AJ455" s="23" t="str">
        <f>IF(P455="","",DATE(YEAR(P455),MONTH(P455),1))</f>
        <v/>
      </c>
    </row>
    <row r="456">
      <c r="A456" s="21"/>
      <c r="B456" s="14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14"/>
      <c r="Q456" s="21"/>
      <c r="R456" s="21"/>
      <c r="S456" s="21"/>
      <c r="T456" s="21"/>
      <c r="U456" s="21"/>
      <c r="V456" s="14"/>
      <c r="W456" s="22"/>
      <c r="X456" s="14"/>
      <c r="Y456" s="11" t="str">
        <f>IF(V456="","",IF(X456&lt;&gt;"",IF(X456-V456&lt;30,"No","Sí"),IF(TODAY()-V456&gt;=30,"Sí","En curso")))</f>
        <v/>
      </c>
      <c r="Z456" s="14"/>
      <c r="AA456" s="21"/>
      <c r="AB456" s="14"/>
      <c r="AC456" s="21"/>
      <c r="AD456" s="21"/>
      <c r="AE456" s="7"/>
      <c r="AF456" s="11" t="str">
        <f>IF(OR(AC456&lt;&gt;"Abierto",Z456=""),"",TODAY()-Z456)</f>
        <v/>
      </c>
      <c r="AG456" s="11" t="str">
        <f>IF(AC456&lt;&gt;"Abierto","",IF(AB456="","Sin siguiente acción",IF(AB456&lt;TODAY(),"Vencido",IF(AB456=TODAY(),"Hoy","En tiempo"))))</f>
        <v/>
      </c>
      <c r="AH456" s="11" t="str">
        <f>IF(OR(B456="",V456=""),"",V456-B456)</f>
        <v/>
      </c>
      <c r="AI456" s="16" t="str">
        <f>IF(P456="","",P456-WEEKDAY(P456,3))</f>
        <v/>
      </c>
      <c r="AJ456" s="23" t="str">
        <f>IF(P456="","",DATE(YEAR(P456),MONTH(P456),1))</f>
        <v/>
      </c>
    </row>
    <row r="457">
      <c r="A457" s="21"/>
      <c r="B457" s="14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14"/>
      <c r="Q457" s="21"/>
      <c r="R457" s="21"/>
      <c r="S457" s="21"/>
      <c r="T457" s="21"/>
      <c r="U457" s="21"/>
      <c r="V457" s="14"/>
      <c r="W457" s="22"/>
      <c r="X457" s="14"/>
      <c r="Y457" s="11" t="str">
        <f>IF(V457="","",IF(X457&lt;&gt;"",IF(X457-V457&lt;30,"No","Sí"),IF(TODAY()-V457&gt;=30,"Sí","En curso")))</f>
        <v/>
      </c>
      <c r="Z457" s="14"/>
      <c r="AA457" s="21"/>
      <c r="AB457" s="14"/>
      <c r="AC457" s="21"/>
      <c r="AD457" s="21"/>
      <c r="AE457" s="7"/>
      <c r="AF457" s="11" t="str">
        <f>IF(OR(AC457&lt;&gt;"Abierto",Z457=""),"",TODAY()-Z457)</f>
        <v/>
      </c>
      <c r="AG457" s="11" t="str">
        <f>IF(AC457&lt;&gt;"Abierto","",IF(AB457="","Sin siguiente acción",IF(AB457&lt;TODAY(),"Vencido",IF(AB457=TODAY(),"Hoy","En tiempo"))))</f>
        <v/>
      </c>
      <c r="AH457" s="11" t="str">
        <f>IF(OR(B457="",V457=""),"",V457-B457)</f>
        <v/>
      </c>
      <c r="AI457" s="16" t="str">
        <f>IF(P457="","",P457-WEEKDAY(P457,3))</f>
        <v/>
      </c>
      <c r="AJ457" s="23" t="str">
        <f>IF(P457="","",DATE(YEAR(P457),MONTH(P457),1))</f>
        <v/>
      </c>
    </row>
    <row r="458">
      <c r="A458" s="21"/>
      <c r="B458" s="14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14"/>
      <c r="Q458" s="21"/>
      <c r="R458" s="21"/>
      <c r="S458" s="21"/>
      <c r="T458" s="21"/>
      <c r="U458" s="21"/>
      <c r="V458" s="14"/>
      <c r="W458" s="22"/>
      <c r="X458" s="14"/>
      <c r="Y458" s="11" t="str">
        <f>IF(V458="","",IF(X458&lt;&gt;"",IF(X458-V458&lt;30,"No","Sí"),IF(TODAY()-V458&gt;=30,"Sí","En curso")))</f>
        <v/>
      </c>
      <c r="Z458" s="14"/>
      <c r="AA458" s="21"/>
      <c r="AB458" s="14"/>
      <c r="AC458" s="21"/>
      <c r="AD458" s="21"/>
      <c r="AE458" s="7"/>
      <c r="AF458" s="11" t="str">
        <f>IF(OR(AC458&lt;&gt;"Abierto",Z458=""),"",TODAY()-Z458)</f>
        <v/>
      </c>
      <c r="AG458" s="11" t="str">
        <f>IF(AC458&lt;&gt;"Abierto","",IF(AB458="","Sin siguiente acción",IF(AB458&lt;TODAY(),"Vencido",IF(AB458=TODAY(),"Hoy","En tiempo"))))</f>
        <v/>
      </c>
      <c r="AH458" s="11" t="str">
        <f>IF(OR(B458="",V458=""),"",V458-B458)</f>
        <v/>
      </c>
      <c r="AI458" s="16" t="str">
        <f>IF(P458="","",P458-WEEKDAY(P458,3))</f>
        <v/>
      </c>
      <c r="AJ458" s="23" t="str">
        <f>IF(P458="","",DATE(YEAR(P458),MONTH(P458),1))</f>
        <v/>
      </c>
    </row>
    <row r="459">
      <c r="A459" s="21"/>
      <c r="B459" s="14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14"/>
      <c r="Q459" s="21"/>
      <c r="R459" s="21"/>
      <c r="S459" s="21"/>
      <c r="T459" s="21"/>
      <c r="U459" s="21"/>
      <c r="V459" s="14"/>
      <c r="W459" s="22"/>
      <c r="X459" s="14"/>
      <c r="Y459" s="11" t="str">
        <f>IF(V459="","",IF(X459&lt;&gt;"",IF(X459-V459&lt;30,"No","Sí"),IF(TODAY()-V459&gt;=30,"Sí","En curso")))</f>
        <v/>
      </c>
      <c r="Z459" s="14"/>
      <c r="AA459" s="21"/>
      <c r="AB459" s="14"/>
      <c r="AC459" s="21"/>
      <c r="AD459" s="21"/>
      <c r="AE459" s="7"/>
      <c r="AF459" s="11" t="str">
        <f>IF(OR(AC459&lt;&gt;"Abierto",Z459=""),"",TODAY()-Z459)</f>
        <v/>
      </c>
      <c r="AG459" s="11" t="str">
        <f>IF(AC459&lt;&gt;"Abierto","",IF(AB459="","Sin siguiente acción",IF(AB459&lt;TODAY(),"Vencido",IF(AB459=TODAY(),"Hoy","En tiempo"))))</f>
        <v/>
      </c>
      <c r="AH459" s="11" t="str">
        <f>IF(OR(B459="",V459=""),"",V459-B459)</f>
        <v/>
      </c>
      <c r="AI459" s="16" t="str">
        <f>IF(P459="","",P459-WEEKDAY(P459,3))</f>
        <v/>
      </c>
      <c r="AJ459" s="23" t="str">
        <f>IF(P459="","",DATE(YEAR(P459),MONTH(P459),1))</f>
        <v/>
      </c>
    </row>
    <row r="460">
      <c r="A460" s="21"/>
      <c r="B460" s="14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14"/>
      <c r="Q460" s="21"/>
      <c r="R460" s="21"/>
      <c r="S460" s="21"/>
      <c r="T460" s="21"/>
      <c r="U460" s="21"/>
      <c r="V460" s="14"/>
      <c r="W460" s="22"/>
      <c r="X460" s="14"/>
      <c r="Y460" s="11" t="str">
        <f>IF(V460="","",IF(X460&lt;&gt;"",IF(X460-V460&lt;30,"No","Sí"),IF(TODAY()-V460&gt;=30,"Sí","En curso")))</f>
        <v/>
      </c>
      <c r="Z460" s="14"/>
      <c r="AA460" s="21"/>
      <c r="AB460" s="14"/>
      <c r="AC460" s="21"/>
      <c r="AD460" s="21"/>
      <c r="AE460" s="7"/>
      <c r="AF460" s="11" t="str">
        <f>IF(OR(AC460&lt;&gt;"Abierto",Z460=""),"",TODAY()-Z460)</f>
        <v/>
      </c>
      <c r="AG460" s="11" t="str">
        <f>IF(AC460&lt;&gt;"Abierto","",IF(AB460="","Sin siguiente acción",IF(AB460&lt;TODAY(),"Vencido",IF(AB460=TODAY(),"Hoy","En tiempo"))))</f>
        <v/>
      </c>
      <c r="AH460" s="11" t="str">
        <f>IF(OR(B460="",V460=""),"",V460-B460)</f>
        <v/>
      </c>
      <c r="AI460" s="16" t="str">
        <f>IF(P460="","",P460-WEEKDAY(P460,3))</f>
        <v/>
      </c>
      <c r="AJ460" s="23" t="str">
        <f>IF(P460="","",DATE(YEAR(P460),MONTH(P460),1))</f>
        <v/>
      </c>
    </row>
    <row r="461">
      <c r="A461" s="21"/>
      <c r="B461" s="14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14"/>
      <c r="Q461" s="21"/>
      <c r="R461" s="21"/>
      <c r="S461" s="21"/>
      <c r="T461" s="21"/>
      <c r="U461" s="21"/>
      <c r="V461" s="14"/>
      <c r="W461" s="22"/>
      <c r="X461" s="14"/>
      <c r="Y461" s="11" t="str">
        <f>IF(V461="","",IF(X461&lt;&gt;"",IF(X461-V461&lt;30,"No","Sí"),IF(TODAY()-V461&gt;=30,"Sí","En curso")))</f>
        <v/>
      </c>
      <c r="Z461" s="14"/>
      <c r="AA461" s="21"/>
      <c r="AB461" s="14"/>
      <c r="AC461" s="21"/>
      <c r="AD461" s="21"/>
      <c r="AE461" s="7"/>
      <c r="AF461" s="11" t="str">
        <f>IF(OR(AC461&lt;&gt;"Abierto",Z461=""),"",TODAY()-Z461)</f>
        <v/>
      </c>
      <c r="AG461" s="11" t="str">
        <f>IF(AC461&lt;&gt;"Abierto","",IF(AB461="","Sin siguiente acción",IF(AB461&lt;TODAY(),"Vencido",IF(AB461=TODAY(),"Hoy","En tiempo"))))</f>
        <v/>
      </c>
      <c r="AH461" s="11" t="str">
        <f>IF(OR(B461="",V461=""),"",V461-B461)</f>
        <v/>
      </c>
      <c r="AI461" s="16" t="str">
        <f>IF(P461="","",P461-WEEKDAY(P461,3))</f>
        <v/>
      </c>
      <c r="AJ461" s="23" t="str">
        <f>IF(P461="","",DATE(YEAR(P461),MONTH(P461),1))</f>
        <v/>
      </c>
    </row>
    <row r="462">
      <c r="A462" s="21"/>
      <c r="B462" s="14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14"/>
      <c r="Q462" s="21"/>
      <c r="R462" s="21"/>
      <c r="S462" s="21"/>
      <c r="T462" s="21"/>
      <c r="U462" s="21"/>
      <c r="V462" s="14"/>
      <c r="W462" s="22"/>
      <c r="X462" s="14"/>
      <c r="Y462" s="11" t="str">
        <f>IF(V462="","",IF(X462&lt;&gt;"",IF(X462-V462&lt;30,"No","Sí"),IF(TODAY()-V462&gt;=30,"Sí","En curso")))</f>
        <v/>
      </c>
      <c r="Z462" s="14"/>
      <c r="AA462" s="21"/>
      <c r="AB462" s="14"/>
      <c r="AC462" s="21"/>
      <c r="AD462" s="21"/>
      <c r="AE462" s="7"/>
      <c r="AF462" s="11" t="str">
        <f>IF(OR(AC462&lt;&gt;"Abierto",Z462=""),"",TODAY()-Z462)</f>
        <v/>
      </c>
      <c r="AG462" s="11" t="str">
        <f>IF(AC462&lt;&gt;"Abierto","",IF(AB462="","Sin siguiente acción",IF(AB462&lt;TODAY(),"Vencido",IF(AB462=TODAY(),"Hoy","En tiempo"))))</f>
        <v/>
      </c>
      <c r="AH462" s="11" t="str">
        <f>IF(OR(B462="",V462=""),"",V462-B462)</f>
        <v/>
      </c>
      <c r="AI462" s="16" t="str">
        <f>IF(P462="","",P462-WEEKDAY(P462,3))</f>
        <v/>
      </c>
      <c r="AJ462" s="23" t="str">
        <f>IF(P462="","",DATE(YEAR(P462),MONTH(P462),1))</f>
        <v/>
      </c>
    </row>
    <row r="463">
      <c r="A463" s="21"/>
      <c r="B463" s="14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14"/>
      <c r="Q463" s="21"/>
      <c r="R463" s="21"/>
      <c r="S463" s="21"/>
      <c r="T463" s="21"/>
      <c r="U463" s="21"/>
      <c r="V463" s="14"/>
      <c r="W463" s="22"/>
      <c r="X463" s="14"/>
      <c r="Y463" s="11" t="str">
        <f>IF(V463="","",IF(X463&lt;&gt;"",IF(X463-V463&lt;30,"No","Sí"),IF(TODAY()-V463&gt;=30,"Sí","En curso")))</f>
        <v/>
      </c>
      <c r="Z463" s="14"/>
      <c r="AA463" s="21"/>
      <c r="AB463" s="14"/>
      <c r="AC463" s="21"/>
      <c r="AD463" s="21"/>
      <c r="AE463" s="7"/>
      <c r="AF463" s="11" t="str">
        <f>IF(OR(AC463&lt;&gt;"Abierto",Z463=""),"",TODAY()-Z463)</f>
        <v/>
      </c>
      <c r="AG463" s="11" t="str">
        <f>IF(AC463&lt;&gt;"Abierto","",IF(AB463="","Sin siguiente acción",IF(AB463&lt;TODAY(),"Vencido",IF(AB463=TODAY(),"Hoy","En tiempo"))))</f>
        <v/>
      </c>
      <c r="AH463" s="11" t="str">
        <f>IF(OR(B463="",V463=""),"",V463-B463)</f>
        <v/>
      </c>
      <c r="AI463" s="16" t="str">
        <f>IF(P463="","",P463-WEEKDAY(P463,3))</f>
        <v/>
      </c>
      <c r="AJ463" s="23" t="str">
        <f>IF(P463="","",DATE(YEAR(P463),MONTH(P463),1))</f>
        <v/>
      </c>
    </row>
    <row r="464">
      <c r="A464" s="21"/>
      <c r="B464" s="14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14"/>
      <c r="Q464" s="21"/>
      <c r="R464" s="21"/>
      <c r="S464" s="21"/>
      <c r="T464" s="21"/>
      <c r="U464" s="21"/>
      <c r="V464" s="14"/>
      <c r="W464" s="22"/>
      <c r="X464" s="14"/>
      <c r="Y464" s="11" t="str">
        <f>IF(V464="","",IF(X464&lt;&gt;"",IF(X464-V464&lt;30,"No","Sí"),IF(TODAY()-V464&gt;=30,"Sí","En curso")))</f>
        <v/>
      </c>
      <c r="Z464" s="14"/>
      <c r="AA464" s="21"/>
      <c r="AB464" s="14"/>
      <c r="AC464" s="21"/>
      <c r="AD464" s="21"/>
      <c r="AE464" s="7"/>
      <c r="AF464" s="11" t="str">
        <f>IF(OR(AC464&lt;&gt;"Abierto",Z464=""),"",TODAY()-Z464)</f>
        <v/>
      </c>
      <c r="AG464" s="11" t="str">
        <f>IF(AC464&lt;&gt;"Abierto","",IF(AB464="","Sin siguiente acción",IF(AB464&lt;TODAY(),"Vencido",IF(AB464=TODAY(),"Hoy","En tiempo"))))</f>
        <v/>
      </c>
      <c r="AH464" s="11" t="str">
        <f>IF(OR(B464="",V464=""),"",V464-B464)</f>
        <v/>
      </c>
      <c r="AI464" s="16" t="str">
        <f>IF(P464="","",P464-WEEKDAY(P464,3))</f>
        <v/>
      </c>
      <c r="AJ464" s="23" t="str">
        <f>IF(P464="","",DATE(YEAR(P464),MONTH(P464),1))</f>
        <v/>
      </c>
    </row>
    <row r="465">
      <c r="A465" s="21"/>
      <c r="B465" s="14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14"/>
      <c r="Q465" s="21"/>
      <c r="R465" s="21"/>
      <c r="S465" s="21"/>
      <c r="T465" s="21"/>
      <c r="U465" s="21"/>
      <c r="V465" s="14"/>
      <c r="W465" s="22"/>
      <c r="X465" s="14"/>
      <c r="Y465" s="11" t="str">
        <f>IF(V465="","",IF(X465&lt;&gt;"",IF(X465-V465&lt;30,"No","Sí"),IF(TODAY()-V465&gt;=30,"Sí","En curso")))</f>
        <v/>
      </c>
      <c r="Z465" s="14"/>
      <c r="AA465" s="21"/>
      <c r="AB465" s="14"/>
      <c r="AC465" s="21"/>
      <c r="AD465" s="21"/>
      <c r="AE465" s="7"/>
      <c r="AF465" s="11" t="str">
        <f>IF(OR(AC465&lt;&gt;"Abierto",Z465=""),"",TODAY()-Z465)</f>
        <v/>
      </c>
      <c r="AG465" s="11" t="str">
        <f>IF(AC465&lt;&gt;"Abierto","",IF(AB465="","Sin siguiente acción",IF(AB465&lt;TODAY(),"Vencido",IF(AB465=TODAY(),"Hoy","En tiempo"))))</f>
        <v/>
      </c>
      <c r="AH465" s="11" t="str">
        <f>IF(OR(B465="",V465=""),"",V465-B465)</f>
        <v/>
      </c>
      <c r="AI465" s="16" t="str">
        <f>IF(P465="","",P465-WEEKDAY(P465,3))</f>
        <v/>
      </c>
      <c r="AJ465" s="23" t="str">
        <f>IF(P465="","",DATE(YEAR(P465),MONTH(P465),1))</f>
        <v/>
      </c>
    </row>
    <row r="466">
      <c r="A466" s="21"/>
      <c r="B466" s="14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14"/>
      <c r="Q466" s="21"/>
      <c r="R466" s="21"/>
      <c r="S466" s="21"/>
      <c r="T466" s="21"/>
      <c r="U466" s="21"/>
      <c r="V466" s="14"/>
      <c r="W466" s="22"/>
      <c r="X466" s="14"/>
      <c r="Y466" s="11" t="str">
        <f>IF(V466="","",IF(X466&lt;&gt;"",IF(X466-V466&lt;30,"No","Sí"),IF(TODAY()-V466&gt;=30,"Sí","En curso")))</f>
        <v/>
      </c>
      <c r="Z466" s="14"/>
      <c r="AA466" s="21"/>
      <c r="AB466" s="14"/>
      <c r="AC466" s="21"/>
      <c r="AD466" s="21"/>
      <c r="AE466" s="7"/>
      <c r="AF466" s="11" t="str">
        <f>IF(OR(AC466&lt;&gt;"Abierto",Z466=""),"",TODAY()-Z466)</f>
        <v/>
      </c>
      <c r="AG466" s="11" t="str">
        <f>IF(AC466&lt;&gt;"Abierto","",IF(AB466="","Sin siguiente acción",IF(AB466&lt;TODAY(),"Vencido",IF(AB466=TODAY(),"Hoy","En tiempo"))))</f>
        <v/>
      </c>
      <c r="AH466" s="11" t="str">
        <f>IF(OR(B466="",V466=""),"",V466-B466)</f>
        <v/>
      </c>
      <c r="AI466" s="16" t="str">
        <f>IF(P466="","",P466-WEEKDAY(P466,3))</f>
        <v/>
      </c>
      <c r="AJ466" s="23" t="str">
        <f>IF(P466="","",DATE(YEAR(P466),MONTH(P466),1))</f>
        <v/>
      </c>
    </row>
    <row r="467">
      <c r="A467" s="21"/>
      <c r="B467" s="14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14"/>
      <c r="Q467" s="21"/>
      <c r="R467" s="21"/>
      <c r="S467" s="21"/>
      <c r="T467" s="21"/>
      <c r="U467" s="21"/>
      <c r="V467" s="14"/>
      <c r="W467" s="22"/>
      <c r="X467" s="14"/>
      <c r="Y467" s="11" t="str">
        <f>IF(V467="","",IF(X467&lt;&gt;"",IF(X467-V467&lt;30,"No","Sí"),IF(TODAY()-V467&gt;=30,"Sí","En curso")))</f>
        <v/>
      </c>
      <c r="Z467" s="14"/>
      <c r="AA467" s="21"/>
      <c r="AB467" s="14"/>
      <c r="AC467" s="21"/>
      <c r="AD467" s="21"/>
      <c r="AE467" s="7"/>
      <c r="AF467" s="11" t="str">
        <f>IF(OR(AC467&lt;&gt;"Abierto",Z467=""),"",TODAY()-Z467)</f>
        <v/>
      </c>
      <c r="AG467" s="11" t="str">
        <f>IF(AC467&lt;&gt;"Abierto","",IF(AB467="","Sin siguiente acción",IF(AB467&lt;TODAY(),"Vencido",IF(AB467=TODAY(),"Hoy","En tiempo"))))</f>
        <v/>
      </c>
      <c r="AH467" s="11" t="str">
        <f>IF(OR(B467="",V467=""),"",V467-B467)</f>
        <v/>
      </c>
      <c r="AI467" s="16" t="str">
        <f>IF(P467="","",P467-WEEKDAY(P467,3))</f>
        <v/>
      </c>
      <c r="AJ467" s="23" t="str">
        <f>IF(P467="","",DATE(YEAR(P467),MONTH(P467),1))</f>
        <v/>
      </c>
    </row>
    <row r="468">
      <c r="A468" s="21"/>
      <c r="B468" s="14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14"/>
      <c r="Q468" s="21"/>
      <c r="R468" s="21"/>
      <c r="S468" s="21"/>
      <c r="T468" s="21"/>
      <c r="U468" s="21"/>
      <c r="V468" s="14"/>
      <c r="W468" s="22"/>
      <c r="X468" s="14"/>
      <c r="Y468" s="11" t="str">
        <f>IF(V468="","",IF(X468&lt;&gt;"",IF(X468-V468&lt;30,"No","Sí"),IF(TODAY()-V468&gt;=30,"Sí","En curso")))</f>
        <v/>
      </c>
      <c r="Z468" s="14"/>
      <c r="AA468" s="21"/>
      <c r="AB468" s="14"/>
      <c r="AC468" s="21"/>
      <c r="AD468" s="21"/>
      <c r="AE468" s="7"/>
      <c r="AF468" s="11" t="str">
        <f>IF(OR(AC468&lt;&gt;"Abierto",Z468=""),"",TODAY()-Z468)</f>
        <v/>
      </c>
      <c r="AG468" s="11" t="str">
        <f>IF(AC468&lt;&gt;"Abierto","",IF(AB468="","Sin siguiente acción",IF(AB468&lt;TODAY(),"Vencido",IF(AB468=TODAY(),"Hoy","En tiempo"))))</f>
        <v/>
      </c>
      <c r="AH468" s="11" t="str">
        <f>IF(OR(B468="",V468=""),"",V468-B468)</f>
        <v/>
      </c>
      <c r="AI468" s="16" t="str">
        <f>IF(P468="","",P468-WEEKDAY(P468,3))</f>
        <v/>
      </c>
      <c r="AJ468" s="23" t="str">
        <f>IF(P468="","",DATE(YEAR(P468),MONTH(P468),1))</f>
        <v/>
      </c>
    </row>
    <row r="469">
      <c r="A469" s="21"/>
      <c r="B469" s="14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14"/>
      <c r="Q469" s="21"/>
      <c r="R469" s="21"/>
      <c r="S469" s="21"/>
      <c r="T469" s="21"/>
      <c r="U469" s="21"/>
      <c r="V469" s="14"/>
      <c r="W469" s="22"/>
      <c r="X469" s="14"/>
      <c r="Y469" s="11" t="str">
        <f>IF(V469="","",IF(X469&lt;&gt;"",IF(X469-V469&lt;30,"No","Sí"),IF(TODAY()-V469&gt;=30,"Sí","En curso")))</f>
        <v/>
      </c>
      <c r="Z469" s="14"/>
      <c r="AA469" s="21"/>
      <c r="AB469" s="14"/>
      <c r="AC469" s="21"/>
      <c r="AD469" s="21"/>
      <c r="AE469" s="7"/>
      <c r="AF469" s="11" t="str">
        <f>IF(OR(AC469&lt;&gt;"Abierto",Z469=""),"",TODAY()-Z469)</f>
        <v/>
      </c>
      <c r="AG469" s="11" t="str">
        <f>IF(AC469&lt;&gt;"Abierto","",IF(AB469="","Sin siguiente acción",IF(AB469&lt;TODAY(),"Vencido",IF(AB469=TODAY(),"Hoy","En tiempo"))))</f>
        <v/>
      </c>
      <c r="AH469" s="11" t="str">
        <f>IF(OR(B469="",V469=""),"",V469-B469)</f>
        <v/>
      </c>
      <c r="AI469" s="16" t="str">
        <f>IF(P469="","",P469-WEEKDAY(P469,3))</f>
        <v/>
      </c>
      <c r="AJ469" s="23" t="str">
        <f>IF(P469="","",DATE(YEAR(P469),MONTH(P469),1))</f>
        <v/>
      </c>
    </row>
    <row r="470">
      <c r="A470" s="21"/>
      <c r="B470" s="14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14"/>
      <c r="Q470" s="21"/>
      <c r="R470" s="21"/>
      <c r="S470" s="21"/>
      <c r="T470" s="21"/>
      <c r="U470" s="21"/>
      <c r="V470" s="14"/>
      <c r="W470" s="22"/>
      <c r="X470" s="14"/>
      <c r="Y470" s="11" t="str">
        <f>IF(V470="","",IF(X470&lt;&gt;"",IF(X470-V470&lt;30,"No","Sí"),IF(TODAY()-V470&gt;=30,"Sí","En curso")))</f>
        <v/>
      </c>
      <c r="Z470" s="14"/>
      <c r="AA470" s="21"/>
      <c r="AB470" s="14"/>
      <c r="AC470" s="21"/>
      <c r="AD470" s="21"/>
      <c r="AE470" s="7"/>
      <c r="AF470" s="11" t="str">
        <f>IF(OR(AC470&lt;&gt;"Abierto",Z470=""),"",TODAY()-Z470)</f>
        <v/>
      </c>
      <c r="AG470" s="11" t="str">
        <f>IF(AC470&lt;&gt;"Abierto","",IF(AB470="","Sin siguiente acción",IF(AB470&lt;TODAY(),"Vencido",IF(AB470=TODAY(),"Hoy","En tiempo"))))</f>
        <v/>
      </c>
      <c r="AH470" s="11" t="str">
        <f>IF(OR(B470="",V470=""),"",V470-B470)</f>
        <v/>
      </c>
      <c r="AI470" s="16" t="str">
        <f>IF(P470="","",P470-WEEKDAY(P470,3))</f>
        <v/>
      </c>
      <c r="AJ470" s="23" t="str">
        <f>IF(P470="","",DATE(YEAR(P470),MONTH(P470),1))</f>
        <v/>
      </c>
    </row>
    <row r="471">
      <c r="A471" s="21"/>
      <c r="B471" s="14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14"/>
      <c r="Q471" s="21"/>
      <c r="R471" s="21"/>
      <c r="S471" s="21"/>
      <c r="T471" s="21"/>
      <c r="U471" s="21"/>
      <c r="V471" s="14"/>
      <c r="W471" s="22"/>
      <c r="X471" s="14"/>
      <c r="Y471" s="11" t="str">
        <f>IF(V471="","",IF(X471&lt;&gt;"",IF(X471-V471&lt;30,"No","Sí"),IF(TODAY()-V471&gt;=30,"Sí","En curso")))</f>
        <v/>
      </c>
      <c r="Z471" s="14"/>
      <c r="AA471" s="21"/>
      <c r="AB471" s="14"/>
      <c r="AC471" s="21"/>
      <c r="AD471" s="21"/>
      <c r="AE471" s="7"/>
      <c r="AF471" s="11" t="str">
        <f>IF(OR(AC471&lt;&gt;"Abierto",Z471=""),"",TODAY()-Z471)</f>
        <v/>
      </c>
      <c r="AG471" s="11" t="str">
        <f>IF(AC471&lt;&gt;"Abierto","",IF(AB471="","Sin siguiente acción",IF(AB471&lt;TODAY(),"Vencido",IF(AB471=TODAY(),"Hoy","En tiempo"))))</f>
        <v/>
      </c>
      <c r="AH471" s="11" t="str">
        <f>IF(OR(B471="",V471=""),"",V471-B471)</f>
        <v/>
      </c>
      <c r="AI471" s="16" t="str">
        <f>IF(P471="","",P471-WEEKDAY(P471,3))</f>
        <v/>
      </c>
      <c r="AJ471" s="23" t="str">
        <f>IF(P471="","",DATE(YEAR(P471),MONTH(P471),1))</f>
        <v/>
      </c>
    </row>
    <row r="472">
      <c r="A472" s="21"/>
      <c r="B472" s="14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14"/>
      <c r="Q472" s="21"/>
      <c r="R472" s="21"/>
      <c r="S472" s="21"/>
      <c r="T472" s="21"/>
      <c r="U472" s="21"/>
      <c r="V472" s="14"/>
      <c r="W472" s="22"/>
      <c r="X472" s="14"/>
      <c r="Y472" s="11" t="str">
        <f>IF(V472="","",IF(X472&lt;&gt;"",IF(X472-V472&lt;30,"No","Sí"),IF(TODAY()-V472&gt;=30,"Sí","En curso")))</f>
        <v/>
      </c>
      <c r="Z472" s="14"/>
      <c r="AA472" s="21"/>
      <c r="AB472" s="14"/>
      <c r="AC472" s="21"/>
      <c r="AD472" s="21"/>
      <c r="AE472" s="7"/>
      <c r="AF472" s="11" t="str">
        <f>IF(OR(AC472&lt;&gt;"Abierto",Z472=""),"",TODAY()-Z472)</f>
        <v/>
      </c>
      <c r="AG472" s="11" t="str">
        <f>IF(AC472&lt;&gt;"Abierto","",IF(AB472="","Sin siguiente acción",IF(AB472&lt;TODAY(),"Vencido",IF(AB472=TODAY(),"Hoy","En tiempo"))))</f>
        <v/>
      </c>
      <c r="AH472" s="11" t="str">
        <f>IF(OR(B472="",V472=""),"",V472-B472)</f>
        <v/>
      </c>
      <c r="AI472" s="16" t="str">
        <f>IF(P472="","",P472-WEEKDAY(P472,3))</f>
        <v/>
      </c>
      <c r="AJ472" s="23" t="str">
        <f>IF(P472="","",DATE(YEAR(P472),MONTH(P472),1))</f>
        <v/>
      </c>
    </row>
    <row r="473">
      <c r="A473" s="21"/>
      <c r="B473" s="14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14"/>
      <c r="Q473" s="21"/>
      <c r="R473" s="21"/>
      <c r="S473" s="21"/>
      <c r="T473" s="21"/>
      <c r="U473" s="21"/>
      <c r="V473" s="14"/>
      <c r="W473" s="22"/>
      <c r="X473" s="14"/>
      <c r="Y473" s="11" t="str">
        <f>IF(V473="","",IF(X473&lt;&gt;"",IF(X473-V473&lt;30,"No","Sí"),IF(TODAY()-V473&gt;=30,"Sí","En curso")))</f>
        <v/>
      </c>
      <c r="Z473" s="14"/>
      <c r="AA473" s="21"/>
      <c r="AB473" s="14"/>
      <c r="AC473" s="21"/>
      <c r="AD473" s="21"/>
      <c r="AE473" s="7"/>
      <c r="AF473" s="11" t="str">
        <f>IF(OR(AC473&lt;&gt;"Abierto",Z473=""),"",TODAY()-Z473)</f>
        <v/>
      </c>
      <c r="AG473" s="11" t="str">
        <f>IF(AC473&lt;&gt;"Abierto","",IF(AB473="","Sin siguiente acción",IF(AB473&lt;TODAY(),"Vencido",IF(AB473=TODAY(),"Hoy","En tiempo"))))</f>
        <v/>
      </c>
      <c r="AH473" s="11" t="str">
        <f>IF(OR(B473="",V473=""),"",V473-B473)</f>
        <v/>
      </c>
      <c r="AI473" s="16" t="str">
        <f>IF(P473="","",P473-WEEKDAY(P473,3))</f>
        <v/>
      </c>
      <c r="AJ473" s="23" t="str">
        <f>IF(P473="","",DATE(YEAR(P473),MONTH(P473),1))</f>
        <v/>
      </c>
    </row>
    <row r="474">
      <c r="A474" s="21"/>
      <c r="B474" s="14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14"/>
      <c r="Q474" s="21"/>
      <c r="R474" s="21"/>
      <c r="S474" s="21"/>
      <c r="T474" s="21"/>
      <c r="U474" s="21"/>
      <c r="V474" s="14"/>
      <c r="W474" s="22"/>
      <c r="X474" s="14"/>
      <c r="Y474" s="11" t="str">
        <f>IF(V474="","",IF(X474&lt;&gt;"",IF(X474-V474&lt;30,"No","Sí"),IF(TODAY()-V474&gt;=30,"Sí","En curso")))</f>
        <v/>
      </c>
      <c r="Z474" s="14"/>
      <c r="AA474" s="21"/>
      <c r="AB474" s="14"/>
      <c r="AC474" s="21"/>
      <c r="AD474" s="21"/>
      <c r="AE474" s="7"/>
      <c r="AF474" s="11" t="str">
        <f>IF(OR(AC474&lt;&gt;"Abierto",Z474=""),"",TODAY()-Z474)</f>
        <v/>
      </c>
      <c r="AG474" s="11" t="str">
        <f>IF(AC474&lt;&gt;"Abierto","",IF(AB474="","Sin siguiente acción",IF(AB474&lt;TODAY(),"Vencido",IF(AB474=TODAY(),"Hoy","En tiempo"))))</f>
        <v/>
      </c>
      <c r="AH474" s="11" t="str">
        <f>IF(OR(B474="",V474=""),"",V474-B474)</f>
        <v/>
      </c>
      <c r="AI474" s="16" t="str">
        <f>IF(P474="","",P474-WEEKDAY(P474,3))</f>
        <v/>
      </c>
      <c r="AJ474" s="23" t="str">
        <f>IF(P474="","",DATE(YEAR(P474),MONTH(P474),1))</f>
        <v/>
      </c>
    </row>
    <row r="475">
      <c r="A475" s="21"/>
      <c r="B475" s="14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14"/>
      <c r="Q475" s="21"/>
      <c r="R475" s="21"/>
      <c r="S475" s="21"/>
      <c r="T475" s="21"/>
      <c r="U475" s="21"/>
      <c r="V475" s="14"/>
      <c r="W475" s="22"/>
      <c r="X475" s="14"/>
      <c r="Y475" s="11" t="str">
        <f>IF(V475="","",IF(X475&lt;&gt;"",IF(X475-V475&lt;30,"No","Sí"),IF(TODAY()-V475&gt;=30,"Sí","En curso")))</f>
        <v/>
      </c>
      <c r="Z475" s="14"/>
      <c r="AA475" s="21"/>
      <c r="AB475" s="14"/>
      <c r="AC475" s="21"/>
      <c r="AD475" s="21"/>
      <c r="AE475" s="7"/>
      <c r="AF475" s="11" t="str">
        <f>IF(OR(AC475&lt;&gt;"Abierto",Z475=""),"",TODAY()-Z475)</f>
        <v/>
      </c>
      <c r="AG475" s="11" t="str">
        <f>IF(AC475&lt;&gt;"Abierto","",IF(AB475="","Sin siguiente acción",IF(AB475&lt;TODAY(),"Vencido",IF(AB475=TODAY(),"Hoy","En tiempo"))))</f>
        <v/>
      </c>
      <c r="AH475" s="11" t="str">
        <f>IF(OR(B475="",V475=""),"",V475-B475)</f>
        <v/>
      </c>
      <c r="AI475" s="16" t="str">
        <f>IF(P475="","",P475-WEEKDAY(P475,3))</f>
        <v/>
      </c>
      <c r="AJ475" s="23" t="str">
        <f>IF(P475="","",DATE(YEAR(P475),MONTH(P475),1))</f>
        <v/>
      </c>
    </row>
    <row r="476">
      <c r="A476" s="21"/>
      <c r="B476" s="14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14"/>
      <c r="Q476" s="21"/>
      <c r="R476" s="21"/>
      <c r="S476" s="21"/>
      <c r="T476" s="21"/>
      <c r="U476" s="21"/>
      <c r="V476" s="14"/>
      <c r="W476" s="22"/>
      <c r="X476" s="14"/>
      <c r="Y476" s="11" t="str">
        <f>IF(V476="","",IF(X476&lt;&gt;"",IF(X476-V476&lt;30,"No","Sí"),IF(TODAY()-V476&gt;=30,"Sí","En curso")))</f>
        <v/>
      </c>
      <c r="Z476" s="14"/>
      <c r="AA476" s="21"/>
      <c r="AB476" s="14"/>
      <c r="AC476" s="21"/>
      <c r="AD476" s="21"/>
      <c r="AE476" s="7"/>
      <c r="AF476" s="11" t="str">
        <f>IF(OR(AC476&lt;&gt;"Abierto",Z476=""),"",TODAY()-Z476)</f>
        <v/>
      </c>
      <c r="AG476" s="11" t="str">
        <f>IF(AC476&lt;&gt;"Abierto","",IF(AB476="","Sin siguiente acción",IF(AB476&lt;TODAY(),"Vencido",IF(AB476=TODAY(),"Hoy","En tiempo"))))</f>
        <v/>
      </c>
      <c r="AH476" s="11" t="str">
        <f>IF(OR(B476="",V476=""),"",V476-B476)</f>
        <v/>
      </c>
      <c r="AI476" s="16" t="str">
        <f>IF(P476="","",P476-WEEKDAY(P476,3))</f>
        <v/>
      </c>
      <c r="AJ476" s="23" t="str">
        <f>IF(P476="","",DATE(YEAR(P476),MONTH(P476),1))</f>
        <v/>
      </c>
    </row>
    <row r="477">
      <c r="A477" s="21"/>
      <c r="B477" s="14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14"/>
      <c r="Q477" s="21"/>
      <c r="R477" s="21"/>
      <c r="S477" s="21"/>
      <c r="T477" s="21"/>
      <c r="U477" s="21"/>
      <c r="V477" s="14"/>
      <c r="W477" s="22"/>
      <c r="X477" s="14"/>
      <c r="Y477" s="11" t="str">
        <f>IF(V477="","",IF(X477&lt;&gt;"",IF(X477-V477&lt;30,"No","Sí"),IF(TODAY()-V477&gt;=30,"Sí","En curso")))</f>
        <v/>
      </c>
      <c r="Z477" s="14"/>
      <c r="AA477" s="21"/>
      <c r="AB477" s="14"/>
      <c r="AC477" s="21"/>
      <c r="AD477" s="21"/>
      <c r="AE477" s="7"/>
      <c r="AF477" s="11" t="str">
        <f>IF(OR(AC477&lt;&gt;"Abierto",Z477=""),"",TODAY()-Z477)</f>
        <v/>
      </c>
      <c r="AG477" s="11" t="str">
        <f>IF(AC477&lt;&gt;"Abierto","",IF(AB477="","Sin siguiente acción",IF(AB477&lt;TODAY(),"Vencido",IF(AB477=TODAY(),"Hoy","En tiempo"))))</f>
        <v/>
      </c>
      <c r="AH477" s="11" t="str">
        <f>IF(OR(B477="",V477=""),"",V477-B477)</f>
        <v/>
      </c>
      <c r="AI477" s="16" t="str">
        <f>IF(P477="","",P477-WEEKDAY(P477,3))</f>
        <v/>
      </c>
      <c r="AJ477" s="23" t="str">
        <f>IF(P477="","",DATE(YEAR(P477),MONTH(P477),1))</f>
        <v/>
      </c>
    </row>
    <row r="478">
      <c r="A478" s="21"/>
      <c r="B478" s="14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14"/>
      <c r="Q478" s="21"/>
      <c r="R478" s="21"/>
      <c r="S478" s="21"/>
      <c r="T478" s="21"/>
      <c r="U478" s="21"/>
      <c r="V478" s="14"/>
      <c r="W478" s="22"/>
      <c r="X478" s="14"/>
      <c r="Y478" s="11" t="str">
        <f>IF(V478="","",IF(X478&lt;&gt;"",IF(X478-V478&lt;30,"No","Sí"),IF(TODAY()-V478&gt;=30,"Sí","En curso")))</f>
        <v/>
      </c>
      <c r="Z478" s="14"/>
      <c r="AA478" s="21"/>
      <c r="AB478" s="14"/>
      <c r="AC478" s="21"/>
      <c r="AD478" s="21"/>
      <c r="AE478" s="7"/>
      <c r="AF478" s="11" t="str">
        <f>IF(OR(AC478&lt;&gt;"Abierto",Z478=""),"",TODAY()-Z478)</f>
        <v/>
      </c>
      <c r="AG478" s="11" t="str">
        <f>IF(AC478&lt;&gt;"Abierto","",IF(AB478="","Sin siguiente acción",IF(AB478&lt;TODAY(),"Vencido",IF(AB478=TODAY(),"Hoy","En tiempo"))))</f>
        <v/>
      </c>
      <c r="AH478" s="11" t="str">
        <f>IF(OR(B478="",V478=""),"",V478-B478)</f>
        <v/>
      </c>
      <c r="AI478" s="16" t="str">
        <f>IF(P478="","",P478-WEEKDAY(P478,3))</f>
        <v/>
      </c>
      <c r="AJ478" s="23" t="str">
        <f>IF(P478="","",DATE(YEAR(P478),MONTH(P478),1))</f>
        <v/>
      </c>
    </row>
    <row r="479">
      <c r="A479" s="21"/>
      <c r="B479" s="14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14"/>
      <c r="Q479" s="21"/>
      <c r="R479" s="21"/>
      <c r="S479" s="21"/>
      <c r="T479" s="21"/>
      <c r="U479" s="21"/>
      <c r="V479" s="14"/>
      <c r="W479" s="22"/>
      <c r="X479" s="14"/>
      <c r="Y479" s="11" t="str">
        <f>IF(V479="","",IF(X479&lt;&gt;"",IF(X479-V479&lt;30,"No","Sí"),IF(TODAY()-V479&gt;=30,"Sí","En curso")))</f>
        <v/>
      </c>
      <c r="Z479" s="14"/>
      <c r="AA479" s="21"/>
      <c r="AB479" s="14"/>
      <c r="AC479" s="21"/>
      <c r="AD479" s="21"/>
      <c r="AE479" s="7"/>
      <c r="AF479" s="11" t="str">
        <f>IF(OR(AC479&lt;&gt;"Abierto",Z479=""),"",TODAY()-Z479)</f>
        <v/>
      </c>
      <c r="AG479" s="11" t="str">
        <f>IF(AC479&lt;&gt;"Abierto","",IF(AB479="","Sin siguiente acción",IF(AB479&lt;TODAY(),"Vencido",IF(AB479=TODAY(),"Hoy","En tiempo"))))</f>
        <v/>
      </c>
      <c r="AH479" s="11" t="str">
        <f>IF(OR(B479="",V479=""),"",V479-B479)</f>
        <v/>
      </c>
      <c r="AI479" s="16" t="str">
        <f>IF(P479="","",P479-WEEKDAY(P479,3))</f>
        <v/>
      </c>
      <c r="AJ479" s="23" t="str">
        <f>IF(P479="","",DATE(YEAR(P479),MONTH(P479),1))</f>
        <v/>
      </c>
    </row>
    <row r="480">
      <c r="A480" s="21"/>
      <c r="B480" s="14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14"/>
      <c r="Q480" s="21"/>
      <c r="R480" s="21"/>
      <c r="S480" s="21"/>
      <c r="T480" s="21"/>
      <c r="U480" s="21"/>
      <c r="V480" s="14"/>
      <c r="W480" s="22"/>
      <c r="X480" s="14"/>
      <c r="Y480" s="11" t="str">
        <f>IF(V480="","",IF(X480&lt;&gt;"",IF(X480-V480&lt;30,"No","Sí"),IF(TODAY()-V480&gt;=30,"Sí","En curso")))</f>
        <v/>
      </c>
      <c r="Z480" s="14"/>
      <c r="AA480" s="21"/>
      <c r="AB480" s="14"/>
      <c r="AC480" s="21"/>
      <c r="AD480" s="21"/>
      <c r="AE480" s="7"/>
      <c r="AF480" s="11" t="str">
        <f>IF(OR(AC480&lt;&gt;"Abierto",Z480=""),"",TODAY()-Z480)</f>
        <v/>
      </c>
      <c r="AG480" s="11" t="str">
        <f>IF(AC480&lt;&gt;"Abierto","",IF(AB480="","Sin siguiente acción",IF(AB480&lt;TODAY(),"Vencido",IF(AB480=TODAY(),"Hoy","En tiempo"))))</f>
        <v/>
      </c>
      <c r="AH480" s="11" t="str">
        <f>IF(OR(B480="",V480=""),"",V480-B480)</f>
        <v/>
      </c>
      <c r="AI480" s="16" t="str">
        <f>IF(P480="","",P480-WEEKDAY(P480,3))</f>
        <v/>
      </c>
      <c r="AJ480" s="23" t="str">
        <f>IF(P480="","",DATE(YEAR(P480),MONTH(P480),1))</f>
        <v/>
      </c>
    </row>
    <row r="481">
      <c r="A481" s="21"/>
      <c r="B481" s="14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14"/>
      <c r="Q481" s="21"/>
      <c r="R481" s="21"/>
      <c r="S481" s="21"/>
      <c r="T481" s="21"/>
      <c r="U481" s="21"/>
      <c r="V481" s="14"/>
      <c r="W481" s="22"/>
      <c r="X481" s="14"/>
      <c r="Y481" s="11" t="str">
        <f>IF(V481="","",IF(X481&lt;&gt;"",IF(X481-V481&lt;30,"No","Sí"),IF(TODAY()-V481&gt;=30,"Sí","En curso")))</f>
        <v/>
      </c>
      <c r="Z481" s="14"/>
      <c r="AA481" s="21"/>
      <c r="AB481" s="14"/>
      <c r="AC481" s="21"/>
      <c r="AD481" s="21"/>
      <c r="AE481" s="7"/>
      <c r="AF481" s="11" t="str">
        <f>IF(OR(AC481&lt;&gt;"Abierto",Z481=""),"",TODAY()-Z481)</f>
        <v/>
      </c>
      <c r="AG481" s="11" t="str">
        <f>IF(AC481&lt;&gt;"Abierto","",IF(AB481="","Sin siguiente acción",IF(AB481&lt;TODAY(),"Vencido",IF(AB481=TODAY(),"Hoy","En tiempo"))))</f>
        <v/>
      </c>
      <c r="AH481" s="11" t="str">
        <f>IF(OR(B481="",V481=""),"",V481-B481)</f>
        <v/>
      </c>
      <c r="AI481" s="16" t="str">
        <f>IF(P481="","",P481-WEEKDAY(P481,3))</f>
        <v/>
      </c>
      <c r="AJ481" s="23" t="str">
        <f>IF(P481="","",DATE(YEAR(P481),MONTH(P481),1))</f>
        <v/>
      </c>
    </row>
    <row r="482">
      <c r="A482" s="21"/>
      <c r="B482" s="14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14"/>
      <c r="Q482" s="21"/>
      <c r="R482" s="21"/>
      <c r="S482" s="21"/>
      <c r="T482" s="21"/>
      <c r="U482" s="21"/>
      <c r="V482" s="14"/>
      <c r="W482" s="22"/>
      <c r="X482" s="14"/>
      <c r="Y482" s="11" t="str">
        <f>IF(V482="","",IF(X482&lt;&gt;"",IF(X482-V482&lt;30,"No","Sí"),IF(TODAY()-V482&gt;=30,"Sí","En curso")))</f>
        <v/>
      </c>
      <c r="Z482" s="14"/>
      <c r="AA482" s="21"/>
      <c r="AB482" s="14"/>
      <c r="AC482" s="21"/>
      <c r="AD482" s="21"/>
      <c r="AE482" s="7"/>
      <c r="AF482" s="11" t="str">
        <f>IF(OR(AC482&lt;&gt;"Abierto",Z482=""),"",TODAY()-Z482)</f>
        <v/>
      </c>
      <c r="AG482" s="11" t="str">
        <f>IF(AC482&lt;&gt;"Abierto","",IF(AB482="","Sin siguiente acción",IF(AB482&lt;TODAY(),"Vencido",IF(AB482=TODAY(),"Hoy","En tiempo"))))</f>
        <v/>
      </c>
      <c r="AH482" s="11" t="str">
        <f>IF(OR(B482="",V482=""),"",V482-B482)</f>
        <v/>
      </c>
      <c r="AI482" s="16" t="str">
        <f>IF(P482="","",P482-WEEKDAY(P482,3))</f>
        <v/>
      </c>
      <c r="AJ482" s="23" t="str">
        <f>IF(P482="","",DATE(YEAR(P482),MONTH(P482),1))</f>
        <v/>
      </c>
    </row>
    <row r="483">
      <c r="A483" s="21"/>
      <c r="B483" s="14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14"/>
      <c r="Q483" s="21"/>
      <c r="R483" s="21"/>
      <c r="S483" s="21"/>
      <c r="T483" s="21"/>
      <c r="U483" s="21"/>
      <c r="V483" s="14"/>
      <c r="W483" s="22"/>
      <c r="X483" s="14"/>
      <c r="Y483" s="11" t="str">
        <f>IF(V483="","",IF(X483&lt;&gt;"",IF(X483-V483&lt;30,"No","Sí"),IF(TODAY()-V483&gt;=30,"Sí","En curso")))</f>
        <v/>
      </c>
      <c r="Z483" s="14"/>
      <c r="AA483" s="21"/>
      <c r="AB483" s="14"/>
      <c r="AC483" s="21"/>
      <c r="AD483" s="21"/>
      <c r="AE483" s="7"/>
      <c r="AF483" s="11" t="str">
        <f>IF(OR(AC483&lt;&gt;"Abierto",Z483=""),"",TODAY()-Z483)</f>
        <v/>
      </c>
      <c r="AG483" s="11" t="str">
        <f>IF(AC483&lt;&gt;"Abierto","",IF(AB483="","Sin siguiente acción",IF(AB483&lt;TODAY(),"Vencido",IF(AB483=TODAY(),"Hoy","En tiempo"))))</f>
        <v/>
      </c>
      <c r="AH483" s="11" t="str">
        <f>IF(OR(B483="",V483=""),"",V483-B483)</f>
        <v/>
      </c>
      <c r="AI483" s="16" t="str">
        <f>IF(P483="","",P483-WEEKDAY(P483,3))</f>
        <v/>
      </c>
      <c r="AJ483" s="23" t="str">
        <f>IF(P483="","",DATE(YEAR(P483),MONTH(P483),1))</f>
        <v/>
      </c>
    </row>
    <row r="484">
      <c r="A484" s="21"/>
      <c r="B484" s="14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14"/>
      <c r="Q484" s="21"/>
      <c r="R484" s="21"/>
      <c r="S484" s="21"/>
      <c r="T484" s="21"/>
      <c r="U484" s="21"/>
      <c r="V484" s="14"/>
      <c r="W484" s="22"/>
      <c r="X484" s="14"/>
      <c r="Y484" s="11" t="str">
        <f>IF(V484="","",IF(X484&lt;&gt;"",IF(X484-V484&lt;30,"No","Sí"),IF(TODAY()-V484&gt;=30,"Sí","En curso")))</f>
        <v/>
      </c>
      <c r="Z484" s="14"/>
      <c r="AA484" s="21"/>
      <c r="AB484" s="14"/>
      <c r="AC484" s="21"/>
      <c r="AD484" s="21"/>
      <c r="AE484" s="7"/>
      <c r="AF484" s="11" t="str">
        <f>IF(OR(AC484&lt;&gt;"Abierto",Z484=""),"",TODAY()-Z484)</f>
        <v/>
      </c>
      <c r="AG484" s="11" t="str">
        <f>IF(AC484&lt;&gt;"Abierto","",IF(AB484="","Sin siguiente acción",IF(AB484&lt;TODAY(),"Vencido",IF(AB484=TODAY(),"Hoy","En tiempo"))))</f>
        <v/>
      </c>
      <c r="AH484" s="11" t="str">
        <f>IF(OR(B484="",V484=""),"",V484-B484)</f>
        <v/>
      </c>
      <c r="AI484" s="16" t="str">
        <f>IF(P484="","",P484-WEEKDAY(P484,3))</f>
        <v/>
      </c>
      <c r="AJ484" s="23" t="str">
        <f>IF(P484="","",DATE(YEAR(P484),MONTH(P484),1))</f>
        <v/>
      </c>
    </row>
    <row r="485">
      <c r="A485" s="21"/>
      <c r="B485" s="14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14"/>
      <c r="Q485" s="21"/>
      <c r="R485" s="21"/>
      <c r="S485" s="21"/>
      <c r="T485" s="21"/>
      <c r="U485" s="21"/>
      <c r="V485" s="14"/>
      <c r="W485" s="22"/>
      <c r="X485" s="14"/>
      <c r="Y485" s="11" t="str">
        <f>IF(V485="","",IF(X485&lt;&gt;"",IF(X485-V485&lt;30,"No","Sí"),IF(TODAY()-V485&gt;=30,"Sí","En curso")))</f>
        <v/>
      </c>
      <c r="Z485" s="14"/>
      <c r="AA485" s="21"/>
      <c r="AB485" s="14"/>
      <c r="AC485" s="21"/>
      <c r="AD485" s="21"/>
      <c r="AE485" s="7"/>
      <c r="AF485" s="11" t="str">
        <f>IF(OR(AC485&lt;&gt;"Abierto",Z485=""),"",TODAY()-Z485)</f>
        <v/>
      </c>
      <c r="AG485" s="11" t="str">
        <f>IF(AC485&lt;&gt;"Abierto","",IF(AB485="","Sin siguiente acción",IF(AB485&lt;TODAY(),"Vencido",IF(AB485=TODAY(),"Hoy","En tiempo"))))</f>
        <v/>
      </c>
      <c r="AH485" s="11" t="str">
        <f>IF(OR(B485="",V485=""),"",V485-B485)</f>
        <v/>
      </c>
      <c r="AI485" s="16" t="str">
        <f>IF(P485="","",P485-WEEKDAY(P485,3))</f>
        <v/>
      </c>
      <c r="AJ485" s="23" t="str">
        <f>IF(P485="","",DATE(YEAR(P485),MONTH(P485),1))</f>
        <v/>
      </c>
    </row>
    <row r="486">
      <c r="A486" s="21"/>
      <c r="B486" s="14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14"/>
      <c r="Q486" s="21"/>
      <c r="R486" s="21"/>
      <c r="S486" s="21"/>
      <c r="T486" s="21"/>
      <c r="U486" s="21"/>
      <c r="V486" s="14"/>
      <c r="W486" s="22"/>
      <c r="X486" s="14"/>
      <c r="Y486" s="11" t="str">
        <f>IF(V486="","",IF(X486&lt;&gt;"",IF(X486-V486&lt;30,"No","Sí"),IF(TODAY()-V486&gt;=30,"Sí","En curso")))</f>
        <v/>
      </c>
      <c r="Z486" s="14"/>
      <c r="AA486" s="21"/>
      <c r="AB486" s="14"/>
      <c r="AC486" s="21"/>
      <c r="AD486" s="21"/>
      <c r="AE486" s="7"/>
      <c r="AF486" s="11" t="str">
        <f>IF(OR(AC486&lt;&gt;"Abierto",Z486=""),"",TODAY()-Z486)</f>
        <v/>
      </c>
      <c r="AG486" s="11" t="str">
        <f>IF(AC486&lt;&gt;"Abierto","",IF(AB486="","Sin siguiente acción",IF(AB486&lt;TODAY(),"Vencido",IF(AB486=TODAY(),"Hoy","En tiempo"))))</f>
        <v/>
      </c>
      <c r="AH486" s="11" t="str">
        <f>IF(OR(B486="",V486=""),"",V486-B486)</f>
        <v/>
      </c>
      <c r="AI486" s="16" t="str">
        <f>IF(P486="","",P486-WEEKDAY(P486,3))</f>
        <v/>
      </c>
      <c r="AJ486" s="23" t="str">
        <f>IF(P486="","",DATE(YEAR(P486),MONTH(P486),1))</f>
        <v/>
      </c>
    </row>
    <row r="487">
      <c r="A487" s="21"/>
      <c r="B487" s="14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14"/>
      <c r="Q487" s="21"/>
      <c r="R487" s="21"/>
      <c r="S487" s="21"/>
      <c r="T487" s="21"/>
      <c r="U487" s="21"/>
      <c r="V487" s="14"/>
      <c r="W487" s="22"/>
      <c r="X487" s="14"/>
      <c r="Y487" s="11" t="str">
        <f>IF(V487="","",IF(X487&lt;&gt;"",IF(X487-V487&lt;30,"No","Sí"),IF(TODAY()-V487&gt;=30,"Sí","En curso")))</f>
        <v/>
      </c>
      <c r="Z487" s="14"/>
      <c r="AA487" s="21"/>
      <c r="AB487" s="14"/>
      <c r="AC487" s="21"/>
      <c r="AD487" s="21"/>
      <c r="AE487" s="7"/>
      <c r="AF487" s="11" t="str">
        <f>IF(OR(AC487&lt;&gt;"Abierto",Z487=""),"",TODAY()-Z487)</f>
        <v/>
      </c>
      <c r="AG487" s="11" t="str">
        <f>IF(AC487&lt;&gt;"Abierto","",IF(AB487="","Sin siguiente acción",IF(AB487&lt;TODAY(),"Vencido",IF(AB487=TODAY(),"Hoy","En tiempo"))))</f>
        <v/>
      </c>
      <c r="AH487" s="11" t="str">
        <f>IF(OR(B487="",V487=""),"",V487-B487)</f>
        <v/>
      </c>
      <c r="AI487" s="16" t="str">
        <f>IF(P487="","",P487-WEEKDAY(P487,3))</f>
        <v/>
      </c>
      <c r="AJ487" s="23" t="str">
        <f>IF(P487="","",DATE(YEAR(P487),MONTH(P487),1))</f>
        <v/>
      </c>
    </row>
    <row r="488">
      <c r="A488" s="21"/>
      <c r="B488" s="14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14"/>
      <c r="Q488" s="21"/>
      <c r="R488" s="21"/>
      <c r="S488" s="21"/>
      <c r="T488" s="21"/>
      <c r="U488" s="21"/>
      <c r="V488" s="14"/>
      <c r="W488" s="22"/>
      <c r="X488" s="14"/>
      <c r="Y488" s="11" t="str">
        <f>IF(V488="","",IF(X488&lt;&gt;"",IF(X488-V488&lt;30,"No","Sí"),IF(TODAY()-V488&gt;=30,"Sí","En curso")))</f>
        <v/>
      </c>
      <c r="Z488" s="14"/>
      <c r="AA488" s="21"/>
      <c r="AB488" s="14"/>
      <c r="AC488" s="21"/>
      <c r="AD488" s="21"/>
      <c r="AE488" s="7"/>
      <c r="AF488" s="11" t="str">
        <f>IF(OR(AC488&lt;&gt;"Abierto",Z488=""),"",TODAY()-Z488)</f>
        <v/>
      </c>
      <c r="AG488" s="11" t="str">
        <f>IF(AC488&lt;&gt;"Abierto","",IF(AB488="","Sin siguiente acción",IF(AB488&lt;TODAY(),"Vencido",IF(AB488=TODAY(),"Hoy","En tiempo"))))</f>
        <v/>
      </c>
      <c r="AH488" s="11" t="str">
        <f>IF(OR(B488="",V488=""),"",V488-B488)</f>
        <v/>
      </c>
      <c r="AI488" s="16" t="str">
        <f>IF(P488="","",P488-WEEKDAY(P488,3))</f>
        <v/>
      </c>
      <c r="AJ488" s="23" t="str">
        <f>IF(P488="","",DATE(YEAR(P488),MONTH(P488),1))</f>
        <v/>
      </c>
    </row>
    <row r="489">
      <c r="A489" s="21"/>
      <c r="B489" s="14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14"/>
      <c r="Q489" s="21"/>
      <c r="R489" s="21"/>
      <c r="S489" s="21"/>
      <c r="T489" s="21"/>
      <c r="U489" s="21"/>
      <c r="V489" s="14"/>
      <c r="W489" s="22"/>
      <c r="X489" s="14"/>
      <c r="Y489" s="11" t="str">
        <f>IF(V489="","",IF(X489&lt;&gt;"",IF(X489-V489&lt;30,"No","Sí"),IF(TODAY()-V489&gt;=30,"Sí","En curso")))</f>
        <v/>
      </c>
      <c r="Z489" s="14"/>
      <c r="AA489" s="21"/>
      <c r="AB489" s="14"/>
      <c r="AC489" s="21"/>
      <c r="AD489" s="21"/>
      <c r="AE489" s="7"/>
      <c r="AF489" s="11" t="str">
        <f>IF(OR(AC489&lt;&gt;"Abierto",Z489=""),"",TODAY()-Z489)</f>
        <v/>
      </c>
      <c r="AG489" s="11" t="str">
        <f>IF(AC489&lt;&gt;"Abierto","",IF(AB489="","Sin siguiente acción",IF(AB489&lt;TODAY(),"Vencido",IF(AB489=TODAY(),"Hoy","En tiempo"))))</f>
        <v/>
      </c>
      <c r="AH489" s="11" t="str">
        <f>IF(OR(B489="",V489=""),"",V489-B489)</f>
        <v/>
      </c>
      <c r="AI489" s="16" t="str">
        <f>IF(P489="","",P489-WEEKDAY(P489,3))</f>
        <v/>
      </c>
      <c r="AJ489" s="23" t="str">
        <f>IF(P489="","",DATE(YEAR(P489),MONTH(P489),1))</f>
        <v/>
      </c>
    </row>
    <row r="490">
      <c r="A490" s="21"/>
      <c r="B490" s="14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14"/>
      <c r="Q490" s="21"/>
      <c r="R490" s="21"/>
      <c r="S490" s="21"/>
      <c r="T490" s="21"/>
      <c r="U490" s="21"/>
      <c r="V490" s="14"/>
      <c r="W490" s="22"/>
      <c r="X490" s="14"/>
      <c r="Y490" s="11" t="str">
        <f>IF(V490="","",IF(X490&lt;&gt;"",IF(X490-V490&lt;30,"No","Sí"),IF(TODAY()-V490&gt;=30,"Sí","En curso")))</f>
        <v/>
      </c>
      <c r="Z490" s="14"/>
      <c r="AA490" s="21"/>
      <c r="AB490" s="14"/>
      <c r="AC490" s="21"/>
      <c r="AD490" s="21"/>
      <c r="AE490" s="7"/>
      <c r="AF490" s="11" t="str">
        <f>IF(OR(AC490&lt;&gt;"Abierto",Z490=""),"",TODAY()-Z490)</f>
        <v/>
      </c>
      <c r="AG490" s="11" t="str">
        <f>IF(AC490&lt;&gt;"Abierto","",IF(AB490="","Sin siguiente acción",IF(AB490&lt;TODAY(),"Vencido",IF(AB490=TODAY(),"Hoy","En tiempo"))))</f>
        <v/>
      </c>
      <c r="AH490" s="11" t="str">
        <f>IF(OR(B490="",V490=""),"",V490-B490)</f>
        <v/>
      </c>
      <c r="AI490" s="16" t="str">
        <f>IF(P490="","",P490-WEEKDAY(P490,3))</f>
        <v/>
      </c>
      <c r="AJ490" s="23" t="str">
        <f>IF(P490="","",DATE(YEAR(P490),MONTH(P490),1))</f>
        <v/>
      </c>
    </row>
    <row r="491">
      <c r="A491" s="21"/>
      <c r="B491" s="14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14"/>
      <c r="Q491" s="21"/>
      <c r="R491" s="21"/>
      <c r="S491" s="21"/>
      <c r="T491" s="21"/>
      <c r="U491" s="21"/>
      <c r="V491" s="14"/>
      <c r="W491" s="22"/>
      <c r="X491" s="14"/>
      <c r="Y491" s="11" t="str">
        <f>IF(V491="","",IF(X491&lt;&gt;"",IF(X491-V491&lt;30,"No","Sí"),IF(TODAY()-V491&gt;=30,"Sí","En curso")))</f>
        <v/>
      </c>
      <c r="Z491" s="14"/>
      <c r="AA491" s="21"/>
      <c r="AB491" s="14"/>
      <c r="AC491" s="21"/>
      <c r="AD491" s="21"/>
      <c r="AE491" s="7"/>
      <c r="AF491" s="11" t="str">
        <f>IF(OR(AC491&lt;&gt;"Abierto",Z491=""),"",TODAY()-Z491)</f>
        <v/>
      </c>
      <c r="AG491" s="11" t="str">
        <f>IF(AC491&lt;&gt;"Abierto","",IF(AB491="","Sin siguiente acción",IF(AB491&lt;TODAY(),"Vencido",IF(AB491=TODAY(),"Hoy","En tiempo"))))</f>
        <v/>
      </c>
      <c r="AH491" s="11" t="str">
        <f>IF(OR(B491="",V491=""),"",V491-B491)</f>
        <v/>
      </c>
      <c r="AI491" s="16" t="str">
        <f>IF(P491="","",P491-WEEKDAY(P491,3))</f>
        <v/>
      </c>
      <c r="AJ491" s="23" t="str">
        <f>IF(P491="","",DATE(YEAR(P491),MONTH(P491),1))</f>
        <v/>
      </c>
    </row>
    <row r="492">
      <c r="A492" s="21"/>
      <c r="B492" s="14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14"/>
      <c r="Q492" s="21"/>
      <c r="R492" s="21"/>
      <c r="S492" s="21"/>
      <c r="T492" s="21"/>
      <c r="U492" s="21"/>
      <c r="V492" s="14"/>
      <c r="W492" s="22"/>
      <c r="X492" s="14"/>
      <c r="Y492" s="11" t="str">
        <f>IF(V492="","",IF(X492&lt;&gt;"",IF(X492-V492&lt;30,"No","Sí"),IF(TODAY()-V492&gt;=30,"Sí","En curso")))</f>
        <v/>
      </c>
      <c r="Z492" s="14"/>
      <c r="AA492" s="21"/>
      <c r="AB492" s="14"/>
      <c r="AC492" s="21"/>
      <c r="AD492" s="21"/>
      <c r="AE492" s="7"/>
      <c r="AF492" s="11" t="str">
        <f>IF(OR(AC492&lt;&gt;"Abierto",Z492=""),"",TODAY()-Z492)</f>
        <v/>
      </c>
      <c r="AG492" s="11" t="str">
        <f>IF(AC492&lt;&gt;"Abierto","",IF(AB492="","Sin siguiente acción",IF(AB492&lt;TODAY(),"Vencido",IF(AB492=TODAY(),"Hoy","En tiempo"))))</f>
        <v/>
      </c>
      <c r="AH492" s="11" t="str">
        <f>IF(OR(B492="",V492=""),"",V492-B492)</f>
        <v/>
      </c>
      <c r="AI492" s="16" t="str">
        <f>IF(P492="","",P492-WEEKDAY(P492,3))</f>
        <v/>
      </c>
      <c r="AJ492" s="23" t="str">
        <f>IF(P492="","",DATE(YEAR(P492),MONTH(P492),1))</f>
        <v/>
      </c>
    </row>
    <row r="493">
      <c r="A493" s="21"/>
      <c r="B493" s="14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14"/>
      <c r="Q493" s="21"/>
      <c r="R493" s="21"/>
      <c r="S493" s="21"/>
      <c r="T493" s="21"/>
      <c r="U493" s="21"/>
      <c r="V493" s="14"/>
      <c r="W493" s="22"/>
      <c r="X493" s="14"/>
      <c r="Y493" s="11" t="str">
        <f>IF(V493="","",IF(X493&lt;&gt;"",IF(X493-V493&lt;30,"No","Sí"),IF(TODAY()-V493&gt;=30,"Sí","En curso")))</f>
        <v/>
      </c>
      <c r="Z493" s="14"/>
      <c r="AA493" s="21"/>
      <c r="AB493" s="14"/>
      <c r="AC493" s="21"/>
      <c r="AD493" s="21"/>
      <c r="AE493" s="7"/>
      <c r="AF493" s="11" t="str">
        <f>IF(OR(AC493&lt;&gt;"Abierto",Z493=""),"",TODAY()-Z493)</f>
        <v/>
      </c>
      <c r="AG493" s="11" t="str">
        <f>IF(AC493&lt;&gt;"Abierto","",IF(AB493="","Sin siguiente acción",IF(AB493&lt;TODAY(),"Vencido",IF(AB493=TODAY(),"Hoy","En tiempo"))))</f>
        <v/>
      </c>
      <c r="AH493" s="11" t="str">
        <f>IF(OR(B493="",V493=""),"",V493-B493)</f>
        <v/>
      </c>
      <c r="AI493" s="16" t="str">
        <f>IF(P493="","",P493-WEEKDAY(P493,3))</f>
        <v/>
      </c>
      <c r="AJ493" s="23" t="str">
        <f>IF(P493="","",DATE(YEAR(P493),MONTH(P493),1))</f>
        <v/>
      </c>
    </row>
    <row r="494">
      <c r="A494" s="21"/>
      <c r="B494" s="14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14"/>
      <c r="Q494" s="21"/>
      <c r="R494" s="21"/>
      <c r="S494" s="21"/>
      <c r="T494" s="21"/>
      <c r="U494" s="21"/>
      <c r="V494" s="14"/>
      <c r="W494" s="22"/>
      <c r="X494" s="14"/>
      <c r="Y494" s="11" t="str">
        <f>IF(V494="","",IF(X494&lt;&gt;"",IF(X494-V494&lt;30,"No","Sí"),IF(TODAY()-V494&gt;=30,"Sí","En curso")))</f>
        <v/>
      </c>
      <c r="Z494" s="14"/>
      <c r="AA494" s="21"/>
      <c r="AB494" s="14"/>
      <c r="AC494" s="21"/>
      <c r="AD494" s="21"/>
      <c r="AE494" s="7"/>
      <c r="AF494" s="11" t="str">
        <f>IF(OR(AC494&lt;&gt;"Abierto",Z494=""),"",TODAY()-Z494)</f>
        <v/>
      </c>
      <c r="AG494" s="11" t="str">
        <f>IF(AC494&lt;&gt;"Abierto","",IF(AB494="","Sin siguiente acción",IF(AB494&lt;TODAY(),"Vencido",IF(AB494=TODAY(),"Hoy","En tiempo"))))</f>
        <v/>
      </c>
      <c r="AH494" s="11" t="str">
        <f>IF(OR(B494="",V494=""),"",V494-B494)</f>
        <v/>
      </c>
      <c r="AI494" s="16" t="str">
        <f>IF(P494="","",P494-WEEKDAY(P494,3))</f>
        <v/>
      </c>
      <c r="AJ494" s="23" t="str">
        <f>IF(P494="","",DATE(YEAR(P494),MONTH(P494),1))</f>
        <v/>
      </c>
    </row>
    <row r="495">
      <c r="A495" s="21"/>
      <c r="B495" s="14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14"/>
      <c r="Q495" s="21"/>
      <c r="R495" s="21"/>
      <c r="S495" s="21"/>
      <c r="T495" s="21"/>
      <c r="U495" s="21"/>
      <c r="V495" s="14"/>
      <c r="W495" s="22"/>
      <c r="X495" s="14"/>
      <c r="Y495" s="11" t="str">
        <f>IF(V495="","",IF(X495&lt;&gt;"",IF(X495-V495&lt;30,"No","Sí"),IF(TODAY()-V495&gt;=30,"Sí","En curso")))</f>
        <v/>
      </c>
      <c r="Z495" s="14"/>
      <c r="AA495" s="21"/>
      <c r="AB495" s="14"/>
      <c r="AC495" s="21"/>
      <c r="AD495" s="21"/>
      <c r="AE495" s="7"/>
      <c r="AF495" s="11" t="str">
        <f>IF(OR(AC495&lt;&gt;"Abierto",Z495=""),"",TODAY()-Z495)</f>
        <v/>
      </c>
      <c r="AG495" s="11" t="str">
        <f>IF(AC495&lt;&gt;"Abierto","",IF(AB495="","Sin siguiente acción",IF(AB495&lt;TODAY(),"Vencido",IF(AB495=TODAY(),"Hoy","En tiempo"))))</f>
        <v/>
      </c>
      <c r="AH495" s="11" t="str">
        <f>IF(OR(B495="",V495=""),"",V495-B495)</f>
        <v/>
      </c>
      <c r="AI495" s="16" t="str">
        <f>IF(P495="","",P495-WEEKDAY(P495,3))</f>
        <v/>
      </c>
      <c r="AJ495" s="23" t="str">
        <f>IF(P495="","",DATE(YEAR(P495),MONTH(P495),1))</f>
        <v/>
      </c>
    </row>
    <row r="496">
      <c r="A496" s="21"/>
      <c r="B496" s="14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14"/>
      <c r="Q496" s="21"/>
      <c r="R496" s="21"/>
      <c r="S496" s="21"/>
      <c r="T496" s="21"/>
      <c r="U496" s="21"/>
      <c r="V496" s="14"/>
      <c r="W496" s="22"/>
      <c r="X496" s="14"/>
      <c r="Y496" s="11" t="str">
        <f>IF(V496="","",IF(X496&lt;&gt;"",IF(X496-V496&lt;30,"No","Sí"),IF(TODAY()-V496&gt;=30,"Sí","En curso")))</f>
        <v/>
      </c>
      <c r="Z496" s="14"/>
      <c r="AA496" s="21"/>
      <c r="AB496" s="14"/>
      <c r="AC496" s="21"/>
      <c r="AD496" s="21"/>
      <c r="AE496" s="7"/>
      <c r="AF496" s="11" t="str">
        <f>IF(OR(AC496&lt;&gt;"Abierto",Z496=""),"",TODAY()-Z496)</f>
        <v/>
      </c>
      <c r="AG496" s="11" t="str">
        <f>IF(AC496&lt;&gt;"Abierto","",IF(AB496="","Sin siguiente acción",IF(AB496&lt;TODAY(),"Vencido",IF(AB496=TODAY(),"Hoy","En tiempo"))))</f>
        <v/>
      </c>
      <c r="AH496" s="11" t="str">
        <f>IF(OR(B496="",V496=""),"",V496-B496)</f>
        <v/>
      </c>
      <c r="AI496" s="16" t="str">
        <f>IF(P496="","",P496-WEEKDAY(P496,3))</f>
        <v/>
      </c>
      <c r="AJ496" s="23" t="str">
        <f>IF(P496="","",DATE(YEAR(P496),MONTH(P496),1))</f>
        <v/>
      </c>
    </row>
    <row r="497">
      <c r="A497" s="21"/>
      <c r="B497" s="14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14"/>
      <c r="Q497" s="21"/>
      <c r="R497" s="21"/>
      <c r="S497" s="21"/>
      <c r="T497" s="21"/>
      <c r="U497" s="21"/>
      <c r="V497" s="14"/>
      <c r="W497" s="22"/>
      <c r="X497" s="14"/>
      <c r="Y497" s="11" t="str">
        <f>IF(V497="","",IF(X497&lt;&gt;"",IF(X497-V497&lt;30,"No","Sí"),IF(TODAY()-V497&gt;=30,"Sí","En curso")))</f>
        <v/>
      </c>
      <c r="Z497" s="14"/>
      <c r="AA497" s="21"/>
      <c r="AB497" s="14"/>
      <c r="AC497" s="21"/>
      <c r="AD497" s="21"/>
      <c r="AE497" s="7"/>
      <c r="AF497" s="11" t="str">
        <f>IF(OR(AC497&lt;&gt;"Abierto",Z497=""),"",TODAY()-Z497)</f>
        <v/>
      </c>
      <c r="AG497" s="11" t="str">
        <f>IF(AC497&lt;&gt;"Abierto","",IF(AB497="","Sin siguiente acción",IF(AB497&lt;TODAY(),"Vencido",IF(AB497=TODAY(),"Hoy","En tiempo"))))</f>
        <v/>
      </c>
      <c r="AH497" s="11" t="str">
        <f>IF(OR(B497="",V497=""),"",V497-B497)</f>
        <v/>
      </c>
      <c r="AI497" s="16" t="str">
        <f>IF(P497="","",P497-WEEKDAY(P497,3))</f>
        <v/>
      </c>
      <c r="AJ497" s="23" t="str">
        <f>IF(P497="","",DATE(YEAR(P497),MONTH(P497),1))</f>
        <v/>
      </c>
    </row>
    <row r="498">
      <c r="A498" s="21"/>
      <c r="B498" s="14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14"/>
      <c r="Q498" s="21"/>
      <c r="R498" s="21"/>
      <c r="S498" s="21"/>
      <c r="T498" s="21"/>
      <c r="U498" s="21"/>
      <c r="V498" s="14"/>
      <c r="W498" s="22"/>
      <c r="X498" s="14"/>
      <c r="Y498" s="11" t="str">
        <f>IF(V498="","",IF(X498&lt;&gt;"",IF(X498-V498&lt;30,"No","Sí"),IF(TODAY()-V498&gt;=30,"Sí","En curso")))</f>
        <v/>
      </c>
      <c r="Z498" s="14"/>
      <c r="AA498" s="21"/>
      <c r="AB498" s="14"/>
      <c r="AC498" s="21"/>
      <c r="AD498" s="21"/>
      <c r="AE498" s="7"/>
      <c r="AF498" s="11" t="str">
        <f>IF(OR(AC498&lt;&gt;"Abierto",Z498=""),"",TODAY()-Z498)</f>
        <v/>
      </c>
      <c r="AG498" s="11" t="str">
        <f>IF(AC498&lt;&gt;"Abierto","",IF(AB498="","Sin siguiente acción",IF(AB498&lt;TODAY(),"Vencido",IF(AB498=TODAY(),"Hoy","En tiempo"))))</f>
        <v/>
      </c>
      <c r="AH498" s="11" t="str">
        <f>IF(OR(B498="",V498=""),"",V498-B498)</f>
        <v/>
      </c>
      <c r="AI498" s="16" t="str">
        <f>IF(P498="","",P498-WEEKDAY(P498,3))</f>
        <v/>
      </c>
      <c r="AJ498" s="23" t="str">
        <f>IF(P498="","",DATE(YEAR(P498),MONTH(P498),1))</f>
        <v/>
      </c>
    </row>
    <row r="499">
      <c r="A499" s="21"/>
      <c r="B499" s="14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14"/>
      <c r="Q499" s="21"/>
      <c r="R499" s="21"/>
      <c r="S499" s="21"/>
      <c r="T499" s="21"/>
      <c r="U499" s="21"/>
      <c r="V499" s="14"/>
      <c r="W499" s="22"/>
      <c r="X499" s="14"/>
      <c r="Y499" s="11" t="str">
        <f>IF(V499="","",IF(X499&lt;&gt;"",IF(X499-V499&lt;30,"No","Sí"),IF(TODAY()-V499&gt;=30,"Sí","En curso")))</f>
        <v/>
      </c>
      <c r="Z499" s="14"/>
      <c r="AA499" s="21"/>
      <c r="AB499" s="14"/>
      <c r="AC499" s="21"/>
      <c r="AD499" s="21"/>
      <c r="AE499" s="7"/>
      <c r="AF499" s="11" t="str">
        <f>IF(OR(AC499&lt;&gt;"Abierto",Z499=""),"",TODAY()-Z499)</f>
        <v/>
      </c>
      <c r="AG499" s="11" t="str">
        <f>IF(AC499&lt;&gt;"Abierto","",IF(AB499="","Sin siguiente acción",IF(AB499&lt;TODAY(),"Vencido",IF(AB499=TODAY(),"Hoy","En tiempo"))))</f>
        <v/>
      </c>
      <c r="AH499" s="11" t="str">
        <f>IF(OR(B499="",V499=""),"",V499-B499)</f>
        <v/>
      </c>
      <c r="AI499" s="16" t="str">
        <f>IF(P499="","",P499-WEEKDAY(P499,3))</f>
        <v/>
      </c>
      <c r="AJ499" s="23" t="str">
        <f>IF(P499="","",DATE(YEAR(P499),MONTH(P499),1))</f>
        <v/>
      </c>
    </row>
    <row r="500">
      <c r="A500" s="21"/>
      <c r="B500" s="14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14"/>
      <c r="Q500" s="21"/>
      <c r="R500" s="21"/>
      <c r="S500" s="21"/>
      <c r="T500" s="21"/>
      <c r="U500" s="21"/>
      <c r="V500" s="14"/>
      <c r="W500" s="22"/>
      <c r="X500" s="14"/>
      <c r="Y500" s="11" t="str">
        <f>IF(V500="","",IF(X500&lt;&gt;"",IF(X500-V500&lt;30,"No","Sí"),IF(TODAY()-V500&gt;=30,"Sí","En curso")))</f>
        <v/>
      </c>
      <c r="Z500" s="14"/>
      <c r="AA500" s="21"/>
      <c r="AB500" s="14"/>
      <c r="AC500" s="21"/>
      <c r="AD500" s="21"/>
      <c r="AE500" s="7"/>
      <c r="AF500" s="11" t="str">
        <f>IF(OR(AC500&lt;&gt;"Abierto",Z500=""),"",TODAY()-Z500)</f>
        <v/>
      </c>
      <c r="AG500" s="11" t="str">
        <f>IF(AC500&lt;&gt;"Abierto","",IF(AB500="","Sin siguiente acción",IF(AB500&lt;TODAY(),"Vencido",IF(AB500=TODAY(),"Hoy","En tiempo"))))</f>
        <v/>
      </c>
      <c r="AH500" s="11" t="str">
        <f>IF(OR(B500="",V500=""),"",V500-B500)</f>
        <v/>
      </c>
      <c r="AI500" s="16" t="str">
        <f>IF(P500="","",P500-WEEKDAY(P500,3))</f>
        <v/>
      </c>
      <c r="AJ500" s="23" t="str">
        <f>IF(P500="","",DATE(YEAR(P500),MONTH(P500),1))</f>
        <v/>
      </c>
    </row>
    <row r="501">
      <c r="A501" s="21"/>
      <c r="B501" s="14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14"/>
      <c r="Q501" s="21"/>
      <c r="R501" s="21"/>
      <c r="S501" s="21"/>
      <c r="T501" s="21"/>
      <c r="U501" s="21"/>
      <c r="V501" s="14"/>
      <c r="W501" s="22"/>
      <c r="X501" s="14"/>
      <c r="Y501" s="11" t="str">
        <f>IF(V501="","",IF(X501&lt;&gt;"",IF(X501-V501&lt;30,"No","Sí"),IF(TODAY()-V501&gt;=30,"Sí","En curso")))</f>
        <v/>
      </c>
      <c r="Z501" s="14"/>
      <c r="AA501" s="21"/>
      <c r="AB501" s="14"/>
      <c r="AC501" s="21"/>
      <c r="AD501" s="21"/>
      <c r="AE501" s="7"/>
      <c r="AF501" s="11" t="str">
        <f>IF(OR(AC501&lt;&gt;"Abierto",Z501=""),"",TODAY()-Z501)</f>
        <v/>
      </c>
      <c r="AG501" s="11" t="str">
        <f>IF(AC501&lt;&gt;"Abierto","",IF(AB501="","Sin siguiente acción",IF(AB501&lt;TODAY(),"Vencido",IF(AB501=TODAY(),"Hoy","En tiempo"))))</f>
        <v/>
      </c>
      <c r="AH501" s="11" t="str">
        <f>IF(OR(B501="",V501=""),"",V501-B501)</f>
        <v/>
      </c>
      <c r="AI501" s="16" t="str">
        <f>IF(P501="","",P501-WEEKDAY(P501,3))</f>
        <v/>
      </c>
      <c r="AJ501" s="23" t="str">
        <f>IF(P501="","",DATE(YEAR(P501),MONTH(P501),1))</f>
        <v/>
      </c>
    </row>
    <row r="502">
      <c r="A502" s="21"/>
      <c r="B502" s="14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14"/>
      <c r="Q502" s="21"/>
      <c r="R502" s="21"/>
      <c r="S502" s="21"/>
      <c r="T502" s="21"/>
      <c r="U502" s="21"/>
      <c r="V502" s="14"/>
      <c r="W502" s="22"/>
      <c r="X502" s="14"/>
      <c r="Y502" s="11" t="str">
        <f>IF(V502="","",IF(X502&lt;&gt;"",IF(X502-V502&lt;30,"No","Sí"),IF(TODAY()-V502&gt;=30,"Sí","En curso")))</f>
        <v/>
      </c>
      <c r="Z502" s="14"/>
      <c r="AA502" s="21"/>
      <c r="AB502" s="14"/>
      <c r="AC502" s="21"/>
      <c r="AD502" s="21"/>
      <c r="AE502" s="7"/>
      <c r="AF502" s="11" t="str">
        <f>IF(OR(AC502&lt;&gt;"Abierto",Z502=""),"",TODAY()-Z502)</f>
        <v/>
      </c>
      <c r="AG502" s="11" t="str">
        <f>IF(AC502&lt;&gt;"Abierto","",IF(AB502="","Sin siguiente acción",IF(AB502&lt;TODAY(),"Vencido",IF(AB502=TODAY(),"Hoy","En tiempo"))))</f>
        <v/>
      </c>
      <c r="AH502" s="11" t="str">
        <f>IF(OR(B502="",V502=""),"",V502-B502)</f>
        <v/>
      </c>
      <c r="AI502" s="16" t="str">
        <f>IF(P502="","",P502-WEEKDAY(P502,3))</f>
        <v/>
      </c>
      <c r="AJ502" s="23" t="str">
        <f>IF(P502="","",DATE(YEAR(P502),MONTH(P502),1))</f>
        <v/>
      </c>
    </row>
    <row r="503">
      <c r="A503" s="21"/>
      <c r="B503" s="14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14"/>
      <c r="Q503" s="21"/>
      <c r="R503" s="21"/>
      <c r="S503" s="21"/>
      <c r="T503" s="21"/>
      <c r="U503" s="21"/>
      <c r="V503" s="14"/>
      <c r="W503" s="22"/>
      <c r="X503" s="14"/>
      <c r="Y503" s="11" t="str">
        <f>IF(V503="","",IF(X503&lt;&gt;"",IF(X503-V503&lt;30,"No","Sí"),IF(TODAY()-V503&gt;=30,"Sí","En curso")))</f>
        <v/>
      </c>
      <c r="Z503" s="14"/>
      <c r="AA503" s="21"/>
      <c r="AB503" s="14"/>
      <c r="AC503" s="21"/>
      <c r="AD503" s="21"/>
      <c r="AE503" s="7"/>
      <c r="AF503" s="11" t="str">
        <f>IF(OR(AC503&lt;&gt;"Abierto",Z503=""),"",TODAY()-Z503)</f>
        <v/>
      </c>
      <c r="AG503" s="11" t="str">
        <f>IF(AC503&lt;&gt;"Abierto","",IF(AB503="","Sin siguiente acción",IF(AB503&lt;TODAY(),"Vencido",IF(AB503=TODAY(),"Hoy","En tiempo"))))</f>
        <v/>
      </c>
      <c r="AH503" s="11" t="str">
        <f>IF(OR(B503="",V503=""),"",V503-B503)</f>
        <v/>
      </c>
      <c r="AI503" s="16" t="str">
        <f>IF(P503="","",P503-WEEKDAY(P503,3))</f>
        <v/>
      </c>
      <c r="AJ503" s="23" t="str">
        <f>IF(P503="","",DATE(YEAR(P503),MONTH(P503),1))</f>
        <v/>
      </c>
    </row>
    <row r="504">
      <c r="A504" s="21"/>
      <c r="B504" s="14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14"/>
      <c r="Q504" s="21"/>
      <c r="R504" s="21"/>
      <c r="S504" s="21"/>
      <c r="T504" s="21"/>
      <c r="U504" s="21"/>
      <c r="V504" s="14"/>
      <c r="W504" s="22"/>
      <c r="X504" s="14"/>
      <c r="Y504" s="11" t="str">
        <f>IF(V504="","",IF(X504&lt;&gt;"",IF(X504-V504&lt;30,"No","Sí"),IF(TODAY()-V504&gt;=30,"Sí","En curso")))</f>
        <v/>
      </c>
      <c r="Z504" s="14"/>
      <c r="AA504" s="21"/>
      <c r="AB504" s="14"/>
      <c r="AC504" s="21"/>
      <c r="AD504" s="21"/>
      <c r="AE504" s="7"/>
      <c r="AF504" s="11" t="str">
        <f>IF(OR(AC504&lt;&gt;"Abierto",Z504=""),"",TODAY()-Z504)</f>
        <v/>
      </c>
      <c r="AG504" s="11" t="str">
        <f>IF(AC504&lt;&gt;"Abierto","",IF(AB504="","Sin siguiente acción",IF(AB504&lt;TODAY(),"Vencido",IF(AB504=TODAY(),"Hoy","En tiempo"))))</f>
        <v/>
      </c>
      <c r="AH504" s="11" t="str">
        <f>IF(OR(B504="",V504=""),"",V504-B504)</f>
        <v/>
      </c>
      <c r="AI504" s="16" t="str">
        <f>IF(P504="","",P504-WEEKDAY(P504,3))</f>
        <v/>
      </c>
      <c r="AJ504" s="23" t="str">
        <f>IF(P504="","",DATE(YEAR(P504),MONTH(P504),1))</f>
        <v/>
      </c>
    </row>
    <row r="505">
      <c r="A505" s="21"/>
      <c r="B505" s="14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14"/>
      <c r="Q505" s="21"/>
      <c r="R505" s="21"/>
      <c r="S505" s="21"/>
      <c r="T505" s="21"/>
      <c r="U505" s="21"/>
      <c r="V505" s="14"/>
      <c r="W505" s="22"/>
      <c r="X505" s="14"/>
      <c r="Y505" s="11" t="str">
        <f>IF(V505="","",IF(X505&lt;&gt;"",IF(X505-V505&lt;30,"No","Sí"),IF(TODAY()-V505&gt;=30,"Sí","En curso")))</f>
        <v/>
      </c>
      <c r="Z505" s="14"/>
      <c r="AA505" s="21"/>
      <c r="AB505" s="14"/>
      <c r="AC505" s="21"/>
      <c r="AD505" s="21"/>
      <c r="AE505" s="7"/>
      <c r="AF505" s="11" t="str">
        <f>IF(OR(AC505&lt;&gt;"Abierto",Z505=""),"",TODAY()-Z505)</f>
        <v/>
      </c>
      <c r="AG505" s="11" t="str">
        <f>IF(AC505&lt;&gt;"Abierto","",IF(AB505="","Sin siguiente acción",IF(AB505&lt;TODAY(),"Vencido",IF(AB505=TODAY(),"Hoy","En tiempo"))))</f>
        <v/>
      </c>
      <c r="AH505" s="11" t="str">
        <f>IF(OR(B505="",V505=""),"",V505-B505)</f>
        <v/>
      </c>
      <c r="AI505" s="16" t="str">
        <f>IF(P505="","",P505-WEEKDAY(P505,3))</f>
        <v/>
      </c>
      <c r="AJ505" s="23" t="str">
        <f>IF(P505="","",DATE(YEAR(P505),MONTH(P505),1))</f>
        <v/>
      </c>
    </row>
    <row r="506">
      <c r="A506" s="21"/>
      <c r="B506" s="14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14"/>
      <c r="Q506" s="21"/>
      <c r="R506" s="21"/>
      <c r="S506" s="21"/>
      <c r="T506" s="21"/>
      <c r="U506" s="21"/>
      <c r="V506" s="14"/>
      <c r="W506" s="22"/>
      <c r="X506" s="14"/>
      <c r="Y506" s="11" t="str">
        <f>IF(V506="","",IF(X506&lt;&gt;"",IF(X506-V506&lt;30,"No","Sí"),IF(TODAY()-V506&gt;=30,"Sí","En curso")))</f>
        <v/>
      </c>
      <c r="Z506" s="14"/>
      <c r="AA506" s="21"/>
      <c r="AB506" s="14"/>
      <c r="AC506" s="21"/>
      <c r="AD506" s="21"/>
      <c r="AE506" s="7"/>
      <c r="AF506" s="11" t="str">
        <f>IF(OR(AC506&lt;&gt;"Abierto",Z506=""),"",TODAY()-Z506)</f>
        <v/>
      </c>
      <c r="AG506" s="11" t="str">
        <f>IF(AC506&lt;&gt;"Abierto","",IF(AB506="","Sin siguiente acción",IF(AB506&lt;TODAY(),"Vencido",IF(AB506=TODAY(),"Hoy","En tiempo"))))</f>
        <v/>
      </c>
      <c r="AH506" s="11" t="str">
        <f>IF(OR(B506="",V506=""),"",V506-B506)</f>
        <v/>
      </c>
      <c r="AI506" s="16" t="str">
        <f>IF(P506="","",P506-WEEKDAY(P506,3))</f>
        <v/>
      </c>
      <c r="AJ506" s="23" t="str">
        <f>IF(P506="","",DATE(YEAR(P506),MONTH(P506),1))</f>
        <v/>
      </c>
    </row>
    <row r="507">
      <c r="A507" s="21"/>
      <c r="B507" s="14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14"/>
      <c r="Q507" s="21"/>
      <c r="R507" s="21"/>
      <c r="S507" s="21"/>
      <c r="T507" s="21"/>
      <c r="U507" s="21"/>
      <c r="V507" s="14"/>
      <c r="W507" s="22"/>
      <c r="X507" s="14"/>
      <c r="Y507" s="11" t="str">
        <f>IF(V507="","",IF(X507&lt;&gt;"",IF(X507-V507&lt;30,"No","Sí"),IF(TODAY()-V507&gt;=30,"Sí","En curso")))</f>
        <v/>
      </c>
      <c r="Z507" s="14"/>
      <c r="AA507" s="21"/>
      <c r="AB507" s="14"/>
      <c r="AC507" s="21"/>
      <c r="AD507" s="21"/>
      <c r="AE507" s="7"/>
      <c r="AF507" s="11" t="str">
        <f>IF(OR(AC507&lt;&gt;"Abierto",Z507=""),"",TODAY()-Z507)</f>
        <v/>
      </c>
      <c r="AG507" s="11" t="str">
        <f>IF(AC507&lt;&gt;"Abierto","",IF(AB507="","Sin siguiente acción",IF(AB507&lt;TODAY(),"Vencido",IF(AB507=TODAY(),"Hoy","En tiempo"))))</f>
        <v/>
      </c>
      <c r="AH507" s="11" t="str">
        <f>IF(OR(B507="",V507=""),"",V507-B507)</f>
        <v/>
      </c>
      <c r="AI507" s="16" t="str">
        <f>IF(P507="","",P507-WEEKDAY(P507,3))</f>
        <v/>
      </c>
      <c r="AJ507" s="23" t="str">
        <f>IF(P507="","",DATE(YEAR(P507),MONTH(P507),1))</f>
        <v/>
      </c>
    </row>
    <row r="508">
      <c r="A508" s="21"/>
      <c r="B508" s="14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14"/>
      <c r="Q508" s="21"/>
      <c r="R508" s="21"/>
      <c r="S508" s="21"/>
      <c r="T508" s="21"/>
      <c r="U508" s="21"/>
      <c r="V508" s="14"/>
      <c r="W508" s="22"/>
      <c r="X508" s="14"/>
      <c r="Y508" s="11" t="str">
        <f>IF(V508="","",IF(X508&lt;&gt;"",IF(X508-V508&lt;30,"No","Sí"),IF(TODAY()-V508&gt;=30,"Sí","En curso")))</f>
        <v/>
      </c>
      <c r="Z508" s="14"/>
      <c r="AA508" s="21"/>
      <c r="AB508" s="14"/>
      <c r="AC508" s="21"/>
      <c r="AD508" s="21"/>
      <c r="AE508" s="7"/>
      <c r="AF508" s="11" t="str">
        <f>IF(OR(AC508&lt;&gt;"Abierto",Z508=""),"",TODAY()-Z508)</f>
        <v/>
      </c>
      <c r="AG508" s="11" t="str">
        <f>IF(AC508&lt;&gt;"Abierto","",IF(AB508="","Sin siguiente acción",IF(AB508&lt;TODAY(),"Vencido",IF(AB508=TODAY(),"Hoy","En tiempo"))))</f>
        <v/>
      </c>
      <c r="AH508" s="11" t="str">
        <f>IF(OR(B508="",V508=""),"",V508-B508)</f>
        <v/>
      </c>
      <c r="AI508" s="16" t="str">
        <f>IF(P508="","",P508-WEEKDAY(P508,3))</f>
        <v/>
      </c>
      <c r="AJ508" s="23" t="str">
        <f>IF(P508="","",DATE(YEAR(P508),MONTH(P508),1))</f>
        <v/>
      </c>
    </row>
    <row r="509">
      <c r="A509" s="21"/>
      <c r="B509" s="14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14"/>
      <c r="Q509" s="21"/>
      <c r="R509" s="21"/>
      <c r="S509" s="21"/>
      <c r="T509" s="21"/>
      <c r="U509" s="21"/>
      <c r="V509" s="14"/>
      <c r="W509" s="22"/>
      <c r="X509" s="14"/>
      <c r="Y509" s="11" t="str">
        <f>IF(V509="","",IF(X509&lt;&gt;"",IF(X509-V509&lt;30,"No","Sí"),IF(TODAY()-V509&gt;=30,"Sí","En curso")))</f>
        <v/>
      </c>
      <c r="Z509" s="14"/>
      <c r="AA509" s="21"/>
      <c r="AB509" s="14"/>
      <c r="AC509" s="21"/>
      <c r="AD509" s="21"/>
      <c r="AE509" s="7"/>
      <c r="AF509" s="11" t="str">
        <f>IF(OR(AC509&lt;&gt;"Abierto",Z509=""),"",TODAY()-Z509)</f>
        <v/>
      </c>
      <c r="AG509" s="11" t="str">
        <f>IF(AC509&lt;&gt;"Abierto","",IF(AB509="","Sin siguiente acción",IF(AB509&lt;TODAY(),"Vencido",IF(AB509=TODAY(),"Hoy","En tiempo"))))</f>
        <v/>
      </c>
      <c r="AH509" s="11" t="str">
        <f>IF(OR(B509="",V509=""),"",V509-B509)</f>
        <v/>
      </c>
      <c r="AI509" s="16" t="str">
        <f>IF(P509="","",P509-WEEKDAY(P509,3))</f>
        <v/>
      </c>
      <c r="AJ509" s="23" t="str">
        <f>IF(P509="","",DATE(YEAR(P509),MONTH(P509),1))</f>
        <v/>
      </c>
    </row>
    <row r="510">
      <c r="A510" s="21"/>
      <c r="B510" s="14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14"/>
      <c r="Q510" s="21"/>
      <c r="R510" s="21"/>
      <c r="S510" s="21"/>
      <c r="T510" s="21"/>
      <c r="U510" s="21"/>
      <c r="V510" s="14"/>
      <c r="W510" s="22"/>
      <c r="X510" s="14"/>
      <c r="Y510" s="11" t="str">
        <f>IF(V510="","",IF(X510&lt;&gt;"",IF(X510-V510&lt;30,"No","Sí"),IF(TODAY()-V510&gt;=30,"Sí","En curso")))</f>
        <v/>
      </c>
      <c r="Z510" s="14"/>
      <c r="AA510" s="21"/>
      <c r="AB510" s="14"/>
      <c r="AC510" s="21"/>
      <c r="AD510" s="21"/>
      <c r="AE510" s="7"/>
      <c r="AF510" s="11" t="str">
        <f>IF(OR(AC510&lt;&gt;"Abierto",Z510=""),"",TODAY()-Z510)</f>
        <v/>
      </c>
      <c r="AG510" s="11" t="str">
        <f>IF(AC510&lt;&gt;"Abierto","",IF(AB510="","Sin siguiente acción",IF(AB510&lt;TODAY(),"Vencido",IF(AB510=TODAY(),"Hoy","En tiempo"))))</f>
        <v/>
      </c>
      <c r="AH510" s="11" t="str">
        <f>IF(OR(B510="",V510=""),"",V510-B510)</f>
        <v/>
      </c>
      <c r="AI510" s="16" t="str">
        <f>IF(P510="","",P510-WEEKDAY(P510,3))</f>
        <v/>
      </c>
      <c r="AJ510" s="23" t="str">
        <f>IF(P510="","",DATE(YEAR(P510),MONTH(P510),1))</f>
        <v/>
      </c>
    </row>
    <row r="511">
      <c r="A511" s="21"/>
      <c r="B511" s="14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14"/>
      <c r="Q511" s="21"/>
      <c r="R511" s="21"/>
      <c r="S511" s="21"/>
      <c r="T511" s="21"/>
      <c r="U511" s="21"/>
      <c r="V511" s="14"/>
      <c r="W511" s="22"/>
      <c r="X511" s="14"/>
      <c r="Y511" s="11" t="str">
        <f>IF(V511="","",IF(X511&lt;&gt;"",IF(X511-V511&lt;30,"No","Sí"),IF(TODAY()-V511&gt;=30,"Sí","En curso")))</f>
        <v/>
      </c>
      <c r="Z511" s="14"/>
      <c r="AA511" s="21"/>
      <c r="AB511" s="14"/>
      <c r="AC511" s="21"/>
      <c r="AD511" s="21"/>
      <c r="AE511" s="7"/>
      <c r="AF511" s="11" t="str">
        <f>IF(OR(AC511&lt;&gt;"Abierto",Z511=""),"",TODAY()-Z511)</f>
        <v/>
      </c>
      <c r="AG511" s="11" t="str">
        <f>IF(AC511&lt;&gt;"Abierto","",IF(AB511="","Sin siguiente acción",IF(AB511&lt;TODAY(),"Vencido",IF(AB511=TODAY(),"Hoy","En tiempo"))))</f>
        <v/>
      </c>
      <c r="AH511" s="11" t="str">
        <f>IF(OR(B511="",V511=""),"",V511-B511)</f>
        <v/>
      </c>
      <c r="AI511" s="16" t="str">
        <f>IF(P511="","",P511-WEEKDAY(P511,3))</f>
        <v/>
      </c>
      <c r="AJ511" s="23" t="str">
        <f>IF(P511="","",DATE(YEAR(P511),MONTH(P511),1))</f>
        <v/>
      </c>
    </row>
    <row r="512">
      <c r="A512" s="21"/>
      <c r="B512" s="14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14"/>
      <c r="Q512" s="21"/>
      <c r="R512" s="21"/>
      <c r="S512" s="21"/>
      <c r="T512" s="21"/>
      <c r="U512" s="21"/>
      <c r="V512" s="14"/>
      <c r="W512" s="22"/>
      <c r="X512" s="14"/>
      <c r="Y512" s="11" t="str">
        <f>IF(V512="","",IF(X512&lt;&gt;"",IF(X512-V512&lt;30,"No","Sí"),IF(TODAY()-V512&gt;=30,"Sí","En curso")))</f>
        <v/>
      </c>
      <c r="Z512" s="14"/>
      <c r="AA512" s="21"/>
      <c r="AB512" s="14"/>
      <c r="AC512" s="21"/>
      <c r="AD512" s="21"/>
      <c r="AE512" s="7"/>
      <c r="AF512" s="11" t="str">
        <f>IF(OR(AC512&lt;&gt;"Abierto",Z512=""),"",TODAY()-Z512)</f>
        <v/>
      </c>
      <c r="AG512" s="11" t="str">
        <f>IF(AC512&lt;&gt;"Abierto","",IF(AB512="","Sin siguiente acción",IF(AB512&lt;TODAY(),"Vencido",IF(AB512=TODAY(),"Hoy","En tiempo"))))</f>
        <v/>
      </c>
      <c r="AH512" s="11" t="str">
        <f>IF(OR(B512="",V512=""),"",V512-B512)</f>
        <v/>
      </c>
      <c r="AI512" s="16" t="str">
        <f>IF(P512="","",P512-WEEKDAY(P512,3))</f>
        <v/>
      </c>
      <c r="AJ512" s="23" t="str">
        <f>IF(P512="","",DATE(YEAR(P512),MONTH(P512),1))</f>
        <v/>
      </c>
    </row>
    <row r="513">
      <c r="A513" s="21"/>
      <c r="B513" s="14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14"/>
      <c r="Q513" s="21"/>
      <c r="R513" s="21"/>
      <c r="S513" s="21"/>
      <c r="T513" s="21"/>
      <c r="U513" s="21"/>
      <c r="V513" s="14"/>
      <c r="W513" s="22"/>
      <c r="X513" s="14"/>
      <c r="Y513" s="11" t="str">
        <f>IF(V513="","",IF(X513&lt;&gt;"",IF(X513-V513&lt;30,"No","Sí"),IF(TODAY()-V513&gt;=30,"Sí","En curso")))</f>
        <v/>
      </c>
      <c r="Z513" s="14"/>
      <c r="AA513" s="21"/>
      <c r="AB513" s="14"/>
      <c r="AC513" s="21"/>
      <c r="AD513" s="21"/>
      <c r="AE513" s="7"/>
      <c r="AF513" s="11" t="str">
        <f>IF(OR(AC513&lt;&gt;"Abierto",Z513=""),"",TODAY()-Z513)</f>
        <v/>
      </c>
      <c r="AG513" s="11" t="str">
        <f>IF(AC513&lt;&gt;"Abierto","",IF(AB513="","Sin siguiente acción",IF(AB513&lt;TODAY(),"Vencido",IF(AB513=TODAY(),"Hoy","En tiempo"))))</f>
        <v/>
      </c>
      <c r="AH513" s="11" t="str">
        <f>IF(OR(B513="",V513=""),"",V513-B513)</f>
        <v/>
      </c>
      <c r="AI513" s="16" t="str">
        <f>IF(P513="","",P513-WEEKDAY(P513,3))</f>
        <v/>
      </c>
      <c r="AJ513" s="23" t="str">
        <f>IF(P513="","",DATE(YEAR(P513),MONTH(P513),1))</f>
        <v/>
      </c>
    </row>
    <row r="514">
      <c r="A514" s="21"/>
      <c r="B514" s="14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14"/>
      <c r="Q514" s="21"/>
      <c r="R514" s="21"/>
      <c r="S514" s="21"/>
      <c r="T514" s="21"/>
      <c r="U514" s="21"/>
      <c r="V514" s="14"/>
      <c r="W514" s="22"/>
      <c r="X514" s="14"/>
      <c r="Y514" s="11" t="str">
        <f>IF(V514="","",IF(X514&lt;&gt;"",IF(X514-V514&lt;30,"No","Sí"),IF(TODAY()-V514&gt;=30,"Sí","En curso")))</f>
        <v/>
      </c>
      <c r="Z514" s="14"/>
      <c r="AA514" s="21"/>
      <c r="AB514" s="14"/>
      <c r="AC514" s="21"/>
      <c r="AD514" s="21"/>
      <c r="AE514" s="7"/>
      <c r="AF514" s="11" t="str">
        <f>IF(OR(AC514&lt;&gt;"Abierto",Z514=""),"",TODAY()-Z514)</f>
        <v/>
      </c>
      <c r="AG514" s="11" t="str">
        <f>IF(AC514&lt;&gt;"Abierto","",IF(AB514="","Sin siguiente acción",IF(AB514&lt;TODAY(),"Vencido",IF(AB514=TODAY(),"Hoy","En tiempo"))))</f>
        <v/>
      </c>
      <c r="AH514" s="11" t="str">
        <f>IF(OR(B514="",V514=""),"",V514-B514)</f>
        <v/>
      </c>
      <c r="AI514" s="16" t="str">
        <f>IF(P514="","",P514-WEEKDAY(P514,3))</f>
        <v/>
      </c>
      <c r="AJ514" s="23" t="str">
        <f>IF(P514="","",DATE(YEAR(P514),MONTH(P514),1))</f>
        <v/>
      </c>
    </row>
    <row r="515">
      <c r="A515" s="21"/>
      <c r="B515" s="14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14"/>
      <c r="Q515" s="21"/>
      <c r="R515" s="21"/>
      <c r="S515" s="21"/>
      <c r="T515" s="21"/>
      <c r="U515" s="21"/>
      <c r="V515" s="14"/>
      <c r="W515" s="22"/>
      <c r="X515" s="14"/>
      <c r="Y515" s="11" t="str">
        <f>IF(V515="","",IF(X515&lt;&gt;"",IF(X515-V515&lt;30,"No","Sí"),IF(TODAY()-V515&gt;=30,"Sí","En curso")))</f>
        <v/>
      </c>
      <c r="Z515" s="14"/>
      <c r="AA515" s="21"/>
      <c r="AB515" s="14"/>
      <c r="AC515" s="21"/>
      <c r="AD515" s="21"/>
      <c r="AE515" s="7"/>
      <c r="AF515" s="11" t="str">
        <f>IF(OR(AC515&lt;&gt;"Abierto",Z515=""),"",TODAY()-Z515)</f>
        <v/>
      </c>
      <c r="AG515" s="11" t="str">
        <f>IF(AC515&lt;&gt;"Abierto","",IF(AB515="","Sin siguiente acción",IF(AB515&lt;TODAY(),"Vencido",IF(AB515=TODAY(),"Hoy","En tiempo"))))</f>
        <v/>
      </c>
      <c r="AH515" s="11" t="str">
        <f>IF(OR(B515="",V515=""),"",V515-B515)</f>
        <v/>
      </c>
      <c r="AI515" s="16" t="str">
        <f>IF(P515="","",P515-WEEKDAY(P515,3))</f>
        <v/>
      </c>
      <c r="AJ515" s="23" t="str">
        <f>IF(P515="","",DATE(YEAR(P515),MONTH(P515),1))</f>
        <v/>
      </c>
    </row>
    <row r="516">
      <c r="A516" s="21"/>
      <c r="B516" s="14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14"/>
      <c r="Q516" s="21"/>
      <c r="R516" s="21"/>
      <c r="S516" s="21"/>
      <c r="T516" s="21"/>
      <c r="U516" s="21"/>
      <c r="V516" s="14"/>
      <c r="W516" s="22"/>
      <c r="X516" s="14"/>
      <c r="Y516" s="11" t="str">
        <f>IF(V516="","",IF(X516&lt;&gt;"",IF(X516-V516&lt;30,"No","Sí"),IF(TODAY()-V516&gt;=30,"Sí","En curso")))</f>
        <v/>
      </c>
      <c r="Z516" s="14"/>
      <c r="AA516" s="21"/>
      <c r="AB516" s="14"/>
      <c r="AC516" s="21"/>
      <c r="AD516" s="21"/>
      <c r="AE516" s="7"/>
      <c r="AF516" s="11" t="str">
        <f>IF(OR(AC516&lt;&gt;"Abierto",Z516=""),"",TODAY()-Z516)</f>
        <v/>
      </c>
      <c r="AG516" s="11" t="str">
        <f>IF(AC516&lt;&gt;"Abierto","",IF(AB516="","Sin siguiente acción",IF(AB516&lt;TODAY(),"Vencido",IF(AB516=TODAY(),"Hoy","En tiempo"))))</f>
        <v/>
      </c>
      <c r="AH516" s="11" t="str">
        <f>IF(OR(B516="",V516=""),"",V516-B516)</f>
        <v/>
      </c>
      <c r="AI516" s="16" t="str">
        <f>IF(P516="","",P516-WEEKDAY(P516,3))</f>
        <v/>
      </c>
      <c r="AJ516" s="23" t="str">
        <f>IF(P516="","",DATE(YEAR(P516),MONTH(P516),1))</f>
        <v/>
      </c>
    </row>
    <row r="517">
      <c r="A517" s="21"/>
      <c r="B517" s="14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14"/>
      <c r="Q517" s="21"/>
      <c r="R517" s="21"/>
      <c r="S517" s="21"/>
      <c r="T517" s="21"/>
      <c r="U517" s="21"/>
      <c r="V517" s="14"/>
      <c r="W517" s="22"/>
      <c r="X517" s="14"/>
      <c r="Y517" s="11" t="str">
        <f>IF(V517="","",IF(X517&lt;&gt;"",IF(X517-V517&lt;30,"No","Sí"),IF(TODAY()-V517&gt;=30,"Sí","En curso")))</f>
        <v/>
      </c>
      <c r="Z517" s="14"/>
      <c r="AA517" s="21"/>
      <c r="AB517" s="14"/>
      <c r="AC517" s="21"/>
      <c r="AD517" s="21"/>
      <c r="AE517" s="7"/>
      <c r="AF517" s="11" t="str">
        <f>IF(OR(AC517&lt;&gt;"Abierto",Z517=""),"",TODAY()-Z517)</f>
        <v/>
      </c>
      <c r="AG517" s="11" t="str">
        <f>IF(AC517&lt;&gt;"Abierto","",IF(AB517="","Sin siguiente acción",IF(AB517&lt;TODAY(),"Vencido",IF(AB517=TODAY(),"Hoy","En tiempo"))))</f>
        <v/>
      </c>
      <c r="AH517" s="11" t="str">
        <f>IF(OR(B517="",V517=""),"",V517-B517)</f>
        <v/>
      </c>
      <c r="AI517" s="16" t="str">
        <f>IF(P517="","",P517-WEEKDAY(P517,3))</f>
        <v/>
      </c>
      <c r="AJ517" s="23" t="str">
        <f>IF(P517="","",DATE(YEAR(P517),MONTH(P517),1))</f>
        <v/>
      </c>
    </row>
    <row r="518">
      <c r="A518" s="21"/>
      <c r="B518" s="14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14"/>
      <c r="Q518" s="21"/>
      <c r="R518" s="21"/>
      <c r="S518" s="21"/>
      <c r="T518" s="21"/>
      <c r="U518" s="21"/>
      <c r="V518" s="14"/>
      <c r="W518" s="22"/>
      <c r="X518" s="14"/>
      <c r="Y518" s="11" t="str">
        <f>IF(V518="","",IF(X518&lt;&gt;"",IF(X518-V518&lt;30,"No","Sí"),IF(TODAY()-V518&gt;=30,"Sí","En curso")))</f>
        <v/>
      </c>
      <c r="Z518" s="14"/>
      <c r="AA518" s="21"/>
      <c r="AB518" s="14"/>
      <c r="AC518" s="21"/>
      <c r="AD518" s="21"/>
      <c r="AE518" s="7"/>
      <c r="AF518" s="11" t="str">
        <f>IF(OR(AC518&lt;&gt;"Abierto",Z518=""),"",TODAY()-Z518)</f>
        <v/>
      </c>
      <c r="AG518" s="11" t="str">
        <f>IF(AC518&lt;&gt;"Abierto","",IF(AB518="","Sin siguiente acción",IF(AB518&lt;TODAY(),"Vencido",IF(AB518=TODAY(),"Hoy","En tiempo"))))</f>
        <v/>
      </c>
      <c r="AH518" s="11" t="str">
        <f>IF(OR(B518="",V518=""),"",V518-B518)</f>
        <v/>
      </c>
      <c r="AI518" s="16" t="str">
        <f>IF(P518="","",P518-WEEKDAY(P518,3))</f>
        <v/>
      </c>
      <c r="AJ518" s="23" t="str">
        <f>IF(P518="","",DATE(YEAR(P518),MONTH(P518),1))</f>
        <v/>
      </c>
    </row>
    <row r="519">
      <c r="A519" s="21"/>
      <c r="B519" s="14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14"/>
      <c r="Q519" s="21"/>
      <c r="R519" s="21"/>
      <c r="S519" s="21"/>
      <c r="T519" s="21"/>
      <c r="U519" s="21"/>
      <c r="V519" s="14"/>
      <c r="W519" s="22"/>
      <c r="X519" s="14"/>
      <c r="Y519" s="11" t="str">
        <f>IF(V519="","",IF(X519&lt;&gt;"",IF(X519-V519&lt;30,"No","Sí"),IF(TODAY()-V519&gt;=30,"Sí","En curso")))</f>
        <v/>
      </c>
      <c r="Z519" s="14"/>
      <c r="AA519" s="21"/>
      <c r="AB519" s="14"/>
      <c r="AC519" s="21"/>
      <c r="AD519" s="21"/>
      <c r="AE519" s="7"/>
      <c r="AF519" s="11" t="str">
        <f>IF(OR(AC519&lt;&gt;"Abierto",Z519=""),"",TODAY()-Z519)</f>
        <v/>
      </c>
      <c r="AG519" s="11" t="str">
        <f>IF(AC519&lt;&gt;"Abierto","",IF(AB519="","Sin siguiente acción",IF(AB519&lt;TODAY(),"Vencido",IF(AB519=TODAY(),"Hoy","En tiempo"))))</f>
        <v/>
      </c>
      <c r="AH519" s="11" t="str">
        <f>IF(OR(B519="",V519=""),"",V519-B519)</f>
        <v/>
      </c>
      <c r="AI519" s="16" t="str">
        <f>IF(P519="","",P519-WEEKDAY(P519,3))</f>
        <v/>
      </c>
      <c r="AJ519" s="23" t="str">
        <f>IF(P519="","",DATE(YEAR(P519),MONTH(P519),1))</f>
        <v/>
      </c>
    </row>
    <row r="520">
      <c r="A520" s="21"/>
      <c r="B520" s="14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14"/>
      <c r="Q520" s="21"/>
      <c r="R520" s="21"/>
      <c r="S520" s="21"/>
      <c r="T520" s="21"/>
      <c r="U520" s="21"/>
      <c r="V520" s="14"/>
      <c r="W520" s="22"/>
      <c r="X520" s="14"/>
      <c r="Y520" s="11" t="str">
        <f>IF(V520="","",IF(X520&lt;&gt;"",IF(X520-V520&lt;30,"No","Sí"),IF(TODAY()-V520&gt;=30,"Sí","En curso")))</f>
        <v/>
      </c>
      <c r="Z520" s="14"/>
      <c r="AA520" s="21"/>
      <c r="AB520" s="14"/>
      <c r="AC520" s="21"/>
      <c r="AD520" s="21"/>
      <c r="AE520" s="7"/>
      <c r="AF520" s="11" t="str">
        <f>IF(OR(AC520&lt;&gt;"Abierto",Z520=""),"",TODAY()-Z520)</f>
        <v/>
      </c>
      <c r="AG520" s="11" t="str">
        <f>IF(AC520&lt;&gt;"Abierto","",IF(AB520="","Sin siguiente acción",IF(AB520&lt;TODAY(),"Vencido",IF(AB520=TODAY(),"Hoy","En tiempo"))))</f>
        <v/>
      </c>
      <c r="AH520" s="11" t="str">
        <f>IF(OR(B520="",V520=""),"",V520-B520)</f>
        <v/>
      </c>
      <c r="AI520" s="16" t="str">
        <f>IF(P520="","",P520-WEEKDAY(P520,3))</f>
        <v/>
      </c>
      <c r="AJ520" s="23" t="str">
        <f>IF(P520="","",DATE(YEAR(P520),MONTH(P520),1))</f>
        <v/>
      </c>
    </row>
    <row r="521">
      <c r="A521" s="21"/>
      <c r="B521" s="14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14"/>
      <c r="Q521" s="21"/>
      <c r="R521" s="21"/>
      <c r="S521" s="21"/>
      <c r="T521" s="21"/>
      <c r="U521" s="21"/>
      <c r="V521" s="14"/>
      <c r="W521" s="22"/>
      <c r="X521" s="14"/>
      <c r="Y521" s="11" t="str">
        <f>IF(V521="","",IF(X521&lt;&gt;"",IF(X521-V521&lt;30,"No","Sí"),IF(TODAY()-V521&gt;=30,"Sí","En curso")))</f>
        <v/>
      </c>
      <c r="Z521" s="14"/>
      <c r="AA521" s="21"/>
      <c r="AB521" s="14"/>
      <c r="AC521" s="21"/>
      <c r="AD521" s="21"/>
      <c r="AE521" s="7"/>
      <c r="AF521" s="11" t="str">
        <f>IF(OR(AC521&lt;&gt;"Abierto",Z521=""),"",TODAY()-Z521)</f>
        <v/>
      </c>
      <c r="AG521" s="11" t="str">
        <f>IF(AC521&lt;&gt;"Abierto","",IF(AB521="","Sin siguiente acción",IF(AB521&lt;TODAY(),"Vencido",IF(AB521=TODAY(),"Hoy","En tiempo"))))</f>
        <v/>
      </c>
      <c r="AH521" s="11" t="str">
        <f>IF(OR(B521="",V521=""),"",V521-B521)</f>
        <v/>
      </c>
      <c r="AI521" s="16" t="str">
        <f>IF(P521="","",P521-WEEKDAY(P521,3))</f>
        <v/>
      </c>
      <c r="AJ521" s="23" t="str">
        <f>IF(P521="","",DATE(YEAR(P521),MONTH(P521),1))</f>
        <v/>
      </c>
    </row>
    <row r="522">
      <c r="A522" s="21"/>
      <c r="B522" s="14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14"/>
      <c r="Q522" s="21"/>
      <c r="R522" s="21"/>
      <c r="S522" s="21"/>
      <c r="T522" s="21"/>
      <c r="U522" s="21"/>
      <c r="V522" s="14"/>
      <c r="W522" s="22"/>
      <c r="X522" s="14"/>
      <c r="Y522" s="11" t="str">
        <f>IF(V522="","",IF(X522&lt;&gt;"",IF(X522-V522&lt;30,"No","Sí"),IF(TODAY()-V522&gt;=30,"Sí","En curso")))</f>
        <v/>
      </c>
      <c r="Z522" s="14"/>
      <c r="AA522" s="21"/>
      <c r="AB522" s="14"/>
      <c r="AC522" s="21"/>
      <c r="AD522" s="21"/>
      <c r="AE522" s="7"/>
      <c r="AF522" s="11" t="str">
        <f>IF(OR(AC522&lt;&gt;"Abierto",Z522=""),"",TODAY()-Z522)</f>
        <v/>
      </c>
      <c r="AG522" s="11" t="str">
        <f>IF(AC522&lt;&gt;"Abierto","",IF(AB522="","Sin siguiente acción",IF(AB522&lt;TODAY(),"Vencido",IF(AB522=TODAY(),"Hoy","En tiempo"))))</f>
        <v/>
      </c>
      <c r="AH522" s="11" t="str">
        <f>IF(OR(B522="",V522=""),"",V522-B522)</f>
        <v/>
      </c>
      <c r="AI522" s="16" t="str">
        <f>IF(P522="","",P522-WEEKDAY(P522,3))</f>
        <v/>
      </c>
      <c r="AJ522" s="23" t="str">
        <f>IF(P522="","",DATE(YEAR(P522),MONTH(P522),1))</f>
        <v/>
      </c>
    </row>
    <row r="523">
      <c r="A523" s="21"/>
      <c r="B523" s="14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14"/>
      <c r="Q523" s="21"/>
      <c r="R523" s="21"/>
      <c r="S523" s="21"/>
      <c r="T523" s="21"/>
      <c r="U523" s="21"/>
      <c r="V523" s="14"/>
      <c r="W523" s="22"/>
      <c r="X523" s="14"/>
      <c r="Y523" s="11" t="str">
        <f>IF(V523="","",IF(X523&lt;&gt;"",IF(X523-V523&lt;30,"No","Sí"),IF(TODAY()-V523&gt;=30,"Sí","En curso")))</f>
        <v/>
      </c>
      <c r="Z523" s="14"/>
      <c r="AA523" s="21"/>
      <c r="AB523" s="14"/>
      <c r="AC523" s="21"/>
      <c r="AD523" s="21"/>
      <c r="AE523" s="7"/>
      <c r="AF523" s="11" t="str">
        <f>IF(OR(AC523&lt;&gt;"Abierto",Z523=""),"",TODAY()-Z523)</f>
        <v/>
      </c>
      <c r="AG523" s="11" t="str">
        <f>IF(AC523&lt;&gt;"Abierto","",IF(AB523="","Sin siguiente acción",IF(AB523&lt;TODAY(),"Vencido",IF(AB523=TODAY(),"Hoy","En tiempo"))))</f>
        <v/>
      </c>
      <c r="AH523" s="11" t="str">
        <f>IF(OR(B523="",V523=""),"",V523-B523)</f>
        <v/>
      </c>
      <c r="AI523" s="16" t="str">
        <f>IF(P523="","",P523-WEEKDAY(P523,3))</f>
        <v/>
      </c>
      <c r="AJ523" s="23" t="str">
        <f>IF(P523="","",DATE(YEAR(P523),MONTH(P523),1))</f>
        <v/>
      </c>
    </row>
    <row r="524">
      <c r="A524" s="21"/>
      <c r="B524" s="14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14"/>
      <c r="Q524" s="21"/>
      <c r="R524" s="21"/>
      <c r="S524" s="21"/>
      <c r="T524" s="21"/>
      <c r="U524" s="21"/>
      <c r="V524" s="14"/>
      <c r="W524" s="22"/>
      <c r="X524" s="14"/>
      <c r="Y524" s="11" t="str">
        <f>IF(V524="","",IF(X524&lt;&gt;"",IF(X524-V524&lt;30,"No","Sí"),IF(TODAY()-V524&gt;=30,"Sí","En curso")))</f>
        <v/>
      </c>
      <c r="Z524" s="14"/>
      <c r="AA524" s="21"/>
      <c r="AB524" s="14"/>
      <c r="AC524" s="21"/>
      <c r="AD524" s="21"/>
      <c r="AE524" s="7"/>
      <c r="AF524" s="11" t="str">
        <f>IF(OR(AC524&lt;&gt;"Abierto",Z524=""),"",TODAY()-Z524)</f>
        <v/>
      </c>
      <c r="AG524" s="11" t="str">
        <f>IF(AC524&lt;&gt;"Abierto","",IF(AB524="","Sin siguiente acción",IF(AB524&lt;TODAY(),"Vencido",IF(AB524=TODAY(),"Hoy","En tiempo"))))</f>
        <v/>
      </c>
      <c r="AH524" s="11" t="str">
        <f>IF(OR(B524="",V524=""),"",V524-B524)</f>
        <v/>
      </c>
      <c r="AI524" s="16" t="str">
        <f>IF(P524="","",P524-WEEKDAY(P524,3))</f>
        <v/>
      </c>
      <c r="AJ524" s="23" t="str">
        <f>IF(P524="","",DATE(YEAR(P524),MONTH(P524),1))</f>
        <v/>
      </c>
    </row>
    <row r="525">
      <c r="A525" s="21"/>
      <c r="B525" s="14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14"/>
      <c r="Q525" s="21"/>
      <c r="R525" s="21"/>
      <c r="S525" s="21"/>
      <c r="T525" s="21"/>
      <c r="U525" s="21"/>
      <c r="V525" s="14"/>
      <c r="W525" s="22"/>
      <c r="X525" s="14"/>
      <c r="Y525" s="11" t="str">
        <f>IF(V525="","",IF(X525&lt;&gt;"",IF(X525-V525&lt;30,"No","Sí"),IF(TODAY()-V525&gt;=30,"Sí","En curso")))</f>
        <v/>
      </c>
      <c r="Z525" s="14"/>
      <c r="AA525" s="21"/>
      <c r="AB525" s="14"/>
      <c r="AC525" s="21"/>
      <c r="AD525" s="21"/>
      <c r="AE525" s="7"/>
      <c r="AF525" s="11" t="str">
        <f>IF(OR(AC525&lt;&gt;"Abierto",Z525=""),"",TODAY()-Z525)</f>
        <v/>
      </c>
      <c r="AG525" s="11" t="str">
        <f>IF(AC525&lt;&gt;"Abierto","",IF(AB525="","Sin siguiente acción",IF(AB525&lt;TODAY(),"Vencido",IF(AB525=TODAY(),"Hoy","En tiempo"))))</f>
        <v/>
      </c>
      <c r="AH525" s="11" t="str">
        <f>IF(OR(B525="",V525=""),"",V525-B525)</f>
        <v/>
      </c>
      <c r="AI525" s="16" t="str">
        <f>IF(P525="","",P525-WEEKDAY(P525,3))</f>
        <v/>
      </c>
      <c r="AJ525" s="23" t="str">
        <f>IF(P525="","",DATE(YEAR(P525),MONTH(P525),1))</f>
        <v/>
      </c>
    </row>
    <row r="526">
      <c r="A526" s="21"/>
      <c r="B526" s="14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14"/>
      <c r="Q526" s="21"/>
      <c r="R526" s="21"/>
      <c r="S526" s="21"/>
      <c r="T526" s="21"/>
      <c r="U526" s="21"/>
      <c r="V526" s="14"/>
      <c r="W526" s="22"/>
      <c r="X526" s="14"/>
      <c r="Y526" s="11" t="str">
        <f>IF(V526="","",IF(X526&lt;&gt;"",IF(X526-V526&lt;30,"No","Sí"),IF(TODAY()-V526&gt;=30,"Sí","En curso")))</f>
        <v/>
      </c>
      <c r="Z526" s="14"/>
      <c r="AA526" s="21"/>
      <c r="AB526" s="14"/>
      <c r="AC526" s="21"/>
      <c r="AD526" s="21"/>
      <c r="AE526" s="7"/>
      <c r="AF526" s="11" t="str">
        <f>IF(OR(AC526&lt;&gt;"Abierto",Z526=""),"",TODAY()-Z526)</f>
        <v/>
      </c>
      <c r="AG526" s="11" t="str">
        <f>IF(AC526&lt;&gt;"Abierto","",IF(AB526="","Sin siguiente acción",IF(AB526&lt;TODAY(),"Vencido",IF(AB526=TODAY(),"Hoy","En tiempo"))))</f>
        <v/>
      </c>
      <c r="AH526" s="11" t="str">
        <f>IF(OR(B526="",V526=""),"",V526-B526)</f>
        <v/>
      </c>
      <c r="AI526" s="16" t="str">
        <f>IF(P526="","",P526-WEEKDAY(P526,3))</f>
        <v/>
      </c>
      <c r="AJ526" s="23" t="str">
        <f>IF(P526="","",DATE(YEAR(P526),MONTH(P526),1))</f>
        <v/>
      </c>
    </row>
    <row r="527">
      <c r="A527" s="21"/>
      <c r="B527" s="14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14"/>
      <c r="Q527" s="21"/>
      <c r="R527" s="21"/>
      <c r="S527" s="21"/>
      <c r="T527" s="21"/>
      <c r="U527" s="21"/>
      <c r="V527" s="14"/>
      <c r="W527" s="22"/>
      <c r="X527" s="14"/>
      <c r="Y527" s="11" t="str">
        <f>IF(V527="","",IF(X527&lt;&gt;"",IF(X527-V527&lt;30,"No","Sí"),IF(TODAY()-V527&gt;=30,"Sí","En curso")))</f>
        <v/>
      </c>
      <c r="Z527" s="14"/>
      <c r="AA527" s="21"/>
      <c r="AB527" s="14"/>
      <c r="AC527" s="21"/>
      <c r="AD527" s="21"/>
      <c r="AE527" s="7"/>
      <c r="AF527" s="11" t="str">
        <f>IF(OR(AC527&lt;&gt;"Abierto",Z527=""),"",TODAY()-Z527)</f>
        <v/>
      </c>
      <c r="AG527" s="11" t="str">
        <f>IF(AC527&lt;&gt;"Abierto","",IF(AB527="","Sin siguiente acción",IF(AB527&lt;TODAY(),"Vencido",IF(AB527=TODAY(),"Hoy","En tiempo"))))</f>
        <v/>
      </c>
      <c r="AH527" s="11" t="str">
        <f>IF(OR(B527="",V527=""),"",V527-B527)</f>
        <v/>
      </c>
      <c r="AI527" s="16" t="str">
        <f>IF(P527="","",P527-WEEKDAY(P527,3))</f>
        <v/>
      </c>
      <c r="AJ527" s="23" t="str">
        <f>IF(P527="","",DATE(YEAR(P527),MONTH(P527),1))</f>
        <v/>
      </c>
    </row>
    <row r="528">
      <c r="A528" s="21"/>
      <c r="B528" s="14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14"/>
      <c r="Q528" s="21"/>
      <c r="R528" s="21"/>
      <c r="S528" s="21"/>
      <c r="T528" s="21"/>
      <c r="U528" s="21"/>
      <c r="V528" s="14"/>
      <c r="W528" s="22"/>
      <c r="X528" s="14"/>
      <c r="Y528" s="11" t="str">
        <f>IF(V528="","",IF(X528&lt;&gt;"",IF(X528-V528&lt;30,"No","Sí"),IF(TODAY()-V528&gt;=30,"Sí","En curso")))</f>
        <v/>
      </c>
      <c r="Z528" s="14"/>
      <c r="AA528" s="21"/>
      <c r="AB528" s="14"/>
      <c r="AC528" s="21"/>
      <c r="AD528" s="21"/>
      <c r="AE528" s="7"/>
      <c r="AF528" s="11" t="str">
        <f>IF(OR(AC528&lt;&gt;"Abierto",Z528=""),"",TODAY()-Z528)</f>
        <v/>
      </c>
      <c r="AG528" s="11" t="str">
        <f>IF(AC528&lt;&gt;"Abierto","",IF(AB528="","Sin siguiente acción",IF(AB528&lt;TODAY(),"Vencido",IF(AB528=TODAY(),"Hoy","En tiempo"))))</f>
        <v/>
      </c>
      <c r="AH528" s="11" t="str">
        <f>IF(OR(B528="",V528=""),"",V528-B528)</f>
        <v/>
      </c>
      <c r="AI528" s="16" t="str">
        <f>IF(P528="","",P528-WEEKDAY(P528,3))</f>
        <v/>
      </c>
      <c r="AJ528" s="23" t="str">
        <f>IF(P528="","",DATE(YEAR(P528),MONTH(P528),1))</f>
        <v/>
      </c>
    </row>
    <row r="529">
      <c r="A529" s="21"/>
      <c r="B529" s="14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14"/>
      <c r="Q529" s="21"/>
      <c r="R529" s="21"/>
      <c r="S529" s="21"/>
      <c r="T529" s="21"/>
      <c r="U529" s="21"/>
      <c r="V529" s="14"/>
      <c r="W529" s="22"/>
      <c r="X529" s="14"/>
      <c r="Y529" s="11" t="str">
        <f>IF(V529="","",IF(X529&lt;&gt;"",IF(X529-V529&lt;30,"No","Sí"),IF(TODAY()-V529&gt;=30,"Sí","En curso")))</f>
        <v/>
      </c>
      <c r="Z529" s="14"/>
      <c r="AA529" s="21"/>
      <c r="AB529" s="14"/>
      <c r="AC529" s="21"/>
      <c r="AD529" s="21"/>
      <c r="AE529" s="7"/>
      <c r="AF529" s="11" t="str">
        <f>IF(OR(AC529&lt;&gt;"Abierto",Z529=""),"",TODAY()-Z529)</f>
        <v/>
      </c>
      <c r="AG529" s="11" t="str">
        <f>IF(AC529&lt;&gt;"Abierto","",IF(AB529="","Sin siguiente acción",IF(AB529&lt;TODAY(),"Vencido",IF(AB529=TODAY(),"Hoy","En tiempo"))))</f>
        <v/>
      </c>
      <c r="AH529" s="11" t="str">
        <f>IF(OR(B529="",V529=""),"",V529-B529)</f>
        <v/>
      </c>
      <c r="AI529" s="16" t="str">
        <f>IF(P529="","",P529-WEEKDAY(P529,3))</f>
        <v/>
      </c>
      <c r="AJ529" s="23" t="str">
        <f>IF(P529="","",DATE(YEAR(P529),MONTH(P529),1))</f>
        <v/>
      </c>
    </row>
    <row r="530">
      <c r="A530" s="21"/>
      <c r="B530" s="14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14"/>
      <c r="Q530" s="21"/>
      <c r="R530" s="21"/>
      <c r="S530" s="21"/>
      <c r="T530" s="21"/>
      <c r="U530" s="21"/>
      <c r="V530" s="14"/>
      <c r="W530" s="22"/>
      <c r="X530" s="14"/>
      <c r="Y530" s="11" t="str">
        <f>IF(V530="","",IF(X530&lt;&gt;"",IF(X530-V530&lt;30,"No","Sí"),IF(TODAY()-V530&gt;=30,"Sí","En curso")))</f>
        <v/>
      </c>
      <c r="Z530" s="14"/>
      <c r="AA530" s="21"/>
      <c r="AB530" s="14"/>
      <c r="AC530" s="21"/>
      <c r="AD530" s="21"/>
      <c r="AE530" s="7"/>
      <c r="AF530" s="11" t="str">
        <f>IF(OR(AC530&lt;&gt;"Abierto",Z530=""),"",TODAY()-Z530)</f>
        <v/>
      </c>
      <c r="AG530" s="11" t="str">
        <f>IF(AC530&lt;&gt;"Abierto","",IF(AB530="","Sin siguiente acción",IF(AB530&lt;TODAY(),"Vencido",IF(AB530=TODAY(),"Hoy","En tiempo"))))</f>
        <v/>
      </c>
      <c r="AH530" s="11" t="str">
        <f>IF(OR(B530="",V530=""),"",V530-B530)</f>
        <v/>
      </c>
      <c r="AI530" s="16" t="str">
        <f>IF(P530="","",P530-WEEKDAY(P530,3))</f>
        <v/>
      </c>
      <c r="AJ530" s="23" t="str">
        <f>IF(P530="","",DATE(YEAR(P530),MONTH(P530),1))</f>
        <v/>
      </c>
    </row>
    <row r="531">
      <c r="A531" s="21"/>
      <c r="B531" s="14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14"/>
      <c r="Q531" s="21"/>
      <c r="R531" s="21"/>
      <c r="S531" s="21"/>
      <c r="T531" s="21"/>
      <c r="U531" s="21"/>
      <c r="V531" s="14"/>
      <c r="W531" s="22"/>
      <c r="X531" s="14"/>
      <c r="Y531" s="11" t="str">
        <f>IF(V531="","",IF(X531&lt;&gt;"",IF(X531-V531&lt;30,"No","Sí"),IF(TODAY()-V531&gt;=30,"Sí","En curso")))</f>
        <v/>
      </c>
      <c r="Z531" s="14"/>
      <c r="AA531" s="21"/>
      <c r="AB531" s="14"/>
      <c r="AC531" s="21"/>
      <c r="AD531" s="21"/>
      <c r="AE531" s="7"/>
      <c r="AF531" s="11" t="str">
        <f>IF(OR(AC531&lt;&gt;"Abierto",Z531=""),"",TODAY()-Z531)</f>
        <v/>
      </c>
      <c r="AG531" s="11" t="str">
        <f>IF(AC531&lt;&gt;"Abierto","",IF(AB531="","Sin siguiente acción",IF(AB531&lt;TODAY(),"Vencido",IF(AB531=TODAY(),"Hoy","En tiempo"))))</f>
        <v/>
      </c>
      <c r="AH531" s="11" t="str">
        <f>IF(OR(B531="",V531=""),"",V531-B531)</f>
        <v/>
      </c>
      <c r="AI531" s="16" t="str">
        <f>IF(P531="","",P531-WEEKDAY(P531,3))</f>
        <v/>
      </c>
      <c r="AJ531" s="23" t="str">
        <f>IF(P531="","",DATE(YEAR(P531),MONTH(P531),1))</f>
        <v/>
      </c>
    </row>
    <row r="532">
      <c r="A532" s="21"/>
      <c r="B532" s="14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14"/>
      <c r="Q532" s="21"/>
      <c r="R532" s="21"/>
      <c r="S532" s="21"/>
      <c r="T532" s="21"/>
      <c r="U532" s="21"/>
      <c r="V532" s="14"/>
      <c r="W532" s="22"/>
      <c r="X532" s="14"/>
      <c r="Y532" s="11" t="str">
        <f>IF(V532="","",IF(X532&lt;&gt;"",IF(X532-V532&lt;30,"No","Sí"),IF(TODAY()-V532&gt;=30,"Sí","En curso")))</f>
        <v/>
      </c>
      <c r="Z532" s="14"/>
      <c r="AA532" s="21"/>
      <c r="AB532" s="14"/>
      <c r="AC532" s="21"/>
      <c r="AD532" s="21"/>
      <c r="AE532" s="7"/>
      <c r="AF532" s="11" t="str">
        <f>IF(OR(AC532&lt;&gt;"Abierto",Z532=""),"",TODAY()-Z532)</f>
        <v/>
      </c>
      <c r="AG532" s="11" t="str">
        <f>IF(AC532&lt;&gt;"Abierto","",IF(AB532="","Sin siguiente acción",IF(AB532&lt;TODAY(),"Vencido",IF(AB532=TODAY(),"Hoy","En tiempo"))))</f>
        <v/>
      </c>
      <c r="AH532" s="11" t="str">
        <f>IF(OR(B532="",V532=""),"",V532-B532)</f>
        <v/>
      </c>
      <c r="AI532" s="16" t="str">
        <f>IF(P532="","",P532-WEEKDAY(P532,3))</f>
        <v/>
      </c>
      <c r="AJ532" s="23" t="str">
        <f>IF(P532="","",DATE(YEAR(P532),MONTH(P532),1))</f>
        <v/>
      </c>
    </row>
    <row r="533">
      <c r="A533" s="21"/>
      <c r="B533" s="14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14"/>
      <c r="Q533" s="21"/>
      <c r="R533" s="21"/>
      <c r="S533" s="21"/>
      <c r="T533" s="21"/>
      <c r="U533" s="21"/>
      <c r="V533" s="14"/>
      <c r="W533" s="22"/>
      <c r="X533" s="14"/>
      <c r="Y533" s="11" t="str">
        <f>IF(V533="","",IF(X533&lt;&gt;"",IF(X533-V533&lt;30,"No","Sí"),IF(TODAY()-V533&gt;=30,"Sí","En curso")))</f>
        <v/>
      </c>
      <c r="Z533" s="14"/>
      <c r="AA533" s="21"/>
      <c r="AB533" s="14"/>
      <c r="AC533" s="21"/>
      <c r="AD533" s="21"/>
      <c r="AE533" s="7"/>
      <c r="AF533" s="11" t="str">
        <f>IF(OR(AC533&lt;&gt;"Abierto",Z533=""),"",TODAY()-Z533)</f>
        <v/>
      </c>
      <c r="AG533" s="11" t="str">
        <f>IF(AC533&lt;&gt;"Abierto","",IF(AB533="","Sin siguiente acción",IF(AB533&lt;TODAY(),"Vencido",IF(AB533=TODAY(),"Hoy","En tiempo"))))</f>
        <v/>
      </c>
      <c r="AH533" s="11" t="str">
        <f>IF(OR(B533="",V533=""),"",V533-B533)</f>
        <v/>
      </c>
      <c r="AI533" s="16" t="str">
        <f>IF(P533="","",P533-WEEKDAY(P533,3))</f>
        <v/>
      </c>
      <c r="AJ533" s="23" t="str">
        <f>IF(P533="","",DATE(YEAR(P533),MONTH(P533),1))</f>
        <v/>
      </c>
    </row>
    <row r="534">
      <c r="A534" s="21"/>
      <c r="B534" s="14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14"/>
      <c r="Q534" s="21"/>
      <c r="R534" s="21"/>
      <c r="S534" s="21"/>
      <c r="T534" s="21"/>
      <c r="U534" s="21"/>
      <c r="V534" s="14"/>
      <c r="W534" s="22"/>
      <c r="X534" s="14"/>
      <c r="Y534" s="11" t="str">
        <f>IF(V534="","",IF(X534&lt;&gt;"",IF(X534-V534&lt;30,"No","Sí"),IF(TODAY()-V534&gt;=30,"Sí","En curso")))</f>
        <v/>
      </c>
      <c r="Z534" s="14"/>
      <c r="AA534" s="21"/>
      <c r="AB534" s="14"/>
      <c r="AC534" s="21"/>
      <c r="AD534" s="21"/>
      <c r="AE534" s="7"/>
      <c r="AF534" s="11" t="str">
        <f>IF(OR(AC534&lt;&gt;"Abierto",Z534=""),"",TODAY()-Z534)</f>
        <v/>
      </c>
      <c r="AG534" s="11" t="str">
        <f>IF(AC534&lt;&gt;"Abierto","",IF(AB534="","Sin siguiente acción",IF(AB534&lt;TODAY(),"Vencido",IF(AB534=TODAY(),"Hoy","En tiempo"))))</f>
        <v/>
      </c>
      <c r="AH534" s="11" t="str">
        <f>IF(OR(B534="",V534=""),"",V534-B534)</f>
        <v/>
      </c>
      <c r="AI534" s="16" t="str">
        <f>IF(P534="","",P534-WEEKDAY(P534,3))</f>
        <v/>
      </c>
      <c r="AJ534" s="23" t="str">
        <f>IF(P534="","",DATE(YEAR(P534),MONTH(P534),1))</f>
        <v/>
      </c>
    </row>
    <row r="535">
      <c r="A535" s="21"/>
      <c r="B535" s="14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14"/>
      <c r="Q535" s="21"/>
      <c r="R535" s="21"/>
      <c r="S535" s="21"/>
      <c r="T535" s="21"/>
      <c r="U535" s="21"/>
      <c r="V535" s="14"/>
      <c r="W535" s="22"/>
      <c r="X535" s="14"/>
      <c r="Y535" s="11" t="str">
        <f>IF(V535="","",IF(X535&lt;&gt;"",IF(X535-V535&lt;30,"No","Sí"),IF(TODAY()-V535&gt;=30,"Sí","En curso")))</f>
        <v/>
      </c>
      <c r="Z535" s="14"/>
      <c r="AA535" s="21"/>
      <c r="AB535" s="14"/>
      <c r="AC535" s="21"/>
      <c r="AD535" s="21"/>
      <c r="AE535" s="7"/>
      <c r="AF535" s="11" t="str">
        <f>IF(OR(AC535&lt;&gt;"Abierto",Z535=""),"",TODAY()-Z535)</f>
        <v/>
      </c>
      <c r="AG535" s="11" t="str">
        <f>IF(AC535&lt;&gt;"Abierto","",IF(AB535="","Sin siguiente acción",IF(AB535&lt;TODAY(),"Vencido",IF(AB535=TODAY(),"Hoy","En tiempo"))))</f>
        <v/>
      </c>
      <c r="AH535" s="11" t="str">
        <f>IF(OR(B535="",V535=""),"",V535-B535)</f>
        <v/>
      </c>
      <c r="AI535" s="16" t="str">
        <f>IF(P535="","",P535-WEEKDAY(P535,3))</f>
        <v/>
      </c>
      <c r="AJ535" s="23" t="str">
        <f>IF(P535="","",DATE(YEAR(P535),MONTH(P535),1))</f>
        <v/>
      </c>
    </row>
    <row r="536">
      <c r="A536" s="21"/>
      <c r="B536" s="14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14"/>
      <c r="Q536" s="21"/>
      <c r="R536" s="21"/>
      <c r="S536" s="21"/>
      <c r="T536" s="21"/>
      <c r="U536" s="21"/>
      <c r="V536" s="14"/>
      <c r="W536" s="22"/>
      <c r="X536" s="14"/>
      <c r="Y536" s="11" t="str">
        <f>IF(V536="","",IF(X536&lt;&gt;"",IF(X536-V536&lt;30,"No","Sí"),IF(TODAY()-V536&gt;=30,"Sí","En curso")))</f>
        <v/>
      </c>
      <c r="Z536" s="14"/>
      <c r="AA536" s="21"/>
      <c r="AB536" s="14"/>
      <c r="AC536" s="21"/>
      <c r="AD536" s="21"/>
      <c r="AE536" s="7"/>
      <c r="AF536" s="11" t="str">
        <f>IF(OR(AC536&lt;&gt;"Abierto",Z536=""),"",TODAY()-Z536)</f>
        <v/>
      </c>
      <c r="AG536" s="11" t="str">
        <f>IF(AC536&lt;&gt;"Abierto","",IF(AB536="","Sin siguiente acción",IF(AB536&lt;TODAY(),"Vencido",IF(AB536=TODAY(),"Hoy","En tiempo"))))</f>
        <v/>
      </c>
      <c r="AH536" s="11" t="str">
        <f>IF(OR(B536="",V536=""),"",V536-B536)</f>
        <v/>
      </c>
      <c r="AI536" s="16" t="str">
        <f>IF(P536="","",P536-WEEKDAY(P536,3))</f>
        <v/>
      </c>
      <c r="AJ536" s="23" t="str">
        <f>IF(P536="","",DATE(YEAR(P536),MONTH(P536),1))</f>
        <v/>
      </c>
    </row>
    <row r="537">
      <c r="A537" s="21"/>
      <c r="B537" s="14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14"/>
      <c r="Q537" s="21"/>
      <c r="R537" s="21"/>
      <c r="S537" s="21"/>
      <c r="T537" s="21"/>
      <c r="U537" s="21"/>
      <c r="V537" s="14"/>
      <c r="W537" s="22"/>
      <c r="X537" s="14"/>
      <c r="Y537" s="11" t="str">
        <f>IF(V537="","",IF(X537&lt;&gt;"",IF(X537-V537&lt;30,"No","Sí"),IF(TODAY()-V537&gt;=30,"Sí","En curso")))</f>
        <v/>
      </c>
      <c r="Z537" s="14"/>
      <c r="AA537" s="21"/>
      <c r="AB537" s="14"/>
      <c r="AC537" s="21"/>
      <c r="AD537" s="21"/>
      <c r="AE537" s="7"/>
      <c r="AF537" s="11" t="str">
        <f>IF(OR(AC537&lt;&gt;"Abierto",Z537=""),"",TODAY()-Z537)</f>
        <v/>
      </c>
      <c r="AG537" s="11" t="str">
        <f>IF(AC537&lt;&gt;"Abierto","",IF(AB537="","Sin siguiente acción",IF(AB537&lt;TODAY(),"Vencido",IF(AB537=TODAY(),"Hoy","En tiempo"))))</f>
        <v/>
      </c>
      <c r="AH537" s="11" t="str">
        <f>IF(OR(B537="",V537=""),"",V537-B537)</f>
        <v/>
      </c>
      <c r="AI537" s="16" t="str">
        <f>IF(P537="","",P537-WEEKDAY(P537,3))</f>
        <v/>
      </c>
      <c r="AJ537" s="23" t="str">
        <f>IF(P537="","",DATE(YEAR(P537),MONTH(P537),1))</f>
        <v/>
      </c>
    </row>
    <row r="538">
      <c r="A538" s="21"/>
      <c r="B538" s="14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14"/>
      <c r="Q538" s="21"/>
      <c r="R538" s="21"/>
      <c r="S538" s="21"/>
      <c r="T538" s="21"/>
      <c r="U538" s="21"/>
      <c r="V538" s="14"/>
      <c r="W538" s="22"/>
      <c r="X538" s="14"/>
      <c r="Y538" s="11" t="str">
        <f>IF(V538="","",IF(X538&lt;&gt;"",IF(X538-V538&lt;30,"No","Sí"),IF(TODAY()-V538&gt;=30,"Sí","En curso")))</f>
        <v/>
      </c>
      <c r="Z538" s="14"/>
      <c r="AA538" s="21"/>
      <c r="AB538" s="14"/>
      <c r="AC538" s="21"/>
      <c r="AD538" s="21"/>
      <c r="AE538" s="7"/>
      <c r="AF538" s="11" t="str">
        <f>IF(OR(AC538&lt;&gt;"Abierto",Z538=""),"",TODAY()-Z538)</f>
        <v/>
      </c>
      <c r="AG538" s="11" t="str">
        <f>IF(AC538&lt;&gt;"Abierto","",IF(AB538="","Sin siguiente acción",IF(AB538&lt;TODAY(),"Vencido",IF(AB538=TODAY(),"Hoy","En tiempo"))))</f>
        <v/>
      </c>
      <c r="AH538" s="11" t="str">
        <f>IF(OR(B538="",V538=""),"",V538-B538)</f>
        <v/>
      </c>
      <c r="AI538" s="16" t="str">
        <f>IF(P538="","",P538-WEEKDAY(P538,3))</f>
        <v/>
      </c>
      <c r="AJ538" s="23" t="str">
        <f>IF(P538="","",DATE(YEAR(P538),MONTH(P538),1))</f>
        <v/>
      </c>
    </row>
    <row r="539">
      <c r="A539" s="21"/>
      <c r="B539" s="14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14"/>
      <c r="Q539" s="21"/>
      <c r="R539" s="21"/>
      <c r="S539" s="21"/>
      <c r="T539" s="21"/>
      <c r="U539" s="21"/>
      <c r="V539" s="14"/>
      <c r="W539" s="22"/>
      <c r="X539" s="14"/>
      <c r="Y539" s="11" t="str">
        <f>IF(V539="","",IF(X539&lt;&gt;"",IF(X539-V539&lt;30,"No","Sí"),IF(TODAY()-V539&gt;=30,"Sí","En curso")))</f>
        <v/>
      </c>
      <c r="Z539" s="14"/>
      <c r="AA539" s="21"/>
      <c r="AB539" s="14"/>
      <c r="AC539" s="21"/>
      <c r="AD539" s="21"/>
      <c r="AE539" s="7"/>
      <c r="AF539" s="11" t="str">
        <f>IF(OR(AC539&lt;&gt;"Abierto",Z539=""),"",TODAY()-Z539)</f>
        <v/>
      </c>
      <c r="AG539" s="11" t="str">
        <f>IF(AC539&lt;&gt;"Abierto","",IF(AB539="","Sin siguiente acción",IF(AB539&lt;TODAY(),"Vencido",IF(AB539=TODAY(),"Hoy","En tiempo"))))</f>
        <v/>
      </c>
      <c r="AH539" s="11" t="str">
        <f>IF(OR(B539="",V539=""),"",V539-B539)</f>
        <v/>
      </c>
      <c r="AI539" s="16" t="str">
        <f>IF(P539="","",P539-WEEKDAY(P539,3))</f>
        <v/>
      </c>
      <c r="AJ539" s="23" t="str">
        <f>IF(P539="","",DATE(YEAR(P539),MONTH(P539),1))</f>
        <v/>
      </c>
    </row>
    <row r="540">
      <c r="A540" s="21"/>
      <c r="B540" s="14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14"/>
      <c r="Q540" s="21"/>
      <c r="R540" s="21"/>
      <c r="S540" s="21"/>
      <c r="T540" s="21"/>
      <c r="U540" s="21"/>
      <c r="V540" s="14"/>
      <c r="W540" s="22"/>
      <c r="X540" s="14"/>
      <c r="Y540" s="11" t="str">
        <f>IF(V540="","",IF(X540&lt;&gt;"",IF(X540-V540&lt;30,"No","Sí"),IF(TODAY()-V540&gt;=30,"Sí","En curso")))</f>
        <v/>
      </c>
      <c r="Z540" s="14"/>
      <c r="AA540" s="21"/>
      <c r="AB540" s="14"/>
      <c r="AC540" s="21"/>
      <c r="AD540" s="21"/>
      <c r="AE540" s="7"/>
      <c r="AF540" s="11" t="str">
        <f>IF(OR(AC540&lt;&gt;"Abierto",Z540=""),"",TODAY()-Z540)</f>
        <v/>
      </c>
      <c r="AG540" s="11" t="str">
        <f>IF(AC540&lt;&gt;"Abierto","",IF(AB540="","Sin siguiente acción",IF(AB540&lt;TODAY(),"Vencido",IF(AB540=TODAY(),"Hoy","En tiempo"))))</f>
        <v/>
      </c>
      <c r="AH540" s="11" t="str">
        <f>IF(OR(B540="",V540=""),"",V540-B540)</f>
        <v/>
      </c>
      <c r="AI540" s="16" t="str">
        <f>IF(P540="","",P540-WEEKDAY(P540,3))</f>
        <v/>
      </c>
      <c r="AJ540" s="23" t="str">
        <f>IF(P540="","",DATE(YEAR(P540),MONTH(P540),1))</f>
        <v/>
      </c>
    </row>
    <row r="541">
      <c r="A541" s="21"/>
      <c r="B541" s="14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14"/>
      <c r="Q541" s="21"/>
      <c r="R541" s="21"/>
      <c r="S541" s="21"/>
      <c r="T541" s="21"/>
      <c r="U541" s="21"/>
      <c r="V541" s="14"/>
      <c r="W541" s="22"/>
      <c r="X541" s="14"/>
      <c r="Y541" s="11" t="str">
        <f>IF(V541="","",IF(X541&lt;&gt;"",IF(X541-V541&lt;30,"No","Sí"),IF(TODAY()-V541&gt;=30,"Sí","En curso")))</f>
        <v/>
      </c>
      <c r="Z541" s="14"/>
      <c r="AA541" s="21"/>
      <c r="AB541" s="14"/>
      <c r="AC541" s="21"/>
      <c r="AD541" s="21"/>
      <c r="AE541" s="7"/>
      <c r="AF541" s="11" t="str">
        <f>IF(OR(AC541&lt;&gt;"Abierto",Z541=""),"",TODAY()-Z541)</f>
        <v/>
      </c>
      <c r="AG541" s="11" t="str">
        <f>IF(AC541&lt;&gt;"Abierto","",IF(AB541="","Sin siguiente acción",IF(AB541&lt;TODAY(),"Vencido",IF(AB541=TODAY(),"Hoy","En tiempo"))))</f>
        <v/>
      </c>
      <c r="AH541" s="11" t="str">
        <f>IF(OR(B541="",V541=""),"",V541-B541)</f>
        <v/>
      </c>
      <c r="AI541" s="16" t="str">
        <f>IF(P541="","",P541-WEEKDAY(P541,3))</f>
        <v/>
      </c>
      <c r="AJ541" s="23" t="str">
        <f>IF(P541="","",DATE(YEAR(P541),MONTH(P541),1))</f>
        <v/>
      </c>
    </row>
    <row r="542">
      <c r="A542" s="21"/>
      <c r="B542" s="14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14"/>
      <c r="Q542" s="21"/>
      <c r="R542" s="21"/>
      <c r="S542" s="21"/>
      <c r="T542" s="21"/>
      <c r="U542" s="21"/>
      <c r="V542" s="14"/>
      <c r="W542" s="22"/>
      <c r="X542" s="14"/>
      <c r="Y542" s="11" t="str">
        <f>IF(V542="","",IF(X542&lt;&gt;"",IF(X542-V542&lt;30,"No","Sí"),IF(TODAY()-V542&gt;=30,"Sí","En curso")))</f>
        <v/>
      </c>
      <c r="Z542" s="14"/>
      <c r="AA542" s="21"/>
      <c r="AB542" s="14"/>
      <c r="AC542" s="21"/>
      <c r="AD542" s="21"/>
      <c r="AE542" s="7"/>
      <c r="AF542" s="11" t="str">
        <f>IF(OR(AC542&lt;&gt;"Abierto",Z542=""),"",TODAY()-Z542)</f>
        <v/>
      </c>
      <c r="AG542" s="11" t="str">
        <f>IF(AC542&lt;&gt;"Abierto","",IF(AB542="","Sin siguiente acción",IF(AB542&lt;TODAY(),"Vencido",IF(AB542=TODAY(),"Hoy","En tiempo"))))</f>
        <v/>
      </c>
      <c r="AH542" s="11" t="str">
        <f>IF(OR(B542="",V542=""),"",V542-B542)</f>
        <v/>
      </c>
      <c r="AI542" s="16" t="str">
        <f>IF(P542="","",P542-WEEKDAY(P542,3))</f>
        <v/>
      </c>
      <c r="AJ542" s="23" t="str">
        <f>IF(P542="","",DATE(YEAR(P542),MONTH(P542),1))</f>
        <v/>
      </c>
    </row>
    <row r="543">
      <c r="A543" s="21"/>
      <c r="B543" s="14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14"/>
      <c r="Q543" s="21"/>
      <c r="R543" s="21"/>
      <c r="S543" s="21"/>
      <c r="T543" s="21"/>
      <c r="U543" s="21"/>
      <c r="V543" s="14"/>
      <c r="W543" s="22"/>
      <c r="X543" s="14"/>
      <c r="Y543" s="11" t="str">
        <f>IF(V543="","",IF(X543&lt;&gt;"",IF(X543-V543&lt;30,"No","Sí"),IF(TODAY()-V543&gt;=30,"Sí","En curso")))</f>
        <v/>
      </c>
      <c r="Z543" s="14"/>
      <c r="AA543" s="21"/>
      <c r="AB543" s="14"/>
      <c r="AC543" s="21"/>
      <c r="AD543" s="21"/>
      <c r="AE543" s="7"/>
      <c r="AF543" s="11" t="str">
        <f>IF(OR(AC543&lt;&gt;"Abierto",Z543=""),"",TODAY()-Z543)</f>
        <v/>
      </c>
      <c r="AG543" s="11" t="str">
        <f>IF(AC543&lt;&gt;"Abierto","",IF(AB543="","Sin siguiente acción",IF(AB543&lt;TODAY(),"Vencido",IF(AB543=TODAY(),"Hoy","En tiempo"))))</f>
        <v/>
      </c>
      <c r="AH543" s="11" t="str">
        <f>IF(OR(B543="",V543=""),"",V543-B543)</f>
        <v/>
      </c>
      <c r="AI543" s="16" t="str">
        <f>IF(P543="","",P543-WEEKDAY(P543,3))</f>
        <v/>
      </c>
      <c r="AJ543" s="23" t="str">
        <f>IF(P543="","",DATE(YEAR(P543),MONTH(P543),1))</f>
        <v/>
      </c>
    </row>
    <row r="544">
      <c r="A544" s="21"/>
      <c r="B544" s="14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14"/>
      <c r="Q544" s="21"/>
      <c r="R544" s="21"/>
      <c r="S544" s="21"/>
      <c r="T544" s="21"/>
      <c r="U544" s="21"/>
      <c r="V544" s="14"/>
      <c r="W544" s="22"/>
      <c r="X544" s="14"/>
      <c r="Y544" s="11" t="str">
        <f>IF(V544="","",IF(X544&lt;&gt;"",IF(X544-V544&lt;30,"No","Sí"),IF(TODAY()-V544&gt;=30,"Sí","En curso")))</f>
        <v/>
      </c>
      <c r="Z544" s="14"/>
      <c r="AA544" s="21"/>
      <c r="AB544" s="14"/>
      <c r="AC544" s="21"/>
      <c r="AD544" s="21"/>
      <c r="AE544" s="7"/>
      <c r="AF544" s="11" t="str">
        <f>IF(OR(AC544&lt;&gt;"Abierto",Z544=""),"",TODAY()-Z544)</f>
        <v/>
      </c>
      <c r="AG544" s="11" t="str">
        <f>IF(AC544&lt;&gt;"Abierto","",IF(AB544="","Sin siguiente acción",IF(AB544&lt;TODAY(),"Vencido",IF(AB544=TODAY(),"Hoy","En tiempo"))))</f>
        <v/>
      </c>
      <c r="AH544" s="11" t="str">
        <f>IF(OR(B544="",V544=""),"",V544-B544)</f>
        <v/>
      </c>
      <c r="AI544" s="16" t="str">
        <f>IF(P544="","",P544-WEEKDAY(P544,3))</f>
        <v/>
      </c>
      <c r="AJ544" s="23" t="str">
        <f>IF(P544="","",DATE(YEAR(P544),MONTH(P544),1))</f>
        <v/>
      </c>
    </row>
    <row r="545">
      <c r="A545" s="21"/>
      <c r="B545" s="14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14"/>
      <c r="Q545" s="21"/>
      <c r="R545" s="21"/>
      <c r="S545" s="21"/>
      <c r="T545" s="21"/>
      <c r="U545" s="21"/>
      <c r="V545" s="14"/>
      <c r="W545" s="22"/>
      <c r="X545" s="14"/>
      <c r="Y545" s="11" t="str">
        <f>IF(V545="","",IF(X545&lt;&gt;"",IF(X545-V545&lt;30,"No","Sí"),IF(TODAY()-V545&gt;=30,"Sí","En curso")))</f>
        <v/>
      </c>
      <c r="Z545" s="14"/>
      <c r="AA545" s="21"/>
      <c r="AB545" s="14"/>
      <c r="AC545" s="21"/>
      <c r="AD545" s="21"/>
      <c r="AE545" s="7"/>
      <c r="AF545" s="11" t="str">
        <f>IF(OR(AC545&lt;&gt;"Abierto",Z545=""),"",TODAY()-Z545)</f>
        <v/>
      </c>
      <c r="AG545" s="11" t="str">
        <f>IF(AC545&lt;&gt;"Abierto","",IF(AB545="","Sin siguiente acción",IF(AB545&lt;TODAY(),"Vencido",IF(AB545=TODAY(),"Hoy","En tiempo"))))</f>
        <v/>
      </c>
      <c r="AH545" s="11" t="str">
        <f>IF(OR(B545="",V545=""),"",V545-B545)</f>
        <v/>
      </c>
      <c r="AI545" s="16" t="str">
        <f>IF(P545="","",P545-WEEKDAY(P545,3))</f>
        <v/>
      </c>
      <c r="AJ545" s="23" t="str">
        <f>IF(P545="","",DATE(YEAR(P545),MONTH(P545),1))</f>
        <v/>
      </c>
    </row>
    <row r="546">
      <c r="A546" s="21"/>
      <c r="B546" s="14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14"/>
      <c r="Q546" s="21"/>
      <c r="R546" s="21"/>
      <c r="S546" s="21"/>
      <c r="T546" s="21"/>
      <c r="U546" s="21"/>
      <c r="V546" s="14"/>
      <c r="W546" s="22"/>
      <c r="X546" s="14"/>
      <c r="Y546" s="11" t="str">
        <f>IF(V546="","",IF(X546&lt;&gt;"",IF(X546-V546&lt;30,"No","Sí"),IF(TODAY()-V546&gt;=30,"Sí","En curso")))</f>
        <v/>
      </c>
      <c r="Z546" s="14"/>
      <c r="AA546" s="21"/>
      <c r="AB546" s="14"/>
      <c r="AC546" s="21"/>
      <c r="AD546" s="21"/>
      <c r="AE546" s="7"/>
      <c r="AF546" s="11" t="str">
        <f>IF(OR(AC546&lt;&gt;"Abierto",Z546=""),"",TODAY()-Z546)</f>
        <v/>
      </c>
      <c r="AG546" s="11" t="str">
        <f>IF(AC546&lt;&gt;"Abierto","",IF(AB546="","Sin siguiente acción",IF(AB546&lt;TODAY(),"Vencido",IF(AB546=TODAY(),"Hoy","En tiempo"))))</f>
        <v/>
      </c>
      <c r="AH546" s="11" t="str">
        <f>IF(OR(B546="",V546=""),"",V546-B546)</f>
        <v/>
      </c>
      <c r="AI546" s="16" t="str">
        <f>IF(P546="","",P546-WEEKDAY(P546,3))</f>
        <v/>
      </c>
      <c r="AJ546" s="23" t="str">
        <f>IF(P546="","",DATE(YEAR(P546),MONTH(P546),1))</f>
        <v/>
      </c>
    </row>
    <row r="547">
      <c r="A547" s="21"/>
      <c r="B547" s="14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14"/>
      <c r="Q547" s="21"/>
      <c r="R547" s="21"/>
      <c r="S547" s="21"/>
      <c r="T547" s="21"/>
      <c r="U547" s="21"/>
      <c r="V547" s="14"/>
      <c r="W547" s="22"/>
      <c r="X547" s="14"/>
      <c r="Y547" s="11" t="str">
        <f>IF(V547="","",IF(X547&lt;&gt;"",IF(X547-V547&lt;30,"No","Sí"),IF(TODAY()-V547&gt;=30,"Sí","En curso")))</f>
        <v/>
      </c>
      <c r="Z547" s="14"/>
      <c r="AA547" s="21"/>
      <c r="AB547" s="14"/>
      <c r="AC547" s="21"/>
      <c r="AD547" s="21"/>
      <c r="AE547" s="7"/>
      <c r="AF547" s="11" t="str">
        <f>IF(OR(AC547&lt;&gt;"Abierto",Z547=""),"",TODAY()-Z547)</f>
        <v/>
      </c>
      <c r="AG547" s="11" t="str">
        <f>IF(AC547&lt;&gt;"Abierto","",IF(AB547="","Sin siguiente acción",IF(AB547&lt;TODAY(),"Vencido",IF(AB547=TODAY(),"Hoy","En tiempo"))))</f>
        <v/>
      </c>
      <c r="AH547" s="11" t="str">
        <f>IF(OR(B547="",V547=""),"",V547-B547)</f>
        <v/>
      </c>
      <c r="AI547" s="16" t="str">
        <f>IF(P547="","",P547-WEEKDAY(P547,3))</f>
        <v/>
      </c>
      <c r="AJ547" s="23" t="str">
        <f>IF(P547="","",DATE(YEAR(P547),MONTH(P547),1))</f>
        <v/>
      </c>
    </row>
    <row r="548">
      <c r="A548" s="21"/>
      <c r="B548" s="14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14"/>
      <c r="Q548" s="21"/>
      <c r="R548" s="21"/>
      <c r="S548" s="21"/>
      <c r="T548" s="21"/>
      <c r="U548" s="21"/>
      <c r="V548" s="14"/>
      <c r="W548" s="22"/>
      <c r="X548" s="14"/>
      <c r="Y548" s="11" t="str">
        <f>IF(V548="","",IF(X548&lt;&gt;"",IF(X548-V548&lt;30,"No","Sí"),IF(TODAY()-V548&gt;=30,"Sí","En curso")))</f>
        <v/>
      </c>
      <c r="Z548" s="14"/>
      <c r="AA548" s="21"/>
      <c r="AB548" s="14"/>
      <c r="AC548" s="21"/>
      <c r="AD548" s="21"/>
      <c r="AE548" s="7"/>
      <c r="AF548" s="11" t="str">
        <f>IF(OR(AC548&lt;&gt;"Abierto",Z548=""),"",TODAY()-Z548)</f>
        <v/>
      </c>
      <c r="AG548" s="11" t="str">
        <f>IF(AC548&lt;&gt;"Abierto","",IF(AB548="","Sin siguiente acción",IF(AB548&lt;TODAY(),"Vencido",IF(AB548=TODAY(),"Hoy","En tiempo"))))</f>
        <v/>
      </c>
      <c r="AH548" s="11" t="str">
        <f>IF(OR(B548="",V548=""),"",V548-B548)</f>
        <v/>
      </c>
      <c r="AI548" s="16" t="str">
        <f>IF(P548="","",P548-WEEKDAY(P548,3))</f>
        <v/>
      </c>
      <c r="AJ548" s="23" t="str">
        <f>IF(P548="","",DATE(YEAR(P548),MONTH(P548),1))</f>
        <v/>
      </c>
    </row>
    <row r="549">
      <c r="A549" s="21"/>
      <c r="B549" s="14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14"/>
      <c r="Q549" s="21"/>
      <c r="R549" s="21"/>
      <c r="S549" s="21"/>
      <c r="T549" s="21"/>
      <c r="U549" s="21"/>
      <c r="V549" s="14"/>
      <c r="W549" s="22"/>
      <c r="X549" s="14"/>
      <c r="Y549" s="11" t="str">
        <f>IF(V549="","",IF(X549&lt;&gt;"",IF(X549-V549&lt;30,"No","Sí"),IF(TODAY()-V549&gt;=30,"Sí","En curso")))</f>
        <v/>
      </c>
      <c r="Z549" s="14"/>
      <c r="AA549" s="21"/>
      <c r="AB549" s="14"/>
      <c r="AC549" s="21"/>
      <c r="AD549" s="21"/>
      <c r="AE549" s="7"/>
      <c r="AF549" s="11" t="str">
        <f>IF(OR(AC549&lt;&gt;"Abierto",Z549=""),"",TODAY()-Z549)</f>
        <v/>
      </c>
      <c r="AG549" s="11" t="str">
        <f>IF(AC549&lt;&gt;"Abierto","",IF(AB549="","Sin siguiente acción",IF(AB549&lt;TODAY(),"Vencido",IF(AB549=TODAY(),"Hoy","En tiempo"))))</f>
        <v/>
      </c>
      <c r="AH549" s="11" t="str">
        <f>IF(OR(B549="",V549=""),"",V549-B549)</f>
        <v/>
      </c>
      <c r="AI549" s="16" t="str">
        <f>IF(P549="","",P549-WEEKDAY(P549,3))</f>
        <v/>
      </c>
      <c r="AJ549" s="23" t="str">
        <f>IF(P549="","",DATE(YEAR(P549),MONTH(P549),1))</f>
        <v/>
      </c>
    </row>
    <row r="550">
      <c r="A550" s="21"/>
      <c r="B550" s="14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14"/>
      <c r="Q550" s="21"/>
      <c r="R550" s="21"/>
      <c r="S550" s="21"/>
      <c r="T550" s="21"/>
      <c r="U550" s="21"/>
      <c r="V550" s="14"/>
      <c r="W550" s="22"/>
      <c r="X550" s="14"/>
      <c r="Y550" s="11" t="str">
        <f>IF(V550="","",IF(X550&lt;&gt;"",IF(X550-V550&lt;30,"No","Sí"),IF(TODAY()-V550&gt;=30,"Sí","En curso")))</f>
        <v/>
      </c>
      <c r="Z550" s="14"/>
      <c r="AA550" s="21"/>
      <c r="AB550" s="14"/>
      <c r="AC550" s="21"/>
      <c r="AD550" s="21"/>
      <c r="AE550" s="7"/>
      <c r="AF550" s="11" t="str">
        <f>IF(OR(AC550&lt;&gt;"Abierto",Z550=""),"",TODAY()-Z550)</f>
        <v/>
      </c>
      <c r="AG550" s="11" t="str">
        <f>IF(AC550&lt;&gt;"Abierto","",IF(AB550="","Sin siguiente acción",IF(AB550&lt;TODAY(),"Vencido",IF(AB550=TODAY(),"Hoy","En tiempo"))))</f>
        <v/>
      </c>
      <c r="AH550" s="11" t="str">
        <f>IF(OR(B550="",V550=""),"",V550-B550)</f>
        <v/>
      </c>
      <c r="AI550" s="16" t="str">
        <f>IF(P550="","",P550-WEEKDAY(P550,3))</f>
        <v/>
      </c>
      <c r="AJ550" s="23" t="str">
        <f>IF(P550="","",DATE(YEAR(P550),MONTH(P550),1))</f>
        <v/>
      </c>
    </row>
    <row r="551">
      <c r="A551" s="21"/>
      <c r="B551" s="14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14"/>
      <c r="Q551" s="21"/>
      <c r="R551" s="21"/>
      <c r="S551" s="21"/>
      <c r="T551" s="21"/>
      <c r="U551" s="21"/>
      <c r="V551" s="14"/>
      <c r="W551" s="22"/>
      <c r="X551" s="14"/>
      <c r="Y551" s="11" t="str">
        <f>IF(V551="","",IF(X551&lt;&gt;"",IF(X551-V551&lt;30,"No","Sí"),IF(TODAY()-V551&gt;=30,"Sí","En curso")))</f>
        <v/>
      </c>
      <c r="Z551" s="14"/>
      <c r="AA551" s="21"/>
      <c r="AB551" s="14"/>
      <c r="AC551" s="21"/>
      <c r="AD551" s="21"/>
      <c r="AE551" s="7"/>
      <c r="AF551" s="11" t="str">
        <f>IF(OR(AC551&lt;&gt;"Abierto",Z551=""),"",TODAY()-Z551)</f>
        <v/>
      </c>
      <c r="AG551" s="11" t="str">
        <f>IF(AC551&lt;&gt;"Abierto","",IF(AB551="","Sin siguiente acción",IF(AB551&lt;TODAY(),"Vencido",IF(AB551=TODAY(),"Hoy","En tiempo"))))</f>
        <v/>
      </c>
      <c r="AH551" s="11" t="str">
        <f>IF(OR(B551="",V551=""),"",V551-B551)</f>
        <v/>
      </c>
      <c r="AI551" s="16" t="str">
        <f>IF(P551="","",P551-WEEKDAY(P551,3))</f>
        <v/>
      </c>
      <c r="AJ551" s="23" t="str">
        <f>IF(P551="","",DATE(YEAR(P551),MONTH(P551),1))</f>
        <v/>
      </c>
    </row>
    <row r="552">
      <c r="A552" s="21"/>
      <c r="B552" s="14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14"/>
      <c r="Q552" s="21"/>
      <c r="R552" s="21"/>
      <c r="S552" s="21"/>
      <c r="T552" s="21"/>
      <c r="U552" s="21"/>
      <c r="V552" s="14"/>
      <c r="W552" s="22"/>
      <c r="X552" s="14"/>
      <c r="Y552" s="11" t="str">
        <f>IF(V552="","",IF(X552&lt;&gt;"",IF(X552-V552&lt;30,"No","Sí"),IF(TODAY()-V552&gt;=30,"Sí","En curso")))</f>
        <v/>
      </c>
      <c r="Z552" s="14"/>
      <c r="AA552" s="21"/>
      <c r="AB552" s="14"/>
      <c r="AC552" s="21"/>
      <c r="AD552" s="21"/>
      <c r="AE552" s="7"/>
      <c r="AF552" s="11" t="str">
        <f>IF(OR(AC552&lt;&gt;"Abierto",Z552=""),"",TODAY()-Z552)</f>
        <v/>
      </c>
      <c r="AG552" s="11" t="str">
        <f>IF(AC552&lt;&gt;"Abierto","",IF(AB552="","Sin siguiente acción",IF(AB552&lt;TODAY(),"Vencido",IF(AB552=TODAY(),"Hoy","En tiempo"))))</f>
        <v/>
      </c>
      <c r="AH552" s="11" t="str">
        <f>IF(OR(B552="",V552=""),"",V552-B552)</f>
        <v/>
      </c>
      <c r="AI552" s="16" t="str">
        <f>IF(P552="","",P552-WEEKDAY(P552,3))</f>
        <v/>
      </c>
      <c r="AJ552" s="23" t="str">
        <f>IF(P552="","",DATE(YEAR(P552),MONTH(P552),1))</f>
        <v/>
      </c>
    </row>
    <row r="553">
      <c r="A553" s="21"/>
      <c r="B553" s="14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14"/>
      <c r="Q553" s="21"/>
      <c r="R553" s="21"/>
      <c r="S553" s="21"/>
      <c r="T553" s="21"/>
      <c r="U553" s="21"/>
      <c r="V553" s="14"/>
      <c r="W553" s="22"/>
      <c r="X553" s="14"/>
      <c r="Y553" s="11" t="str">
        <f>IF(V553="","",IF(X553&lt;&gt;"",IF(X553-V553&lt;30,"No","Sí"),IF(TODAY()-V553&gt;=30,"Sí","En curso")))</f>
        <v/>
      </c>
      <c r="Z553" s="14"/>
      <c r="AA553" s="21"/>
      <c r="AB553" s="14"/>
      <c r="AC553" s="21"/>
      <c r="AD553" s="21"/>
      <c r="AE553" s="7"/>
      <c r="AF553" s="11" t="str">
        <f>IF(OR(AC553&lt;&gt;"Abierto",Z553=""),"",TODAY()-Z553)</f>
        <v/>
      </c>
      <c r="AG553" s="11" t="str">
        <f>IF(AC553&lt;&gt;"Abierto","",IF(AB553="","Sin siguiente acción",IF(AB553&lt;TODAY(),"Vencido",IF(AB553=TODAY(),"Hoy","En tiempo"))))</f>
        <v/>
      </c>
      <c r="AH553" s="11" t="str">
        <f>IF(OR(B553="",V553=""),"",V553-B553)</f>
        <v/>
      </c>
      <c r="AI553" s="16" t="str">
        <f>IF(P553="","",P553-WEEKDAY(P553,3))</f>
        <v/>
      </c>
      <c r="AJ553" s="23" t="str">
        <f>IF(P553="","",DATE(YEAR(P553),MONTH(P553),1))</f>
        <v/>
      </c>
    </row>
    <row r="554">
      <c r="A554" s="21"/>
      <c r="B554" s="14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14"/>
      <c r="Q554" s="21"/>
      <c r="R554" s="21"/>
      <c r="S554" s="21"/>
      <c r="T554" s="21"/>
      <c r="U554" s="21"/>
      <c r="V554" s="14"/>
      <c r="W554" s="22"/>
      <c r="X554" s="14"/>
      <c r="Y554" s="11" t="str">
        <f>IF(V554="","",IF(X554&lt;&gt;"",IF(X554-V554&lt;30,"No","Sí"),IF(TODAY()-V554&gt;=30,"Sí","En curso")))</f>
        <v/>
      </c>
      <c r="Z554" s="14"/>
      <c r="AA554" s="21"/>
      <c r="AB554" s="14"/>
      <c r="AC554" s="21"/>
      <c r="AD554" s="21"/>
      <c r="AE554" s="7"/>
      <c r="AF554" s="11" t="str">
        <f>IF(OR(AC554&lt;&gt;"Abierto",Z554=""),"",TODAY()-Z554)</f>
        <v/>
      </c>
      <c r="AG554" s="11" t="str">
        <f>IF(AC554&lt;&gt;"Abierto","",IF(AB554="","Sin siguiente acción",IF(AB554&lt;TODAY(),"Vencido",IF(AB554=TODAY(),"Hoy","En tiempo"))))</f>
        <v/>
      </c>
      <c r="AH554" s="11" t="str">
        <f>IF(OR(B554="",V554=""),"",V554-B554)</f>
        <v/>
      </c>
      <c r="AI554" s="16" t="str">
        <f>IF(P554="","",P554-WEEKDAY(P554,3))</f>
        <v/>
      </c>
      <c r="AJ554" s="23" t="str">
        <f>IF(P554="","",DATE(YEAR(P554),MONTH(P554),1))</f>
        <v/>
      </c>
    </row>
    <row r="555">
      <c r="A555" s="21"/>
      <c r="B555" s="14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14"/>
      <c r="Q555" s="21"/>
      <c r="R555" s="21"/>
      <c r="S555" s="21"/>
      <c r="T555" s="21"/>
      <c r="U555" s="21"/>
      <c r="V555" s="14"/>
      <c r="W555" s="22"/>
      <c r="X555" s="14"/>
      <c r="Y555" s="11" t="str">
        <f>IF(V555="","",IF(X555&lt;&gt;"",IF(X555-V555&lt;30,"No","Sí"),IF(TODAY()-V555&gt;=30,"Sí","En curso")))</f>
        <v/>
      </c>
      <c r="Z555" s="14"/>
      <c r="AA555" s="21"/>
      <c r="AB555" s="14"/>
      <c r="AC555" s="21"/>
      <c r="AD555" s="21"/>
      <c r="AE555" s="7"/>
      <c r="AF555" s="11" t="str">
        <f>IF(OR(AC555&lt;&gt;"Abierto",Z555=""),"",TODAY()-Z555)</f>
        <v/>
      </c>
      <c r="AG555" s="11" t="str">
        <f>IF(AC555&lt;&gt;"Abierto","",IF(AB555="","Sin siguiente acción",IF(AB555&lt;TODAY(),"Vencido",IF(AB555=TODAY(),"Hoy","En tiempo"))))</f>
        <v/>
      </c>
      <c r="AH555" s="11" t="str">
        <f>IF(OR(B555="",V555=""),"",V555-B555)</f>
        <v/>
      </c>
      <c r="AI555" s="16" t="str">
        <f>IF(P555="","",P555-WEEKDAY(P555,3))</f>
        <v/>
      </c>
      <c r="AJ555" s="23" t="str">
        <f>IF(P555="","",DATE(YEAR(P555),MONTH(P555),1))</f>
        <v/>
      </c>
    </row>
    <row r="556">
      <c r="A556" s="21"/>
      <c r="B556" s="14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14"/>
      <c r="Q556" s="21"/>
      <c r="R556" s="21"/>
      <c r="S556" s="21"/>
      <c r="T556" s="21"/>
      <c r="U556" s="21"/>
      <c r="V556" s="14"/>
      <c r="W556" s="22"/>
      <c r="X556" s="14"/>
      <c r="Y556" s="11" t="str">
        <f>IF(V556="","",IF(X556&lt;&gt;"",IF(X556-V556&lt;30,"No","Sí"),IF(TODAY()-V556&gt;=30,"Sí","En curso")))</f>
        <v/>
      </c>
      <c r="Z556" s="14"/>
      <c r="AA556" s="21"/>
      <c r="AB556" s="14"/>
      <c r="AC556" s="21"/>
      <c r="AD556" s="21"/>
      <c r="AE556" s="7"/>
      <c r="AF556" s="11" t="str">
        <f>IF(OR(AC556&lt;&gt;"Abierto",Z556=""),"",TODAY()-Z556)</f>
        <v/>
      </c>
      <c r="AG556" s="11" t="str">
        <f>IF(AC556&lt;&gt;"Abierto","",IF(AB556="","Sin siguiente acción",IF(AB556&lt;TODAY(),"Vencido",IF(AB556=TODAY(),"Hoy","En tiempo"))))</f>
        <v/>
      </c>
      <c r="AH556" s="11" t="str">
        <f>IF(OR(B556="",V556=""),"",V556-B556)</f>
        <v/>
      </c>
      <c r="AI556" s="16" t="str">
        <f>IF(P556="","",P556-WEEKDAY(P556,3))</f>
        <v/>
      </c>
      <c r="AJ556" s="23" t="str">
        <f>IF(P556="","",DATE(YEAR(P556),MONTH(P556),1))</f>
        <v/>
      </c>
    </row>
    <row r="557">
      <c r="A557" s="21"/>
      <c r="B557" s="14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14"/>
      <c r="Q557" s="21"/>
      <c r="R557" s="21"/>
      <c r="S557" s="21"/>
      <c r="T557" s="21"/>
      <c r="U557" s="21"/>
      <c r="V557" s="14"/>
      <c r="W557" s="22"/>
      <c r="X557" s="14"/>
      <c r="Y557" s="11" t="str">
        <f>IF(V557="","",IF(X557&lt;&gt;"",IF(X557-V557&lt;30,"No","Sí"),IF(TODAY()-V557&gt;=30,"Sí","En curso")))</f>
        <v/>
      </c>
      <c r="Z557" s="14"/>
      <c r="AA557" s="21"/>
      <c r="AB557" s="14"/>
      <c r="AC557" s="21"/>
      <c r="AD557" s="21"/>
      <c r="AE557" s="7"/>
      <c r="AF557" s="11" t="str">
        <f>IF(OR(AC557&lt;&gt;"Abierto",Z557=""),"",TODAY()-Z557)</f>
        <v/>
      </c>
      <c r="AG557" s="11" t="str">
        <f>IF(AC557&lt;&gt;"Abierto","",IF(AB557="","Sin siguiente acción",IF(AB557&lt;TODAY(),"Vencido",IF(AB557=TODAY(),"Hoy","En tiempo"))))</f>
        <v/>
      </c>
      <c r="AH557" s="11" t="str">
        <f>IF(OR(B557="",V557=""),"",V557-B557)</f>
        <v/>
      </c>
      <c r="AI557" s="16" t="str">
        <f>IF(P557="","",P557-WEEKDAY(P557,3))</f>
        <v/>
      </c>
      <c r="AJ557" s="23" t="str">
        <f>IF(P557="","",DATE(YEAR(P557),MONTH(P557),1))</f>
        <v/>
      </c>
    </row>
    <row r="558">
      <c r="A558" s="21"/>
      <c r="B558" s="14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14"/>
      <c r="Q558" s="21"/>
      <c r="R558" s="21"/>
      <c r="S558" s="21"/>
      <c r="T558" s="21"/>
      <c r="U558" s="21"/>
      <c r="V558" s="14"/>
      <c r="W558" s="22"/>
      <c r="X558" s="14"/>
      <c r="Y558" s="11" t="str">
        <f>IF(V558="","",IF(X558&lt;&gt;"",IF(X558-V558&lt;30,"No","Sí"),IF(TODAY()-V558&gt;=30,"Sí","En curso")))</f>
        <v/>
      </c>
      <c r="Z558" s="14"/>
      <c r="AA558" s="21"/>
      <c r="AB558" s="14"/>
      <c r="AC558" s="21"/>
      <c r="AD558" s="21"/>
      <c r="AE558" s="7"/>
      <c r="AF558" s="11" t="str">
        <f>IF(OR(AC558&lt;&gt;"Abierto",Z558=""),"",TODAY()-Z558)</f>
        <v/>
      </c>
      <c r="AG558" s="11" t="str">
        <f>IF(AC558&lt;&gt;"Abierto","",IF(AB558="","Sin siguiente acción",IF(AB558&lt;TODAY(),"Vencido",IF(AB558=TODAY(),"Hoy","En tiempo"))))</f>
        <v/>
      </c>
      <c r="AH558" s="11" t="str">
        <f>IF(OR(B558="",V558=""),"",V558-B558)</f>
        <v/>
      </c>
      <c r="AI558" s="16" t="str">
        <f>IF(P558="","",P558-WEEKDAY(P558,3))</f>
        <v/>
      </c>
      <c r="AJ558" s="23" t="str">
        <f>IF(P558="","",DATE(YEAR(P558),MONTH(P558),1))</f>
        <v/>
      </c>
    </row>
    <row r="559">
      <c r="A559" s="21"/>
      <c r="B559" s="14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14"/>
      <c r="Q559" s="21"/>
      <c r="R559" s="21"/>
      <c r="S559" s="21"/>
      <c r="T559" s="21"/>
      <c r="U559" s="21"/>
      <c r="V559" s="14"/>
      <c r="W559" s="22"/>
      <c r="X559" s="14"/>
      <c r="Y559" s="11" t="str">
        <f>IF(V559="","",IF(X559&lt;&gt;"",IF(X559-V559&lt;30,"No","Sí"),IF(TODAY()-V559&gt;=30,"Sí","En curso")))</f>
        <v/>
      </c>
      <c r="Z559" s="14"/>
      <c r="AA559" s="21"/>
      <c r="AB559" s="14"/>
      <c r="AC559" s="21"/>
      <c r="AD559" s="21"/>
      <c r="AE559" s="7"/>
      <c r="AF559" s="11" t="str">
        <f>IF(OR(AC559&lt;&gt;"Abierto",Z559=""),"",TODAY()-Z559)</f>
        <v/>
      </c>
      <c r="AG559" s="11" t="str">
        <f>IF(AC559&lt;&gt;"Abierto","",IF(AB559="","Sin siguiente acción",IF(AB559&lt;TODAY(),"Vencido",IF(AB559=TODAY(),"Hoy","En tiempo"))))</f>
        <v/>
      </c>
      <c r="AH559" s="11" t="str">
        <f>IF(OR(B559="",V559=""),"",V559-B559)</f>
        <v/>
      </c>
      <c r="AI559" s="16" t="str">
        <f>IF(P559="","",P559-WEEKDAY(P559,3))</f>
        <v/>
      </c>
      <c r="AJ559" s="23" t="str">
        <f>IF(P559="","",DATE(YEAR(P559),MONTH(P559),1))</f>
        <v/>
      </c>
    </row>
    <row r="560">
      <c r="A560" s="21"/>
      <c r="B560" s="14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14"/>
      <c r="Q560" s="21"/>
      <c r="R560" s="21"/>
      <c r="S560" s="21"/>
      <c r="T560" s="21"/>
      <c r="U560" s="21"/>
      <c r="V560" s="14"/>
      <c r="W560" s="22"/>
      <c r="X560" s="14"/>
      <c r="Y560" s="11" t="str">
        <f>IF(V560="","",IF(X560&lt;&gt;"",IF(X560-V560&lt;30,"No","Sí"),IF(TODAY()-V560&gt;=30,"Sí","En curso")))</f>
        <v/>
      </c>
      <c r="Z560" s="14"/>
      <c r="AA560" s="21"/>
      <c r="AB560" s="14"/>
      <c r="AC560" s="21"/>
      <c r="AD560" s="21"/>
      <c r="AE560" s="7"/>
      <c r="AF560" s="11" t="str">
        <f>IF(OR(AC560&lt;&gt;"Abierto",Z560=""),"",TODAY()-Z560)</f>
        <v/>
      </c>
      <c r="AG560" s="11" t="str">
        <f>IF(AC560&lt;&gt;"Abierto","",IF(AB560="","Sin siguiente acción",IF(AB560&lt;TODAY(),"Vencido",IF(AB560=TODAY(),"Hoy","En tiempo"))))</f>
        <v/>
      </c>
      <c r="AH560" s="11" t="str">
        <f>IF(OR(B560="",V560=""),"",V560-B560)</f>
        <v/>
      </c>
      <c r="AI560" s="16" t="str">
        <f>IF(P560="","",P560-WEEKDAY(P560,3))</f>
        <v/>
      </c>
      <c r="AJ560" s="23" t="str">
        <f>IF(P560="","",DATE(YEAR(P560),MONTH(P560),1))</f>
        <v/>
      </c>
    </row>
    <row r="561">
      <c r="A561" s="21"/>
      <c r="B561" s="14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14"/>
      <c r="Q561" s="21"/>
      <c r="R561" s="21"/>
      <c r="S561" s="21"/>
      <c r="T561" s="21"/>
      <c r="U561" s="21"/>
      <c r="V561" s="14"/>
      <c r="W561" s="22"/>
      <c r="X561" s="14"/>
      <c r="Y561" s="11" t="str">
        <f>IF(V561="","",IF(X561&lt;&gt;"",IF(X561-V561&lt;30,"No","Sí"),IF(TODAY()-V561&gt;=30,"Sí","En curso")))</f>
        <v/>
      </c>
      <c r="Z561" s="14"/>
      <c r="AA561" s="21"/>
      <c r="AB561" s="14"/>
      <c r="AC561" s="21"/>
      <c r="AD561" s="21"/>
      <c r="AE561" s="7"/>
      <c r="AF561" s="11" t="str">
        <f>IF(OR(AC561&lt;&gt;"Abierto",Z561=""),"",TODAY()-Z561)</f>
        <v/>
      </c>
      <c r="AG561" s="11" t="str">
        <f>IF(AC561&lt;&gt;"Abierto","",IF(AB561="","Sin siguiente acción",IF(AB561&lt;TODAY(),"Vencido",IF(AB561=TODAY(),"Hoy","En tiempo"))))</f>
        <v/>
      </c>
      <c r="AH561" s="11" t="str">
        <f>IF(OR(B561="",V561=""),"",V561-B561)</f>
        <v/>
      </c>
      <c r="AI561" s="16" t="str">
        <f>IF(P561="","",P561-WEEKDAY(P561,3))</f>
        <v/>
      </c>
      <c r="AJ561" s="23" t="str">
        <f>IF(P561="","",DATE(YEAR(P561),MONTH(P561),1))</f>
        <v/>
      </c>
    </row>
    <row r="562">
      <c r="A562" s="21"/>
      <c r="B562" s="14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14"/>
      <c r="Q562" s="21"/>
      <c r="R562" s="21"/>
      <c r="S562" s="21"/>
      <c r="T562" s="21"/>
      <c r="U562" s="21"/>
      <c r="V562" s="14"/>
      <c r="W562" s="22"/>
      <c r="X562" s="14"/>
      <c r="Y562" s="11" t="str">
        <f>IF(V562="","",IF(X562&lt;&gt;"",IF(X562-V562&lt;30,"No","Sí"),IF(TODAY()-V562&gt;=30,"Sí","En curso")))</f>
        <v/>
      </c>
      <c r="Z562" s="14"/>
      <c r="AA562" s="21"/>
      <c r="AB562" s="14"/>
      <c r="AC562" s="21"/>
      <c r="AD562" s="21"/>
      <c r="AE562" s="7"/>
      <c r="AF562" s="11" t="str">
        <f>IF(OR(AC562&lt;&gt;"Abierto",Z562=""),"",TODAY()-Z562)</f>
        <v/>
      </c>
      <c r="AG562" s="11" t="str">
        <f>IF(AC562&lt;&gt;"Abierto","",IF(AB562="","Sin siguiente acción",IF(AB562&lt;TODAY(),"Vencido",IF(AB562=TODAY(),"Hoy","En tiempo"))))</f>
        <v/>
      </c>
      <c r="AH562" s="11" t="str">
        <f>IF(OR(B562="",V562=""),"",V562-B562)</f>
        <v/>
      </c>
      <c r="AI562" s="16" t="str">
        <f>IF(P562="","",P562-WEEKDAY(P562,3))</f>
        <v/>
      </c>
      <c r="AJ562" s="23" t="str">
        <f>IF(P562="","",DATE(YEAR(P562),MONTH(P562),1))</f>
        <v/>
      </c>
    </row>
    <row r="563">
      <c r="A563" s="21"/>
      <c r="B563" s="14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14"/>
      <c r="Q563" s="21"/>
      <c r="R563" s="21"/>
      <c r="S563" s="21"/>
      <c r="T563" s="21"/>
      <c r="U563" s="21"/>
      <c r="V563" s="14"/>
      <c r="W563" s="22"/>
      <c r="X563" s="14"/>
      <c r="Y563" s="11" t="str">
        <f>IF(V563="","",IF(X563&lt;&gt;"",IF(X563-V563&lt;30,"No","Sí"),IF(TODAY()-V563&gt;=30,"Sí","En curso")))</f>
        <v/>
      </c>
      <c r="Z563" s="14"/>
      <c r="AA563" s="21"/>
      <c r="AB563" s="14"/>
      <c r="AC563" s="21"/>
      <c r="AD563" s="21"/>
      <c r="AE563" s="7"/>
      <c r="AF563" s="11" t="str">
        <f>IF(OR(AC563&lt;&gt;"Abierto",Z563=""),"",TODAY()-Z563)</f>
        <v/>
      </c>
      <c r="AG563" s="11" t="str">
        <f>IF(AC563&lt;&gt;"Abierto","",IF(AB563="","Sin siguiente acción",IF(AB563&lt;TODAY(),"Vencido",IF(AB563=TODAY(),"Hoy","En tiempo"))))</f>
        <v/>
      </c>
      <c r="AH563" s="11" t="str">
        <f>IF(OR(B563="",V563=""),"",V563-B563)</f>
        <v/>
      </c>
      <c r="AI563" s="16" t="str">
        <f>IF(P563="","",P563-WEEKDAY(P563,3))</f>
        <v/>
      </c>
      <c r="AJ563" s="23" t="str">
        <f>IF(P563="","",DATE(YEAR(P563),MONTH(P563),1))</f>
        <v/>
      </c>
    </row>
    <row r="564">
      <c r="A564" s="21"/>
      <c r="B564" s="14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14"/>
      <c r="Q564" s="21"/>
      <c r="R564" s="21"/>
      <c r="S564" s="21"/>
      <c r="T564" s="21"/>
      <c r="U564" s="21"/>
      <c r="V564" s="14"/>
      <c r="W564" s="22"/>
      <c r="X564" s="14"/>
      <c r="Y564" s="11" t="str">
        <f>IF(V564="","",IF(X564&lt;&gt;"",IF(X564-V564&lt;30,"No","Sí"),IF(TODAY()-V564&gt;=30,"Sí","En curso")))</f>
        <v/>
      </c>
      <c r="Z564" s="14"/>
      <c r="AA564" s="21"/>
      <c r="AB564" s="14"/>
      <c r="AC564" s="21"/>
      <c r="AD564" s="21"/>
      <c r="AE564" s="7"/>
      <c r="AF564" s="11" t="str">
        <f>IF(OR(AC564&lt;&gt;"Abierto",Z564=""),"",TODAY()-Z564)</f>
        <v/>
      </c>
      <c r="AG564" s="11" t="str">
        <f>IF(AC564&lt;&gt;"Abierto","",IF(AB564="","Sin siguiente acción",IF(AB564&lt;TODAY(),"Vencido",IF(AB564=TODAY(),"Hoy","En tiempo"))))</f>
        <v/>
      </c>
      <c r="AH564" s="11" t="str">
        <f>IF(OR(B564="",V564=""),"",V564-B564)</f>
        <v/>
      </c>
      <c r="AI564" s="16" t="str">
        <f>IF(P564="","",P564-WEEKDAY(P564,3))</f>
        <v/>
      </c>
      <c r="AJ564" s="23" t="str">
        <f>IF(P564="","",DATE(YEAR(P564),MONTH(P564),1))</f>
        <v/>
      </c>
    </row>
    <row r="565">
      <c r="A565" s="21"/>
      <c r="B565" s="14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14"/>
      <c r="Q565" s="21"/>
      <c r="R565" s="21"/>
      <c r="S565" s="21"/>
      <c r="T565" s="21"/>
      <c r="U565" s="21"/>
      <c r="V565" s="14"/>
      <c r="W565" s="22"/>
      <c r="X565" s="14"/>
      <c r="Y565" s="11" t="str">
        <f>IF(V565="","",IF(X565&lt;&gt;"",IF(X565-V565&lt;30,"No","Sí"),IF(TODAY()-V565&gt;=30,"Sí","En curso")))</f>
        <v/>
      </c>
      <c r="Z565" s="14"/>
      <c r="AA565" s="21"/>
      <c r="AB565" s="14"/>
      <c r="AC565" s="21"/>
      <c r="AD565" s="21"/>
      <c r="AE565" s="7"/>
      <c r="AF565" s="11" t="str">
        <f>IF(OR(AC565&lt;&gt;"Abierto",Z565=""),"",TODAY()-Z565)</f>
        <v/>
      </c>
      <c r="AG565" s="11" t="str">
        <f>IF(AC565&lt;&gt;"Abierto","",IF(AB565="","Sin siguiente acción",IF(AB565&lt;TODAY(),"Vencido",IF(AB565=TODAY(),"Hoy","En tiempo"))))</f>
        <v/>
      </c>
      <c r="AH565" s="11" t="str">
        <f>IF(OR(B565="",V565=""),"",V565-B565)</f>
        <v/>
      </c>
      <c r="AI565" s="16" t="str">
        <f>IF(P565="","",P565-WEEKDAY(P565,3))</f>
        <v/>
      </c>
      <c r="AJ565" s="23" t="str">
        <f>IF(P565="","",DATE(YEAR(P565),MONTH(P565),1))</f>
        <v/>
      </c>
    </row>
    <row r="566">
      <c r="A566" s="21"/>
      <c r="B566" s="14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14"/>
      <c r="Q566" s="21"/>
      <c r="R566" s="21"/>
      <c r="S566" s="21"/>
      <c r="T566" s="21"/>
      <c r="U566" s="21"/>
      <c r="V566" s="14"/>
      <c r="W566" s="22"/>
      <c r="X566" s="14"/>
      <c r="Y566" s="11" t="str">
        <f>IF(V566="","",IF(X566&lt;&gt;"",IF(X566-V566&lt;30,"No","Sí"),IF(TODAY()-V566&gt;=30,"Sí","En curso")))</f>
        <v/>
      </c>
      <c r="Z566" s="14"/>
      <c r="AA566" s="21"/>
      <c r="AB566" s="14"/>
      <c r="AC566" s="21"/>
      <c r="AD566" s="21"/>
      <c r="AE566" s="7"/>
      <c r="AF566" s="11" t="str">
        <f>IF(OR(AC566&lt;&gt;"Abierto",Z566=""),"",TODAY()-Z566)</f>
        <v/>
      </c>
      <c r="AG566" s="11" t="str">
        <f>IF(AC566&lt;&gt;"Abierto","",IF(AB566="","Sin siguiente acción",IF(AB566&lt;TODAY(),"Vencido",IF(AB566=TODAY(),"Hoy","En tiempo"))))</f>
        <v/>
      </c>
      <c r="AH566" s="11" t="str">
        <f>IF(OR(B566="",V566=""),"",V566-B566)</f>
        <v/>
      </c>
      <c r="AI566" s="16" t="str">
        <f>IF(P566="","",P566-WEEKDAY(P566,3))</f>
        <v/>
      </c>
      <c r="AJ566" s="23" t="str">
        <f>IF(P566="","",DATE(YEAR(P566),MONTH(P566),1))</f>
        <v/>
      </c>
    </row>
    <row r="567">
      <c r="A567" s="21"/>
      <c r="B567" s="14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14"/>
      <c r="Q567" s="21"/>
      <c r="R567" s="21"/>
      <c r="S567" s="21"/>
      <c r="T567" s="21"/>
      <c r="U567" s="21"/>
      <c r="V567" s="14"/>
      <c r="W567" s="22"/>
      <c r="X567" s="14"/>
      <c r="Y567" s="11" t="str">
        <f>IF(V567="","",IF(X567&lt;&gt;"",IF(X567-V567&lt;30,"No","Sí"),IF(TODAY()-V567&gt;=30,"Sí","En curso")))</f>
        <v/>
      </c>
      <c r="Z567" s="14"/>
      <c r="AA567" s="21"/>
      <c r="AB567" s="14"/>
      <c r="AC567" s="21"/>
      <c r="AD567" s="21"/>
      <c r="AE567" s="7"/>
      <c r="AF567" s="11" t="str">
        <f>IF(OR(AC567&lt;&gt;"Abierto",Z567=""),"",TODAY()-Z567)</f>
        <v/>
      </c>
      <c r="AG567" s="11" t="str">
        <f>IF(AC567&lt;&gt;"Abierto","",IF(AB567="","Sin siguiente acción",IF(AB567&lt;TODAY(),"Vencido",IF(AB567=TODAY(),"Hoy","En tiempo"))))</f>
        <v/>
      </c>
      <c r="AH567" s="11" t="str">
        <f>IF(OR(B567="",V567=""),"",V567-B567)</f>
        <v/>
      </c>
      <c r="AI567" s="16" t="str">
        <f>IF(P567="","",P567-WEEKDAY(P567,3))</f>
        <v/>
      </c>
      <c r="AJ567" s="23" t="str">
        <f>IF(P567="","",DATE(YEAR(P567),MONTH(P567),1))</f>
        <v/>
      </c>
    </row>
    <row r="568">
      <c r="A568" s="21"/>
      <c r="B568" s="14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14"/>
      <c r="Q568" s="21"/>
      <c r="R568" s="21"/>
      <c r="S568" s="21"/>
      <c r="T568" s="21"/>
      <c r="U568" s="21"/>
      <c r="V568" s="14"/>
      <c r="W568" s="22"/>
      <c r="X568" s="14"/>
      <c r="Y568" s="11" t="str">
        <f>IF(V568="","",IF(X568&lt;&gt;"",IF(X568-V568&lt;30,"No","Sí"),IF(TODAY()-V568&gt;=30,"Sí","En curso")))</f>
        <v/>
      </c>
      <c r="Z568" s="14"/>
      <c r="AA568" s="21"/>
      <c r="AB568" s="14"/>
      <c r="AC568" s="21"/>
      <c r="AD568" s="21"/>
      <c r="AE568" s="7"/>
      <c r="AF568" s="11" t="str">
        <f>IF(OR(AC568&lt;&gt;"Abierto",Z568=""),"",TODAY()-Z568)</f>
        <v/>
      </c>
      <c r="AG568" s="11" t="str">
        <f>IF(AC568&lt;&gt;"Abierto","",IF(AB568="","Sin siguiente acción",IF(AB568&lt;TODAY(),"Vencido",IF(AB568=TODAY(),"Hoy","En tiempo"))))</f>
        <v/>
      </c>
      <c r="AH568" s="11" t="str">
        <f>IF(OR(B568="",V568=""),"",V568-B568)</f>
        <v/>
      </c>
      <c r="AI568" s="16" t="str">
        <f>IF(P568="","",P568-WEEKDAY(P568,3))</f>
        <v/>
      </c>
      <c r="AJ568" s="23" t="str">
        <f>IF(P568="","",DATE(YEAR(P568),MONTH(P568),1))</f>
        <v/>
      </c>
    </row>
    <row r="569">
      <c r="A569" s="21"/>
      <c r="B569" s="14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14"/>
      <c r="Q569" s="21"/>
      <c r="R569" s="21"/>
      <c r="S569" s="21"/>
      <c r="T569" s="21"/>
      <c r="U569" s="21"/>
      <c r="V569" s="14"/>
      <c r="W569" s="22"/>
      <c r="X569" s="14"/>
      <c r="Y569" s="11" t="str">
        <f>IF(V569="","",IF(X569&lt;&gt;"",IF(X569-V569&lt;30,"No","Sí"),IF(TODAY()-V569&gt;=30,"Sí","En curso")))</f>
        <v/>
      </c>
      <c r="Z569" s="14"/>
      <c r="AA569" s="21"/>
      <c r="AB569" s="14"/>
      <c r="AC569" s="21"/>
      <c r="AD569" s="21"/>
      <c r="AE569" s="7"/>
      <c r="AF569" s="11" t="str">
        <f>IF(OR(AC569&lt;&gt;"Abierto",Z569=""),"",TODAY()-Z569)</f>
        <v/>
      </c>
      <c r="AG569" s="11" t="str">
        <f>IF(AC569&lt;&gt;"Abierto","",IF(AB569="","Sin siguiente acción",IF(AB569&lt;TODAY(),"Vencido",IF(AB569=TODAY(),"Hoy","En tiempo"))))</f>
        <v/>
      </c>
      <c r="AH569" s="11" t="str">
        <f>IF(OR(B569="",V569=""),"",V569-B569)</f>
        <v/>
      </c>
      <c r="AI569" s="16" t="str">
        <f>IF(P569="","",P569-WEEKDAY(P569,3))</f>
        <v/>
      </c>
      <c r="AJ569" s="23" t="str">
        <f>IF(P569="","",DATE(YEAR(P569),MONTH(P569),1))</f>
        <v/>
      </c>
    </row>
    <row r="570">
      <c r="A570" s="21"/>
      <c r="B570" s="14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14"/>
      <c r="Q570" s="21"/>
      <c r="R570" s="21"/>
      <c r="S570" s="21"/>
      <c r="T570" s="21"/>
      <c r="U570" s="21"/>
      <c r="V570" s="14"/>
      <c r="W570" s="22"/>
      <c r="X570" s="14"/>
      <c r="Y570" s="11" t="str">
        <f>IF(V570="","",IF(X570&lt;&gt;"",IF(X570-V570&lt;30,"No","Sí"),IF(TODAY()-V570&gt;=30,"Sí","En curso")))</f>
        <v/>
      </c>
      <c r="Z570" s="14"/>
      <c r="AA570" s="21"/>
      <c r="AB570" s="14"/>
      <c r="AC570" s="21"/>
      <c r="AD570" s="21"/>
      <c r="AE570" s="7"/>
      <c r="AF570" s="11" t="str">
        <f>IF(OR(AC570&lt;&gt;"Abierto",Z570=""),"",TODAY()-Z570)</f>
        <v/>
      </c>
      <c r="AG570" s="11" t="str">
        <f>IF(AC570&lt;&gt;"Abierto","",IF(AB570="","Sin siguiente acción",IF(AB570&lt;TODAY(),"Vencido",IF(AB570=TODAY(),"Hoy","En tiempo"))))</f>
        <v/>
      </c>
      <c r="AH570" s="11" t="str">
        <f>IF(OR(B570="",V570=""),"",V570-B570)</f>
        <v/>
      </c>
      <c r="AI570" s="16" t="str">
        <f>IF(P570="","",P570-WEEKDAY(P570,3))</f>
        <v/>
      </c>
      <c r="AJ570" s="23" t="str">
        <f>IF(P570="","",DATE(YEAR(P570),MONTH(P570),1))</f>
        <v/>
      </c>
    </row>
    <row r="571">
      <c r="A571" s="21"/>
      <c r="B571" s="14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14"/>
      <c r="Q571" s="21"/>
      <c r="R571" s="21"/>
      <c r="S571" s="21"/>
      <c r="T571" s="21"/>
      <c r="U571" s="21"/>
      <c r="V571" s="14"/>
      <c r="W571" s="22"/>
      <c r="X571" s="14"/>
      <c r="Y571" s="11" t="str">
        <f>IF(V571="","",IF(X571&lt;&gt;"",IF(X571-V571&lt;30,"No","Sí"),IF(TODAY()-V571&gt;=30,"Sí","En curso")))</f>
        <v/>
      </c>
      <c r="Z571" s="14"/>
      <c r="AA571" s="21"/>
      <c r="AB571" s="14"/>
      <c r="AC571" s="21"/>
      <c r="AD571" s="21"/>
      <c r="AE571" s="7"/>
      <c r="AF571" s="11" t="str">
        <f>IF(OR(AC571&lt;&gt;"Abierto",Z571=""),"",TODAY()-Z571)</f>
        <v/>
      </c>
      <c r="AG571" s="11" t="str">
        <f>IF(AC571&lt;&gt;"Abierto","",IF(AB571="","Sin siguiente acción",IF(AB571&lt;TODAY(),"Vencido",IF(AB571=TODAY(),"Hoy","En tiempo"))))</f>
        <v/>
      </c>
      <c r="AH571" s="11" t="str">
        <f>IF(OR(B571="",V571=""),"",V571-B571)</f>
        <v/>
      </c>
      <c r="AI571" s="16" t="str">
        <f>IF(P571="","",P571-WEEKDAY(P571,3))</f>
        <v/>
      </c>
      <c r="AJ571" s="23" t="str">
        <f>IF(P571="","",DATE(YEAR(P571),MONTH(P571),1))</f>
        <v/>
      </c>
    </row>
    <row r="572">
      <c r="A572" s="21"/>
      <c r="B572" s="14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14"/>
      <c r="Q572" s="21"/>
      <c r="R572" s="21"/>
      <c r="S572" s="21"/>
      <c r="T572" s="21"/>
      <c r="U572" s="21"/>
      <c r="V572" s="14"/>
      <c r="W572" s="22"/>
      <c r="X572" s="14"/>
      <c r="Y572" s="11" t="str">
        <f>IF(V572="","",IF(X572&lt;&gt;"",IF(X572-V572&lt;30,"No","Sí"),IF(TODAY()-V572&gt;=30,"Sí","En curso")))</f>
        <v/>
      </c>
      <c r="Z572" s="14"/>
      <c r="AA572" s="21"/>
      <c r="AB572" s="14"/>
      <c r="AC572" s="21"/>
      <c r="AD572" s="21"/>
      <c r="AE572" s="7"/>
      <c r="AF572" s="11" t="str">
        <f>IF(OR(AC572&lt;&gt;"Abierto",Z572=""),"",TODAY()-Z572)</f>
        <v/>
      </c>
      <c r="AG572" s="11" t="str">
        <f>IF(AC572&lt;&gt;"Abierto","",IF(AB572="","Sin siguiente acción",IF(AB572&lt;TODAY(),"Vencido",IF(AB572=TODAY(),"Hoy","En tiempo"))))</f>
        <v/>
      </c>
      <c r="AH572" s="11" t="str">
        <f>IF(OR(B572="",V572=""),"",V572-B572)</f>
        <v/>
      </c>
      <c r="AI572" s="16" t="str">
        <f>IF(P572="","",P572-WEEKDAY(P572,3))</f>
        <v/>
      </c>
      <c r="AJ572" s="23" t="str">
        <f>IF(P572="","",DATE(YEAR(P572),MONTH(P572),1))</f>
        <v/>
      </c>
    </row>
    <row r="573">
      <c r="A573" s="21"/>
      <c r="B573" s="14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14"/>
      <c r="Q573" s="21"/>
      <c r="R573" s="21"/>
      <c r="S573" s="21"/>
      <c r="T573" s="21"/>
      <c r="U573" s="21"/>
      <c r="V573" s="14"/>
      <c r="W573" s="22"/>
      <c r="X573" s="14"/>
      <c r="Y573" s="11" t="str">
        <f>IF(V573="","",IF(X573&lt;&gt;"",IF(X573-V573&lt;30,"No","Sí"),IF(TODAY()-V573&gt;=30,"Sí","En curso")))</f>
        <v/>
      </c>
      <c r="Z573" s="14"/>
      <c r="AA573" s="21"/>
      <c r="AB573" s="14"/>
      <c r="AC573" s="21"/>
      <c r="AD573" s="21"/>
      <c r="AE573" s="7"/>
      <c r="AF573" s="11" t="str">
        <f>IF(OR(AC573&lt;&gt;"Abierto",Z573=""),"",TODAY()-Z573)</f>
        <v/>
      </c>
      <c r="AG573" s="11" t="str">
        <f>IF(AC573&lt;&gt;"Abierto","",IF(AB573="","Sin siguiente acción",IF(AB573&lt;TODAY(),"Vencido",IF(AB573=TODAY(),"Hoy","En tiempo"))))</f>
        <v/>
      </c>
      <c r="AH573" s="11" t="str">
        <f>IF(OR(B573="",V573=""),"",V573-B573)</f>
        <v/>
      </c>
      <c r="AI573" s="16" t="str">
        <f>IF(P573="","",P573-WEEKDAY(P573,3))</f>
        <v/>
      </c>
      <c r="AJ573" s="23" t="str">
        <f>IF(P573="","",DATE(YEAR(P573),MONTH(P573),1))</f>
        <v/>
      </c>
    </row>
    <row r="574">
      <c r="A574" s="21"/>
      <c r="B574" s="14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14"/>
      <c r="Q574" s="21"/>
      <c r="R574" s="21"/>
      <c r="S574" s="21"/>
      <c r="T574" s="21"/>
      <c r="U574" s="21"/>
      <c r="V574" s="14"/>
      <c r="W574" s="22"/>
      <c r="X574" s="14"/>
      <c r="Y574" s="11" t="str">
        <f>IF(V574="","",IF(X574&lt;&gt;"",IF(X574-V574&lt;30,"No","Sí"),IF(TODAY()-V574&gt;=30,"Sí","En curso")))</f>
        <v/>
      </c>
      <c r="Z574" s="14"/>
      <c r="AA574" s="21"/>
      <c r="AB574" s="14"/>
      <c r="AC574" s="21"/>
      <c r="AD574" s="21"/>
      <c r="AE574" s="7"/>
      <c r="AF574" s="11" t="str">
        <f>IF(OR(AC574&lt;&gt;"Abierto",Z574=""),"",TODAY()-Z574)</f>
        <v/>
      </c>
      <c r="AG574" s="11" t="str">
        <f>IF(AC574&lt;&gt;"Abierto","",IF(AB574="","Sin siguiente acción",IF(AB574&lt;TODAY(),"Vencido",IF(AB574=TODAY(),"Hoy","En tiempo"))))</f>
        <v/>
      </c>
      <c r="AH574" s="11" t="str">
        <f>IF(OR(B574="",V574=""),"",V574-B574)</f>
        <v/>
      </c>
      <c r="AI574" s="16" t="str">
        <f>IF(P574="","",P574-WEEKDAY(P574,3))</f>
        <v/>
      </c>
      <c r="AJ574" s="23" t="str">
        <f>IF(P574="","",DATE(YEAR(P574),MONTH(P574),1))</f>
        <v/>
      </c>
    </row>
    <row r="575">
      <c r="A575" s="21"/>
      <c r="B575" s="14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14"/>
      <c r="Q575" s="21"/>
      <c r="R575" s="21"/>
      <c r="S575" s="21"/>
      <c r="T575" s="21"/>
      <c r="U575" s="21"/>
      <c r="V575" s="14"/>
      <c r="W575" s="22"/>
      <c r="X575" s="14"/>
      <c r="Y575" s="11" t="str">
        <f>IF(V575="","",IF(X575&lt;&gt;"",IF(X575-V575&lt;30,"No","Sí"),IF(TODAY()-V575&gt;=30,"Sí","En curso")))</f>
        <v/>
      </c>
      <c r="Z575" s="14"/>
      <c r="AA575" s="21"/>
      <c r="AB575" s="14"/>
      <c r="AC575" s="21"/>
      <c r="AD575" s="21"/>
      <c r="AE575" s="7"/>
      <c r="AF575" s="11" t="str">
        <f>IF(OR(AC575&lt;&gt;"Abierto",Z575=""),"",TODAY()-Z575)</f>
        <v/>
      </c>
      <c r="AG575" s="11" t="str">
        <f>IF(AC575&lt;&gt;"Abierto","",IF(AB575="","Sin siguiente acción",IF(AB575&lt;TODAY(),"Vencido",IF(AB575=TODAY(),"Hoy","En tiempo"))))</f>
        <v/>
      </c>
      <c r="AH575" s="11" t="str">
        <f>IF(OR(B575="",V575=""),"",V575-B575)</f>
        <v/>
      </c>
      <c r="AI575" s="16" t="str">
        <f>IF(P575="","",P575-WEEKDAY(P575,3))</f>
        <v/>
      </c>
      <c r="AJ575" s="23" t="str">
        <f>IF(P575="","",DATE(YEAR(P575),MONTH(P575),1))</f>
        <v/>
      </c>
    </row>
    <row r="576">
      <c r="A576" s="21"/>
      <c r="B576" s="14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14"/>
      <c r="Q576" s="21"/>
      <c r="R576" s="21"/>
      <c r="S576" s="21"/>
      <c r="T576" s="21"/>
      <c r="U576" s="21"/>
      <c r="V576" s="14"/>
      <c r="W576" s="22"/>
      <c r="X576" s="14"/>
      <c r="Y576" s="11" t="str">
        <f>IF(V576="","",IF(X576&lt;&gt;"",IF(X576-V576&lt;30,"No","Sí"),IF(TODAY()-V576&gt;=30,"Sí","En curso")))</f>
        <v/>
      </c>
      <c r="Z576" s="14"/>
      <c r="AA576" s="21"/>
      <c r="AB576" s="14"/>
      <c r="AC576" s="21"/>
      <c r="AD576" s="21"/>
      <c r="AE576" s="7"/>
      <c r="AF576" s="11" t="str">
        <f>IF(OR(AC576&lt;&gt;"Abierto",Z576=""),"",TODAY()-Z576)</f>
        <v/>
      </c>
      <c r="AG576" s="11" t="str">
        <f>IF(AC576&lt;&gt;"Abierto","",IF(AB576="","Sin siguiente acción",IF(AB576&lt;TODAY(),"Vencido",IF(AB576=TODAY(),"Hoy","En tiempo"))))</f>
        <v/>
      </c>
      <c r="AH576" s="11" t="str">
        <f>IF(OR(B576="",V576=""),"",V576-B576)</f>
        <v/>
      </c>
      <c r="AI576" s="16" t="str">
        <f>IF(P576="","",P576-WEEKDAY(P576,3))</f>
        <v/>
      </c>
      <c r="AJ576" s="23" t="str">
        <f>IF(P576="","",DATE(YEAR(P576),MONTH(P576),1))</f>
        <v/>
      </c>
    </row>
    <row r="577">
      <c r="A577" s="21"/>
      <c r="B577" s="14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14"/>
      <c r="Q577" s="21"/>
      <c r="R577" s="21"/>
      <c r="S577" s="21"/>
      <c r="T577" s="21"/>
      <c r="U577" s="21"/>
      <c r="V577" s="14"/>
      <c r="W577" s="22"/>
      <c r="X577" s="14"/>
      <c r="Y577" s="11" t="str">
        <f>IF(V577="","",IF(X577&lt;&gt;"",IF(X577-V577&lt;30,"No","Sí"),IF(TODAY()-V577&gt;=30,"Sí","En curso")))</f>
        <v/>
      </c>
      <c r="Z577" s="14"/>
      <c r="AA577" s="21"/>
      <c r="AB577" s="14"/>
      <c r="AC577" s="21"/>
      <c r="AD577" s="21"/>
      <c r="AE577" s="7"/>
      <c r="AF577" s="11" t="str">
        <f>IF(OR(AC577&lt;&gt;"Abierto",Z577=""),"",TODAY()-Z577)</f>
        <v/>
      </c>
      <c r="AG577" s="11" t="str">
        <f>IF(AC577&lt;&gt;"Abierto","",IF(AB577="","Sin siguiente acción",IF(AB577&lt;TODAY(),"Vencido",IF(AB577=TODAY(),"Hoy","En tiempo"))))</f>
        <v/>
      </c>
      <c r="AH577" s="11" t="str">
        <f>IF(OR(B577="",V577=""),"",V577-B577)</f>
        <v/>
      </c>
      <c r="AI577" s="16" t="str">
        <f>IF(P577="","",P577-WEEKDAY(P577,3))</f>
        <v/>
      </c>
      <c r="AJ577" s="23" t="str">
        <f>IF(P577="","",DATE(YEAR(P577),MONTH(P577),1))</f>
        <v/>
      </c>
    </row>
    <row r="578">
      <c r="A578" s="21"/>
      <c r="B578" s="14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14"/>
      <c r="Q578" s="21"/>
      <c r="R578" s="21"/>
      <c r="S578" s="21"/>
      <c r="T578" s="21"/>
      <c r="U578" s="21"/>
      <c r="V578" s="14"/>
      <c r="W578" s="22"/>
      <c r="X578" s="14"/>
      <c r="Y578" s="11" t="str">
        <f>IF(V578="","",IF(X578&lt;&gt;"",IF(X578-V578&lt;30,"No","Sí"),IF(TODAY()-V578&gt;=30,"Sí","En curso")))</f>
        <v/>
      </c>
      <c r="Z578" s="14"/>
      <c r="AA578" s="21"/>
      <c r="AB578" s="14"/>
      <c r="AC578" s="21"/>
      <c r="AD578" s="21"/>
      <c r="AE578" s="7"/>
      <c r="AF578" s="11" t="str">
        <f>IF(OR(AC578&lt;&gt;"Abierto",Z578=""),"",TODAY()-Z578)</f>
        <v/>
      </c>
      <c r="AG578" s="11" t="str">
        <f>IF(AC578&lt;&gt;"Abierto","",IF(AB578="","Sin siguiente acción",IF(AB578&lt;TODAY(),"Vencido",IF(AB578=TODAY(),"Hoy","En tiempo"))))</f>
        <v/>
      </c>
      <c r="AH578" s="11" t="str">
        <f>IF(OR(B578="",V578=""),"",V578-B578)</f>
        <v/>
      </c>
      <c r="AI578" s="16" t="str">
        <f>IF(P578="","",P578-WEEKDAY(P578,3))</f>
        <v/>
      </c>
      <c r="AJ578" s="23" t="str">
        <f>IF(P578="","",DATE(YEAR(P578),MONTH(P578),1))</f>
        <v/>
      </c>
    </row>
    <row r="579">
      <c r="A579" s="21"/>
      <c r="B579" s="14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14"/>
      <c r="Q579" s="21"/>
      <c r="R579" s="21"/>
      <c r="S579" s="21"/>
      <c r="T579" s="21"/>
      <c r="U579" s="21"/>
      <c r="V579" s="14"/>
      <c r="W579" s="22"/>
      <c r="X579" s="14"/>
      <c r="Y579" s="11" t="str">
        <f>IF(V579="","",IF(X579&lt;&gt;"",IF(X579-V579&lt;30,"No","Sí"),IF(TODAY()-V579&gt;=30,"Sí","En curso")))</f>
        <v/>
      </c>
      <c r="Z579" s="14"/>
      <c r="AA579" s="21"/>
      <c r="AB579" s="14"/>
      <c r="AC579" s="21"/>
      <c r="AD579" s="21"/>
      <c r="AE579" s="7"/>
      <c r="AF579" s="11" t="str">
        <f>IF(OR(AC579&lt;&gt;"Abierto",Z579=""),"",TODAY()-Z579)</f>
        <v/>
      </c>
      <c r="AG579" s="11" t="str">
        <f>IF(AC579&lt;&gt;"Abierto","",IF(AB579="","Sin siguiente acción",IF(AB579&lt;TODAY(),"Vencido",IF(AB579=TODAY(),"Hoy","En tiempo"))))</f>
        <v/>
      </c>
      <c r="AH579" s="11" t="str">
        <f>IF(OR(B579="",V579=""),"",V579-B579)</f>
        <v/>
      </c>
      <c r="AI579" s="16" t="str">
        <f>IF(P579="","",P579-WEEKDAY(P579,3))</f>
        <v/>
      </c>
      <c r="AJ579" s="23" t="str">
        <f>IF(P579="","",DATE(YEAR(P579),MONTH(P579),1))</f>
        <v/>
      </c>
    </row>
    <row r="580">
      <c r="A580" s="21"/>
      <c r="B580" s="14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14"/>
      <c r="Q580" s="21"/>
      <c r="R580" s="21"/>
      <c r="S580" s="21"/>
      <c r="T580" s="21"/>
      <c r="U580" s="21"/>
      <c r="V580" s="14"/>
      <c r="W580" s="22"/>
      <c r="X580" s="14"/>
      <c r="Y580" s="11" t="str">
        <f>IF(V580="","",IF(X580&lt;&gt;"",IF(X580-V580&lt;30,"No","Sí"),IF(TODAY()-V580&gt;=30,"Sí","En curso")))</f>
        <v/>
      </c>
      <c r="Z580" s="14"/>
      <c r="AA580" s="21"/>
      <c r="AB580" s="14"/>
      <c r="AC580" s="21"/>
      <c r="AD580" s="21"/>
      <c r="AE580" s="7"/>
      <c r="AF580" s="11" t="str">
        <f>IF(OR(AC580&lt;&gt;"Abierto",Z580=""),"",TODAY()-Z580)</f>
        <v/>
      </c>
      <c r="AG580" s="11" t="str">
        <f>IF(AC580&lt;&gt;"Abierto","",IF(AB580="","Sin siguiente acción",IF(AB580&lt;TODAY(),"Vencido",IF(AB580=TODAY(),"Hoy","En tiempo"))))</f>
        <v/>
      </c>
      <c r="AH580" s="11" t="str">
        <f>IF(OR(B580="",V580=""),"",V580-B580)</f>
        <v/>
      </c>
      <c r="AI580" s="16" t="str">
        <f>IF(P580="","",P580-WEEKDAY(P580,3))</f>
        <v/>
      </c>
      <c r="AJ580" s="23" t="str">
        <f>IF(P580="","",DATE(YEAR(P580),MONTH(P580),1))</f>
        <v/>
      </c>
    </row>
    <row r="581">
      <c r="A581" s="21"/>
      <c r="B581" s="14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14"/>
      <c r="Q581" s="21"/>
      <c r="R581" s="21"/>
      <c r="S581" s="21"/>
      <c r="T581" s="21"/>
      <c r="U581" s="21"/>
      <c r="V581" s="14"/>
      <c r="W581" s="22"/>
      <c r="X581" s="14"/>
      <c r="Y581" s="11" t="str">
        <f>IF(V581="","",IF(X581&lt;&gt;"",IF(X581-V581&lt;30,"No","Sí"),IF(TODAY()-V581&gt;=30,"Sí","En curso")))</f>
        <v/>
      </c>
      <c r="Z581" s="14"/>
      <c r="AA581" s="21"/>
      <c r="AB581" s="14"/>
      <c r="AC581" s="21"/>
      <c r="AD581" s="21"/>
      <c r="AE581" s="7"/>
      <c r="AF581" s="11" t="str">
        <f>IF(OR(AC581&lt;&gt;"Abierto",Z581=""),"",TODAY()-Z581)</f>
        <v/>
      </c>
      <c r="AG581" s="11" t="str">
        <f>IF(AC581&lt;&gt;"Abierto","",IF(AB581="","Sin siguiente acción",IF(AB581&lt;TODAY(),"Vencido",IF(AB581=TODAY(),"Hoy","En tiempo"))))</f>
        <v/>
      </c>
      <c r="AH581" s="11" t="str">
        <f>IF(OR(B581="",V581=""),"",V581-B581)</f>
        <v/>
      </c>
      <c r="AI581" s="16" t="str">
        <f>IF(P581="","",P581-WEEKDAY(P581,3))</f>
        <v/>
      </c>
      <c r="AJ581" s="23" t="str">
        <f>IF(P581="","",DATE(YEAR(P581),MONTH(P581),1))</f>
        <v/>
      </c>
    </row>
    <row r="582">
      <c r="A582" s="21"/>
      <c r="B582" s="14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14"/>
      <c r="Q582" s="21"/>
      <c r="R582" s="21"/>
      <c r="S582" s="21"/>
      <c r="T582" s="21"/>
      <c r="U582" s="21"/>
      <c r="V582" s="14"/>
      <c r="W582" s="22"/>
      <c r="X582" s="14"/>
      <c r="Y582" s="11" t="str">
        <f>IF(V582="","",IF(X582&lt;&gt;"",IF(X582-V582&lt;30,"No","Sí"),IF(TODAY()-V582&gt;=30,"Sí","En curso")))</f>
        <v/>
      </c>
      <c r="Z582" s="14"/>
      <c r="AA582" s="21"/>
      <c r="AB582" s="14"/>
      <c r="AC582" s="21"/>
      <c r="AD582" s="21"/>
      <c r="AE582" s="7"/>
      <c r="AF582" s="11" t="str">
        <f>IF(OR(AC582&lt;&gt;"Abierto",Z582=""),"",TODAY()-Z582)</f>
        <v/>
      </c>
      <c r="AG582" s="11" t="str">
        <f>IF(AC582&lt;&gt;"Abierto","",IF(AB582="","Sin siguiente acción",IF(AB582&lt;TODAY(),"Vencido",IF(AB582=TODAY(),"Hoy","En tiempo"))))</f>
        <v/>
      </c>
      <c r="AH582" s="11" t="str">
        <f>IF(OR(B582="",V582=""),"",V582-B582)</f>
        <v/>
      </c>
      <c r="AI582" s="16" t="str">
        <f>IF(P582="","",P582-WEEKDAY(P582,3))</f>
        <v/>
      </c>
      <c r="AJ582" s="23" t="str">
        <f>IF(P582="","",DATE(YEAR(P582),MONTH(P582),1))</f>
        <v/>
      </c>
    </row>
    <row r="583">
      <c r="A583" s="21"/>
      <c r="B583" s="14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14"/>
      <c r="Q583" s="21"/>
      <c r="R583" s="21"/>
      <c r="S583" s="21"/>
      <c r="T583" s="21"/>
      <c r="U583" s="21"/>
      <c r="V583" s="14"/>
      <c r="W583" s="22"/>
      <c r="X583" s="14"/>
      <c r="Y583" s="11" t="str">
        <f>IF(V583="","",IF(X583&lt;&gt;"",IF(X583-V583&lt;30,"No","Sí"),IF(TODAY()-V583&gt;=30,"Sí","En curso")))</f>
        <v/>
      </c>
      <c r="Z583" s="14"/>
      <c r="AA583" s="21"/>
      <c r="AB583" s="14"/>
      <c r="AC583" s="21"/>
      <c r="AD583" s="21"/>
      <c r="AE583" s="7"/>
      <c r="AF583" s="11" t="str">
        <f>IF(OR(AC583&lt;&gt;"Abierto",Z583=""),"",TODAY()-Z583)</f>
        <v/>
      </c>
      <c r="AG583" s="11" t="str">
        <f>IF(AC583&lt;&gt;"Abierto","",IF(AB583="","Sin siguiente acción",IF(AB583&lt;TODAY(),"Vencido",IF(AB583=TODAY(),"Hoy","En tiempo"))))</f>
        <v/>
      </c>
      <c r="AH583" s="11" t="str">
        <f>IF(OR(B583="",V583=""),"",V583-B583)</f>
        <v/>
      </c>
      <c r="AI583" s="16" t="str">
        <f>IF(P583="","",P583-WEEKDAY(P583,3))</f>
        <v/>
      </c>
      <c r="AJ583" s="23" t="str">
        <f>IF(P583="","",DATE(YEAR(P583),MONTH(P583),1))</f>
        <v/>
      </c>
    </row>
    <row r="584">
      <c r="A584" s="21"/>
      <c r="B584" s="14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14"/>
      <c r="Q584" s="21"/>
      <c r="R584" s="21"/>
      <c r="S584" s="21"/>
      <c r="T584" s="21"/>
      <c r="U584" s="21"/>
      <c r="V584" s="14"/>
      <c r="W584" s="22"/>
      <c r="X584" s="14"/>
      <c r="Y584" s="11" t="str">
        <f>IF(V584="","",IF(X584&lt;&gt;"",IF(X584-V584&lt;30,"No","Sí"),IF(TODAY()-V584&gt;=30,"Sí","En curso")))</f>
        <v/>
      </c>
      <c r="Z584" s="14"/>
      <c r="AA584" s="21"/>
      <c r="AB584" s="14"/>
      <c r="AC584" s="21"/>
      <c r="AD584" s="21"/>
      <c r="AE584" s="7"/>
      <c r="AF584" s="11" t="str">
        <f>IF(OR(AC584&lt;&gt;"Abierto",Z584=""),"",TODAY()-Z584)</f>
        <v/>
      </c>
      <c r="AG584" s="11" t="str">
        <f>IF(AC584&lt;&gt;"Abierto","",IF(AB584="","Sin siguiente acción",IF(AB584&lt;TODAY(),"Vencido",IF(AB584=TODAY(),"Hoy","En tiempo"))))</f>
        <v/>
      </c>
      <c r="AH584" s="11" t="str">
        <f>IF(OR(B584="",V584=""),"",V584-B584)</f>
        <v/>
      </c>
      <c r="AI584" s="16" t="str">
        <f>IF(P584="","",P584-WEEKDAY(P584,3))</f>
        <v/>
      </c>
      <c r="AJ584" s="23" t="str">
        <f>IF(P584="","",DATE(YEAR(P584),MONTH(P584),1))</f>
        <v/>
      </c>
    </row>
    <row r="585">
      <c r="A585" s="21"/>
      <c r="B585" s="14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14"/>
      <c r="Q585" s="21"/>
      <c r="R585" s="21"/>
      <c r="S585" s="21"/>
      <c r="T585" s="21"/>
      <c r="U585" s="21"/>
      <c r="V585" s="14"/>
      <c r="W585" s="22"/>
      <c r="X585" s="14"/>
      <c r="Y585" s="11" t="str">
        <f>IF(V585="","",IF(X585&lt;&gt;"",IF(X585-V585&lt;30,"No","Sí"),IF(TODAY()-V585&gt;=30,"Sí","En curso")))</f>
        <v/>
      </c>
      <c r="Z585" s="14"/>
      <c r="AA585" s="21"/>
      <c r="AB585" s="14"/>
      <c r="AC585" s="21"/>
      <c r="AD585" s="21"/>
      <c r="AE585" s="7"/>
      <c r="AF585" s="11" t="str">
        <f>IF(OR(AC585&lt;&gt;"Abierto",Z585=""),"",TODAY()-Z585)</f>
        <v/>
      </c>
      <c r="AG585" s="11" t="str">
        <f>IF(AC585&lt;&gt;"Abierto","",IF(AB585="","Sin siguiente acción",IF(AB585&lt;TODAY(),"Vencido",IF(AB585=TODAY(),"Hoy","En tiempo"))))</f>
        <v/>
      </c>
      <c r="AH585" s="11" t="str">
        <f>IF(OR(B585="",V585=""),"",V585-B585)</f>
        <v/>
      </c>
      <c r="AI585" s="16" t="str">
        <f>IF(P585="","",P585-WEEKDAY(P585,3))</f>
        <v/>
      </c>
      <c r="AJ585" s="23" t="str">
        <f>IF(P585="","",DATE(YEAR(P585),MONTH(P585),1))</f>
        <v/>
      </c>
    </row>
    <row r="586">
      <c r="A586" s="21"/>
      <c r="B586" s="14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14"/>
      <c r="Q586" s="21"/>
      <c r="R586" s="21"/>
      <c r="S586" s="21"/>
      <c r="T586" s="21"/>
      <c r="U586" s="21"/>
      <c r="V586" s="14"/>
      <c r="W586" s="22"/>
      <c r="X586" s="14"/>
      <c r="Y586" s="11" t="str">
        <f>IF(V586="","",IF(X586&lt;&gt;"",IF(X586-V586&lt;30,"No","Sí"),IF(TODAY()-V586&gt;=30,"Sí","En curso")))</f>
        <v/>
      </c>
      <c r="Z586" s="14"/>
      <c r="AA586" s="21"/>
      <c r="AB586" s="14"/>
      <c r="AC586" s="21"/>
      <c r="AD586" s="21"/>
      <c r="AE586" s="7"/>
      <c r="AF586" s="11" t="str">
        <f>IF(OR(AC586&lt;&gt;"Abierto",Z586=""),"",TODAY()-Z586)</f>
        <v/>
      </c>
      <c r="AG586" s="11" t="str">
        <f>IF(AC586&lt;&gt;"Abierto","",IF(AB586="","Sin siguiente acción",IF(AB586&lt;TODAY(),"Vencido",IF(AB586=TODAY(),"Hoy","En tiempo"))))</f>
        <v/>
      </c>
      <c r="AH586" s="11" t="str">
        <f>IF(OR(B586="",V586=""),"",V586-B586)</f>
        <v/>
      </c>
      <c r="AI586" s="16" t="str">
        <f>IF(P586="","",P586-WEEKDAY(P586,3))</f>
        <v/>
      </c>
      <c r="AJ586" s="23" t="str">
        <f>IF(P586="","",DATE(YEAR(P586),MONTH(P586),1))</f>
        <v/>
      </c>
    </row>
    <row r="587">
      <c r="A587" s="21"/>
      <c r="B587" s="14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14"/>
      <c r="Q587" s="21"/>
      <c r="R587" s="21"/>
      <c r="S587" s="21"/>
      <c r="T587" s="21"/>
      <c r="U587" s="21"/>
      <c r="V587" s="14"/>
      <c r="W587" s="22"/>
      <c r="X587" s="14"/>
      <c r="Y587" s="11" t="str">
        <f>IF(V587="","",IF(X587&lt;&gt;"",IF(X587-V587&lt;30,"No","Sí"),IF(TODAY()-V587&gt;=30,"Sí","En curso")))</f>
        <v/>
      </c>
      <c r="Z587" s="14"/>
      <c r="AA587" s="21"/>
      <c r="AB587" s="14"/>
      <c r="AC587" s="21"/>
      <c r="AD587" s="21"/>
      <c r="AE587" s="7"/>
      <c r="AF587" s="11" t="str">
        <f>IF(OR(AC587&lt;&gt;"Abierto",Z587=""),"",TODAY()-Z587)</f>
        <v/>
      </c>
      <c r="AG587" s="11" t="str">
        <f>IF(AC587&lt;&gt;"Abierto","",IF(AB587="","Sin siguiente acción",IF(AB587&lt;TODAY(),"Vencido",IF(AB587=TODAY(),"Hoy","En tiempo"))))</f>
        <v/>
      </c>
      <c r="AH587" s="11" t="str">
        <f>IF(OR(B587="",V587=""),"",V587-B587)</f>
        <v/>
      </c>
      <c r="AI587" s="16" t="str">
        <f>IF(P587="","",P587-WEEKDAY(P587,3))</f>
        <v/>
      </c>
      <c r="AJ587" s="23" t="str">
        <f>IF(P587="","",DATE(YEAR(P587),MONTH(P587),1))</f>
        <v/>
      </c>
    </row>
    <row r="588">
      <c r="A588" s="21"/>
      <c r="B588" s="14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14"/>
      <c r="Q588" s="21"/>
      <c r="R588" s="21"/>
      <c r="S588" s="21"/>
      <c r="T588" s="21"/>
      <c r="U588" s="21"/>
      <c r="V588" s="14"/>
      <c r="W588" s="22"/>
      <c r="X588" s="14"/>
      <c r="Y588" s="11" t="str">
        <f>IF(V588="","",IF(X588&lt;&gt;"",IF(X588-V588&lt;30,"No","Sí"),IF(TODAY()-V588&gt;=30,"Sí","En curso")))</f>
        <v/>
      </c>
      <c r="Z588" s="14"/>
      <c r="AA588" s="21"/>
      <c r="AB588" s="14"/>
      <c r="AC588" s="21"/>
      <c r="AD588" s="21"/>
      <c r="AE588" s="7"/>
      <c r="AF588" s="11" t="str">
        <f>IF(OR(AC588&lt;&gt;"Abierto",Z588=""),"",TODAY()-Z588)</f>
        <v/>
      </c>
      <c r="AG588" s="11" t="str">
        <f>IF(AC588&lt;&gt;"Abierto","",IF(AB588="","Sin siguiente acción",IF(AB588&lt;TODAY(),"Vencido",IF(AB588=TODAY(),"Hoy","En tiempo"))))</f>
        <v/>
      </c>
      <c r="AH588" s="11" t="str">
        <f>IF(OR(B588="",V588=""),"",V588-B588)</f>
        <v/>
      </c>
      <c r="AI588" s="16" t="str">
        <f>IF(P588="","",P588-WEEKDAY(P588,3))</f>
        <v/>
      </c>
      <c r="AJ588" s="23" t="str">
        <f>IF(P588="","",DATE(YEAR(P588),MONTH(P588),1))</f>
        <v/>
      </c>
    </row>
    <row r="589">
      <c r="A589" s="21"/>
      <c r="B589" s="14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14"/>
      <c r="Q589" s="21"/>
      <c r="R589" s="21"/>
      <c r="S589" s="21"/>
      <c r="T589" s="21"/>
      <c r="U589" s="21"/>
      <c r="V589" s="14"/>
      <c r="W589" s="22"/>
      <c r="X589" s="14"/>
      <c r="Y589" s="11" t="str">
        <f>IF(V589="","",IF(X589&lt;&gt;"",IF(X589-V589&lt;30,"No","Sí"),IF(TODAY()-V589&gt;=30,"Sí","En curso")))</f>
        <v/>
      </c>
      <c r="Z589" s="14"/>
      <c r="AA589" s="21"/>
      <c r="AB589" s="14"/>
      <c r="AC589" s="21"/>
      <c r="AD589" s="21"/>
      <c r="AE589" s="7"/>
      <c r="AF589" s="11" t="str">
        <f>IF(OR(AC589&lt;&gt;"Abierto",Z589=""),"",TODAY()-Z589)</f>
        <v/>
      </c>
      <c r="AG589" s="11" t="str">
        <f>IF(AC589&lt;&gt;"Abierto","",IF(AB589="","Sin siguiente acción",IF(AB589&lt;TODAY(),"Vencido",IF(AB589=TODAY(),"Hoy","En tiempo"))))</f>
        <v/>
      </c>
      <c r="AH589" s="11" t="str">
        <f>IF(OR(B589="",V589=""),"",V589-B589)</f>
        <v/>
      </c>
      <c r="AI589" s="16" t="str">
        <f>IF(P589="","",P589-WEEKDAY(P589,3))</f>
        <v/>
      </c>
      <c r="AJ589" s="23" t="str">
        <f>IF(P589="","",DATE(YEAR(P589),MONTH(P589),1))</f>
        <v/>
      </c>
    </row>
    <row r="590">
      <c r="A590" s="21"/>
      <c r="B590" s="14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14"/>
      <c r="Q590" s="21"/>
      <c r="R590" s="21"/>
      <c r="S590" s="21"/>
      <c r="T590" s="21"/>
      <c r="U590" s="21"/>
      <c r="V590" s="14"/>
      <c r="W590" s="22"/>
      <c r="X590" s="14"/>
      <c r="Y590" s="11" t="str">
        <f>IF(V590="","",IF(X590&lt;&gt;"",IF(X590-V590&lt;30,"No","Sí"),IF(TODAY()-V590&gt;=30,"Sí","En curso")))</f>
        <v/>
      </c>
      <c r="Z590" s="14"/>
      <c r="AA590" s="21"/>
      <c r="AB590" s="14"/>
      <c r="AC590" s="21"/>
      <c r="AD590" s="21"/>
      <c r="AE590" s="7"/>
      <c r="AF590" s="11" t="str">
        <f>IF(OR(AC590&lt;&gt;"Abierto",Z590=""),"",TODAY()-Z590)</f>
        <v/>
      </c>
      <c r="AG590" s="11" t="str">
        <f>IF(AC590&lt;&gt;"Abierto","",IF(AB590="","Sin siguiente acción",IF(AB590&lt;TODAY(),"Vencido",IF(AB590=TODAY(),"Hoy","En tiempo"))))</f>
        <v/>
      </c>
      <c r="AH590" s="11" t="str">
        <f>IF(OR(B590="",V590=""),"",V590-B590)</f>
        <v/>
      </c>
      <c r="AI590" s="16" t="str">
        <f>IF(P590="","",P590-WEEKDAY(P590,3))</f>
        <v/>
      </c>
      <c r="AJ590" s="23" t="str">
        <f>IF(P590="","",DATE(YEAR(P590),MONTH(P590),1))</f>
        <v/>
      </c>
    </row>
    <row r="591">
      <c r="A591" s="21"/>
      <c r="B591" s="14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14"/>
      <c r="Q591" s="21"/>
      <c r="R591" s="21"/>
      <c r="S591" s="21"/>
      <c r="T591" s="21"/>
      <c r="U591" s="21"/>
      <c r="V591" s="14"/>
      <c r="W591" s="22"/>
      <c r="X591" s="14"/>
      <c r="Y591" s="11" t="str">
        <f>IF(V591="","",IF(X591&lt;&gt;"",IF(X591-V591&lt;30,"No","Sí"),IF(TODAY()-V591&gt;=30,"Sí","En curso")))</f>
        <v/>
      </c>
      <c r="Z591" s="14"/>
      <c r="AA591" s="21"/>
      <c r="AB591" s="14"/>
      <c r="AC591" s="21"/>
      <c r="AD591" s="21"/>
      <c r="AE591" s="7"/>
      <c r="AF591" s="11" t="str">
        <f>IF(OR(AC591&lt;&gt;"Abierto",Z591=""),"",TODAY()-Z591)</f>
        <v/>
      </c>
      <c r="AG591" s="11" t="str">
        <f>IF(AC591&lt;&gt;"Abierto","",IF(AB591="","Sin siguiente acción",IF(AB591&lt;TODAY(),"Vencido",IF(AB591=TODAY(),"Hoy","En tiempo"))))</f>
        <v/>
      </c>
      <c r="AH591" s="11" t="str">
        <f>IF(OR(B591="",V591=""),"",V591-B591)</f>
        <v/>
      </c>
      <c r="AI591" s="16" t="str">
        <f>IF(P591="","",P591-WEEKDAY(P591,3))</f>
        <v/>
      </c>
      <c r="AJ591" s="23" t="str">
        <f>IF(P591="","",DATE(YEAR(P591),MONTH(P591),1))</f>
        <v/>
      </c>
    </row>
    <row r="592">
      <c r="A592" s="21"/>
      <c r="B592" s="14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14"/>
      <c r="Q592" s="21"/>
      <c r="R592" s="21"/>
      <c r="S592" s="21"/>
      <c r="T592" s="21"/>
      <c r="U592" s="21"/>
      <c r="V592" s="14"/>
      <c r="W592" s="22"/>
      <c r="X592" s="14"/>
      <c r="Y592" s="11" t="str">
        <f>IF(V592="","",IF(X592&lt;&gt;"",IF(X592-V592&lt;30,"No","Sí"),IF(TODAY()-V592&gt;=30,"Sí","En curso")))</f>
        <v/>
      </c>
      <c r="Z592" s="14"/>
      <c r="AA592" s="21"/>
      <c r="AB592" s="14"/>
      <c r="AC592" s="21"/>
      <c r="AD592" s="21"/>
      <c r="AE592" s="7"/>
      <c r="AF592" s="11" t="str">
        <f>IF(OR(AC592&lt;&gt;"Abierto",Z592=""),"",TODAY()-Z592)</f>
        <v/>
      </c>
      <c r="AG592" s="11" t="str">
        <f>IF(AC592&lt;&gt;"Abierto","",IF(AB592="","Sin siguiente acción",IF(AB592&lt;TODAY(),"Vencido",IF(AB592=TODAY(),"Hoy","En tiempo"))))</f>
        <v/>
      </c>
      <c r="AH592" s="11" t="str">
        <f>IF(OR(B592="",V592=""),"",V592-B592)</f>
        <v/>
      </c>
      <c r="AI592" s="16" t="str">
        <f>IF(P592="","",P592-WEEKDAY(P592,3))</f>
        <v/>
      </c>
      <c r="AJ592" s="23" t="str">
        <f>IF(P592="","",DATE(YEAR(P592),MONTH(P592),1))</f>
        <v/>
      </c>
    </row>
    <row r="593">
      <c r="A593" s="21"/>
      <c r="B593" s="14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14"/>
      <c r="Q593" s="21"/>
      <c r="R593" s="21"/>
      <c r="S593" s="21"/>
      <c r="T593" s="21"/>
      <c r="U593" s="21"/>
      <c r="V593" s="14"/>
      <c r="W593" s="22"/>
      <c r="X593" s="14"/>
      <c r="Y593" s="11" t="str">
        <f>IF(V593="","",IF(X593&lt;&gt;"",IF(X593-V593&lt;30,"No","Sí"),IF(TODAY()-V593&gt;=30,"Sí","En curso")))</f>
        <v/>
      </c>
      <c r="Z593" s="14"/>
      <c r="AA593" s="21"/>
      <c r="AB593" s="14"/>
      <c r="AC593" s="21"/>
      <c r="AD593" s="21"/>
      <c r="AE593" s="7"/>
      <c r="AF593" s="11" t="str">
        <f>IF(OR(AC593&lt;&gt;"Abierto",Z593=""),"",TODAY()-Z593)</f>
        <v/>
      </c>
      <c r="AG593" s="11" t="str">
        <f>IF(AC593&lt;&gt;"Abierto","",IF(AB593="","Sin siguiente acción",IF(AB593&lt;TODAY(),"Vencido",IF(AB593=TODAY(),"Hoy","En tiempo"))))</f>
        <v/>
      </c>
      <c r="AH593" s="11" t="str">
        <f>IF(OR(B593="",V593=""),"",V593-B593)</f>
        <v/>
      </c>
      <c r="AI593" s="16" t="str">
        <f>IF(P593="","",P593-WEEKDAY(P593,3))</f>
        <v/>
      </c>
      <c r="AJ593" s="23" t="str">
        <f>IF(P593="","",DATE(YEAR(P593),MONTH(P593),1))</f>
        <v/>
      </c>
    </row>
    <row r="594">
      <c r="A594" s="21"/>
      <c r="B594" s="14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14"/>
      <c r="Q594" s="21"/>
      <c r="R594" s="21"/>
      <c r="S594" s="21"/>
      <c r="T594" s="21"/>
      <c r="U594" s="21"/>
      <c r="V594" s="14"/>
      <c r="W594" s="22"/>
      <c r="X594" s="14"/>
      <c r="Y594" s="11" t="str">
        <f>IF(V594="","",IF(X594&lt;&gt;"",IF(X594-V594&lt;30,"No","Sí"),IF(TODAY()-V594&gt;=30,"Sí","En curso")))</f>
        <v/>
      </c>
      <c r="Z594" s="14"/>
      <c r="AA594" s="21"/>
      <c r="AB594" s="14"/>
      <c r="AC594" s="21"/>
      <c r="AD594" s="21"/>
      <c r="AE594" s="7"/>
      <c r="AF594" s="11" t="str">
        <f>IF(OR(AC594&lt;&gt;"Abierto",Z594=""),"",TODAY()-Z594)</f>
        <v/>
      </c>
      <c r="AG594" s="11" t="str">
        <f>IF(AC594&lt;&gt;"Abierto","",IF(AB594="","Sin siguiente acción",IF(AB594&lt;TODAY(),"Vencido",IF(AB594=TODAY(),"Hoy","En tiempo"))))</f>
        <v/>
      </c>
      <c r="AH594" s="11" t="str">
        <f>IF(OR(B594="",V594=""),"",V594-B594)</f>
        <v/>
      </c>
      <c r="AI594" s="16" t="str">
        <f>IF(P594="","",P594-WEEKDAY(P594,3))</f>
        <v/>
      </c>
      <c r="AJ594" s="23" t="str">
        <f>IF(P594="","",DATE(YEAR(P594),MONTH(P594),1))</f>
        <v/>
      </c>
    </row>
    <row r="595">
      <c r="A595" s="21"/>
      <c r="B595" s="14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14"/>
      <c r="Q595" s="21"/>
      <c r="R595" s="21"/>
      <c r="S595" s="21"/>
      <c r="T595" s="21"/>
      <c r="U595" s="21"/>
      <c r="V595" s="14"/>
      <c r="W595" s="22"/>
      <c r="X595" s="14"/>
      <c r="Y595" s="11" t="str">
        <f>IF(V595="","",IF(X595&lt;&gt;"",IF(X595-V595&lt;30,"No","Sí"),IF(TODAY()-V595&gt;=30,"Sí","En curso")))</f>
        <v/>
      </c>
      <c r="Z595" s="14"/>
      <c r="AA595" s="21"/>
      <c r="AB595" s="14"/>
      <c r="AC595" s="21"/>
      <c r="AD595" s="21"/>
      <c r="AE595" s="7"/>
      <c r="AF595" s="11" t="str">
        <f>IF(OR(AC595&lt;&gt;"Abierto",Z595=""),"",TODAY()-Z595)</f>
        <v/>
      </c>
      <c r="AG595" s="11" t="str">
        <f>IF(AC595&lt;&gt;"Abierto","",IF(AB595="","Sin siguiente acción",IF(AB595&lt;TODAY(),"Vencido",IF(AB595=TODAY(),"Hoy","En tiempo"))))</f>
        <v/>
      </c>
      <c r="AH595" s="11" t="str">
        <f>IF(OR(B595="",V595=""),"",V595-B595)</f>
        <v/>
      </c>
      <c r="AI595" s="16" t="str">
        <f>IF(P595="","",P595-WEEKDAY(P595,3))</f>
        <v/>
      </c>
      <c r="AJ595" s="23" t="str">
        <f>IF(P595="","",DATE(YEAR(P595),MONTH(P595),1))</f>
        <v/>
      </c>
    </row>
    <row r="596">
      <c r="A596" s="21"/>
      <c r="B596" s="14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14"/>
      <c r="Q596" s="21"/>
      <c r="R596" s="21"/>
      <c r="S596" s="21"/>
      <c r="T596" s="21"/>
      <c r="U596" s="21"/>
      <c r="V596" s="14"/>
      <c r="W596" s="22"/>
      <c r="X596" s="14"/>
      <c r="Y596" s="11" t="str">
        <f>IF(V596="","",IF(X596&lt;&gt;"",IF(X596-V596&lt;30,"No","Sí"),IF(TODAY()-V596&gt;=30,"Sí","En curso")))</f>
        <v/>
      </c>
      <c r="Z596" s="14"/>
      <c r="AA596" s="21"/>
      <c r="AB596" s="14"/>
      <c r="AC596" s="21"/>
      <c r="AD596" s="21"/>
      <c r="AE596" s="7"/>
      <c r="AF596" s="11" t="str">
        <f>IF(OR(AC596&lt;&gt;"Abierto",Z596=""),"",TODAY()-Z596)</f>
        <v/>
      </c>
      <c r="AG596" s="11" t="str">
        <f>IF(AC596&lt;&gt;"Abierto","",IF(AB596="","Sin siguiente acción",IF(AB596&lt;TODAY(),"Vencido",IF(AB596=TODAY(),"Hoy","En tiempo"))))</f>
        <v/>
      </c>
      <c r="AH596" s="11" t="str">
        <f>IF(OR(B596="",V596=""),"",V596-B596)</f>
        <v/>
      </c>
      <c r="AI596" s="16" t="str">
        <f>IF(P596="","",P596-WEEKDAY(P596,3))</f>
        <v/>
      </c>
      <c r="AJ596" s="23" t="str">
        <f>IF(P596="","",DATE(YEAR(P596),MONTH(P596),1))</f>
        <v/>
      </c>
    </row>
    <row r="597">
      <c r="A597" s="21"/>
      <c r="B597" s="14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14"/>
      <c r="Q597" s="21"/>
      <c r="R597" s="21"/>
      <c r="S597" s="21"/>
      <c r="T597" s="21"/>
      <c r="U597" s="21"/>
      <c r="V597" s="14"/>
      <c r="W597" s="22"/>
      <c r="X597" s="14"/>
      <c r="Y597" s="11" t="str">
        <f>IF(V597="","",IF(X597&lt;&gt;"",IF(X597-V597&lt;30,"No","Sí"),IF(TODAY()-V597&gt;=30,"Sí","En curso")))</f>
        <v/>
      </c>
      <c r="Z597" s="14"/>
      <c r="AA597" s="21"/>
      <c r="AB597" s="14"/>
      <c r="AC597" s="21"/>
      <c r="AD597" s="21"/>
      <c r="AE597" s="7"/>
      <c r="AF597" s="11" t="str">
        <f>IF(OR(AC597&lt;&gt;"Abierto",Z597=""),"",TODAY()-Z597)</f>
        <v/>
      </c>
      <c r="AG597" s="11" t="str">
        <f>IF(AC597&lt;&gt;"Abierto","",IF(AB597="","Sin siguiente acción",IF(AB597&lt;TODAY(),"Vencido",IF(AB597=TODAY(),"Hoy","En tiempo"))))</f>
        <v/>
      </c>
      <c r="AH597" s="11" t="str">
        <f>IF(OR(B597="",V597=""),"",V597-B597)</f>
        <v/>
      </c>
      <c r="AI597" s="16" t="str">
        <f>IF(P597="","",P597-WEEKDAY(P597,3))</f>
        <v/>
      </c>
      <c r="AJ597" s="23" t="str">
        <f>IF(P597="","",DATE(YEAR(P597),MONTH(P597),1))</f>
        <v/>
      </c>
    </row>
    <row r="598">
      <c r="A598" s="21"/>
      <c r="B598" s="14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14"/>
      <c r="Q598" s="21"/>
      <c r="R598" s="21"/>
      <c r="S598" s="21"/>
      <c r="T598" s="21"/>
      <c r="U598" s="21"/>
      <c r="V598" s="14"/>
      <c r="W598" s="22"/>
      <c r="X598" s="14"/>
      <c r="Y598" s="11" t="str">
        <f>IF(V598="","",IF(X598&lt;&gt;"",IF(X598-V598&lt;30,"No","Sí"),IF(TODAY()-V598&gt;=30,"Sí","En curso")))</f>
        <v/>
      </c>
      <c r="Z598" s="14"/>
      <c r="AA598" s="21"/>
      <c r="AB598" s="14"/>
      <c r="AC598" s="21"/>
      <c r="AD598" s="21"/>
      <c r="AE598" s="7"/>
      <c r="AF598" s="11" t="str">
        <f>IF(OR(AC598&lt;&gt;"Abierto",Z598=""),"",TODAY()-Z598)</f>
        <v/>
      </c>
      <c r="AG598" s="11" t="str">
        <f>IF(AC598&lt;&gt;"Abierto","",IF(AB598="","Sin siguiente acción",IF(AB598&lt;TODAY(),"Vencido",IF(AB598=TODAY(),"Hoy","En tiempo"))))</f>
        <v/>
      </c>
      <c r="AH598" s="11" t="str">
        <f>IF(OR(B598="",V598=""),"",V598-B598)</f>
        <v/>
      </c>
      <c r="AI598" s="16" t="str">
        <f>IF(P598="","",P598-WEEKDAY(P598,3))</f>
        <v/>
      </c>
      <c r="AJ598" s="23" t="str">
        <f>IF(P598="","",DATE(YEAR(P598),MONTH(P598),1))</f>
        <v/>
      </c>
    </row>
    <row r="599">
      <c r="A599" s="21"/>
      <c r="B599" s="14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14"/>
      <c r="Q599" s="21"/>
      <c r="R599" s="21"/>
      <c r="S599" s="21"/>
      <c r="T599" s="21"/>
      <c r="U599" s="21"/>
      <c r="V599" s="14"/>
      <c r="W599" s="22"/>
      <c r="X599" s="14"/>
      <c r="Y599" s="11" t="str">
        <f>IF(V599="","",IF(X599&lt;&gt;"",IF(X599-V599&lt;30,"No","Sí"),IF(TODAY()-V599&gt;=30,"Sí","En curso")))</f>
        <v/>
      </c>
      <c r="Z599" s="14"/>
      <c r="AA599" s="21"/>
      <c r="AB599" s="14"/>
      <c r="AC599" s="21"/>
      <c r="AD599" s="21"/>
      <c r="AE599" s="7"/>
      <c r="AF599" s="11" t="str">
        <f>IF(OR(AC599&lt;&gt;"Abierto",Z599=""),"",TODAY()-Z599)</f>
        <v/>
      </c>
      <c r="AG599" s="11" t="str">
        <f>IF(AC599&lt;&gt;"Abierto","",IF(AB599="","Sin siguiente acción",IF(AB599&lt;TODAY(),"Vencido",IF(AB599=TODAY(),"Hoy","En tiempo"))))</f>
        <v/>
      </c>
      <c r="AH599" s="11" t="str">
        <f>IF(OR(B599="",V599=""),"",V599-B599)</f>
        <v/>
      </c>
      <c r="AI599" s="16" t="str">
        <f>IF(P599="","",P599-WEEKDAY(P599,3))</f>
        <v/>
      </c>
      <c r="AJ599" s="23" t="str">
        <f>IF(P599="","",DATE(YEAR(P599),MONTH(P599),1))</f>
        <v/>
      </c>
    </row>
    <row r="600">
      <c r="A600" s="21"/>
      <c r="B600" s="14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14"/>
      <c r="Q600" s="21"/>
      <c r="R600" s="21"/>
      <c r="S600" s="21"/>
      <c r="T600" s="21"/>
      <c r="U600" s="21"/>
      <c r="V600" s="14"/>
      <c r="W600" s="22"/>
      <c r="X600" s="14"/>
      <c r="Y600" s="11" t="str">
        <f>IF(V600="","",IF(X600&lt;&gt;"",IF(X600-V600&lt;30,"No","Sí"),IF(TODAY()-V600&gt;=30,"Sí","En curso")))</f>
        <v/>
      </c>
      <c r="Z600" s="14"/>
      <c r="AA600" s="21"/>
      <c r="AB600" s="14"/>
      <c r="AC600" s="21"/>
      <c r="AD600" s="21"/>
      <c r="AE600" s="7"/>
      <c r="AF600" s="11" t="str">
        <f>IF(OR(AC600&lt;&gt;"Abierto",Z600=""),"",TODAY()-Z600)</f>
        <v/>
      </c>
      <c r="AG600" s="11" t="str">
        <f>IF(AC600&lt;&gt;"Abierto","",IF(AB600="","Sin siguiente acción",IF(AB600&lt;TODAY(),"Vencido",IF(AB600=TODAY(),"Hoy","En tiempo"))))</f>
        <v/>
      </c>
      <c r="AH600" s="11" t="str">
        <f>IF(OR(B600="",V600=""),"",V600-B600)</f>
        <v/>
      </c>
      <c r="AI600" s="16" t="str">
        <f>IF(P600="","",P600-WEEKDAY(P600,3))</f>
        <v/>
      </c>
      <c r="AJ600" s="23" t="str">
        <f>IF(P600="","",DATE(YEAR(P600),MONTH(P600),1))</f>
        <v/>
      </c>
    </row>
    <row r="601">
      <c r="A601" s="21"/>
      <c r="B601" s="14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14"/>
      <c r="Q601" s="21"/>
      <c r="R601" s="21"/>
      <c r="S601" s="21"/>
      <c r="T601" s="21"/>
      <c r="U601" s="21"/>
      <c r="V601" s="14"/>
      <c r="W601" s="22"/>
      <c r="X601" s="14"/>
      <c r="Y601" s="11" t="str">
        <f>IF(V601="","",IF(X601&lt;&gt;"",IF(X601-V601&lt;30,"No","Sí"),IF(TODAY()-V601&gt;=30,"Sí","En curso")))</f>
        <v/>
      </c>
      <c r="Z601" s="14"/>
      <c r="AA601" s="21"/>
      <c r="AB601" s="14"/>
      <c r="AC601" s="21"/>
      <c r="AD601" s="21"/>
      <c r="AE601" s="7"/>
      <c r="AF601" s="11" t="str">
        <f>IF(OR(AC601&lt;&gt;"Abierto",Z601=""),"",TODAY()-Z601)</f>
        <v/>
      </c>
      <c r="AG601" s="11" t="str">
        <f>IF(AC601&lt;&gt;"Abierto","",IF(AB601="","Sin siguiente acción",IF(AB601&lt;TODAY(),"Vencido",IF(AB601=TODAY(),"Hoy","En tiempo"))))</f>
        <v/>
      </c>
      <c r="AH601" s="11" t="str">
        <f>IF(OR(B601="",V601=""),"",V601-B601)</f>
        <v/>
      </c>
      <c r="AI601" s="16" t="str">
        <f>IF(P601="","",P601-WEEKDAY(P601,3))</f>
        <v/>
      </c>
      <c r="AJ601" s="23" t="str">
        <f>IF(P601="","",DATE(YEAR(P601),MONTH(P601),1))</f>
        <v/>
      </c>
    </row>
    <row r="602">
      <c r="A602" s="21"/>
      <c r="B602" s="14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14"/>
      <c r="Q602" s="21"/>
      <c r="R602" s="21"/>
      <c r="S602" s="21"/>
      <c r="T602" s="21"/>
      <c r="U602" s="21"/>
      <c r="V602" s="14"/>
      <c r="W602" s="22"/>
      <c r="X602" s="14"/>
      <c r="Y602" s="11" t="str">
        <f>IF(V602="","",IF(X602&lt;&gt;"",IF(X602-V602&lt;30,"No","Sí"),IF(TODAY()-V602&gt;=30,"Sí","En curso")))</f>
        <v/>
      </c>
      <c r="Z602" s="14"/>
      <c r="AA602" s="21"/>
      <c r="AB602" s="14"/>
      <c r="AC602" s="21"/>
      <c r="AD602" s="21"/>
      <c r="AE602" s="7"/>
      <c r="AF602" s="11" t="str">
        <f>IF(OR(AC602&lt;&gt;"Abierto",Z602=""),"",TODAY()-Z602)</f>
        <v/>
      </c>
      <c r="AG602" s="11" t="str">
        <f>IF(AC602&lt;&gt;"Abierto","",IF(AB602="","Sin siguiente acción",IF(AB602&lt;TODAY(),"Vencido",IF(AB602=TODAY(),"Hoy","En tiempo"))))</f>
        <v/>
      </c>
      <c r="AH602" s="11" t="str">
        <f>IF(OR(B602="",V602=""),"",V602-B602)</f>
        <v/>
      </c>
      <c r="AI602" s="16" t="str">
        <f>IF(P602="","",P602-WEEKDAY(P602,3))</f>
        <v/>
      </c>
      <c r="AJ602" s="23" t="str">
        <f>IF(P602="","",DATE(YEAR(P602),MONTH(P602),1))</f>
        <v/>
      </c>
    </row>
    <row r="603">
      <c r="A603" s="21"/>
      <c r="B603" s="14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14"/>
      <c r="Q603" s="21"/>
      <c r="R603" s="21"/>
      <c r="S603" s="21"/>
      <c r="T603" s="21"/>
      <c r="U603" s="21"/>
      <c r="V603" s="14"/>
      <c r="W603" s="22"/>
      <c r="X603" s="14"/>
      <c r="Y603" s="11" t="str">
        <f>IF(V603="","",IF(X603&lt;&gt;"",IF(X603-V603&lt;30,"No","Sí"),IF(TODAY()-V603&gt;=30,"Sí","En curso")))</f>
        <v/>
      </c>
      <c r="Z603" s="14"/>
      <c r="AA603" s="21"/>
      <c r="AB603" s="14"/>
      <c r="AC603" s="21"/>
      <c r="AD603" s="21"/>
      <c r="AE603" s="7"/>
      <c r="AF603" s="11" t="str">
        <f>IF(OR(AC603&lt;&gt;"Abierto",Z603=""),"",TODAY()-Z603)</f>
        <v/>
      </c>
      <c r="AG603" s="11" t="str">
        <f>IF(AC603&lt;&gt;"Abierto","",IF(AB603="","Sin siguiente acción",IF(AB603&lt;TODAY(),"Vencido",IF(AB603=TODAY(),"Hoy","En tiempo"))))</f>
        <v/>
      </c>
      <c r="AH603" s="11" t="str">
        <f>IF(OR(B603="",V603=""),"",V603-B603)</f>
        <v/>
      </c>
      <c r="AI603" s="16" t="str">
        <f>IF(P603="","",P603-WEEKDAY(P603,3))</f>
        <v/>
      </c>
      <c r="AJ603" s="23" t="str">
        <f>IF(P603="","",DATE(YEAR(P603),MONTH(P603),1))</f>
        <v/>
      </c>
    </row>
    <row r="604">
      <c r="A604" s="21"/>
      <c r="B604" s="14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14"/>
      <c r="Q604" s="21"/>
      <c r="R604" s="21"/>
      <c r="S604" s="21"/>
      <c r="T604" s="21"/>
      <c r="U604" s="21"/>
      <c r="V604" s="14"/>
      <c r="W604" s="22"/>
      <c r="X604" s="14"/>
      <c r="Y604" s="11" t="str">
        <f>IF(V604="","",IF(X604&lt;&gt;"",IF(X604-V604&lt;30,"No","Sí"),IF(TODAY()-V604&gt;=30,"Sí","En curso")))</f>
        <v/>
      </c>
      <c r="Z604" s="14"/>
      <c r="AA604" s="21"/>
      <c r="AB604" s="14"/>
      <c r="AC604" s="21"/>
      <c r="AD604" s="21"/>
      <c r="AE604" s="7"/>
      <c r="AF604" s="11" t="str">
        <f>IF(OR(AC604&lt;&gt;"Abierto",Z604=""),"",TODAY()-Z604)</f>
        <v/>
      </c>
      <c r="AG604" s="11" t="str">
        <f>IF(AC604&lt;&gt;"Abierto","",IF(AB604="","Sin siguiente acción",IF(AB604&lt;TODAY(),"Vencido",IF(AB604=TODAY(),"Hoy","En tiempo"))))</f>
        <v/>
      </c>
      <c r="AH604" s="11" t="str">
        <f>IF(OR(B604="",V604=""),"",V604-B604)</f>
        <v/>
      </c>
      <c r="AI604" s="16" t="str">
        <f>IF(P604="","",P604-WEEKDAY(P604,3))</f>
        <v/>
      </c>
      <c r="AJ604" s="23" t="str">
        <f>IF(P604="","",DATE(YEAR(P604),MONTH(P604),1))</f>
        <v/>
      </c>
    </row>
    <row r="605">
      <c r="A605" s="21"/>
      <c r="B605" s="14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14"/>
      <c r="Q605" s="21"/>
      <c r="R605" s="21"/>
      <c r="S605" s="21"/>
      <c r="T605" s="21"/>
      <c r="U605" s="21"/>
      <c r="V605" s="14"/>
      <c r="W605" s="22"/>
      <c r="X605" s="14"/>
      <c r="Y605" s="11" t="str">
        <f>IF(V605="","",IF(X605&lt;&gt;"",IF(X605-V605&lt;30,"No","Sí"),IF(TODAY()-V605&gt;=30,"Sí","En curso")))</f>
        <v/>
      </c>
      <c r="Z605" s="14"/>
      <c r="AA605" s="21"/>
      <c r="AB605" s="14"/>
      <c r="AC605" s="21"/>
      <c r="AD605" s="21"/>
      <c r="AE605" s="7"/>
      <c r="AF605" s="11" t="str">
        <f>IF(OR(AC605&lt;&gt;"Abierto",Z605=""),"",TODAY()-Z605)</f>
        <v/>
      </c>
      <c r="AG605" s="11" t="str">
        <f>IF(AC605&lt;&gt;"Abierto","",IF(AB605="","Sin siguiente acción",IF(AB605&lt;TODAY(),"Vencido",IF(AB605=TODAY(),"Hoy","En tiempo"))))</f>
        <v/>
      </c>
      <c r="AH605" s="11" t="str">
        <f>IF(OR(B605="",V605=""),"",V605-B605)</f>
        <v/>
      </c>
      <c r="AI605" s="16" t="str">
        <f>IF(P605="","",P605-WEEKDAY(P605,3))</f>
        <v/>
      </c>
      <c r="AJ605" s="23" t="str">
        <f>IF(P605="","",DATE(YEAR(P605),MONTH(P605),1))</f>
        <v/>
      </c>
    </row>
    <row r="606">
      <c r="A606" s="21"/>
      <c r="B606" s="14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14"/>
      <c r="Q606" s="21"/>
      <c r="R606" s="21"/>
      <c r="S606" s="21"/>
      <c r="T606" s="21"/>
      <c r="U606" s="21"/>
      <c r="V606" s="14"/>
      <c r="W606" s="22"/>
      <c r="X606" s="14"/>
      <c r="Y606" s="11" t="str">
        <f>IF(V606="","",IF(X606&lt;&gt;"",IF(X606-V606&lt;30,"No","Sí"),IF(TODAY()-V606&gt;=30,"Sí","En curso")))</f>
        <v/>
      </c>
      <c r="Z606" s="14"/>
      <c r="AA606" s="21"/>
      <c r="AB606" s="14"/>
      <c r="AC606" s="21"/>
      <c r="AD606" s="21"/>
      <c r="AE606" s="7"/>
      <c r="AF606" s="11" t="str">
        <f>IF(OR(AC606&lt;&gt;"Abierto",Z606=""),"",TODAY()-Z606)</f>
        <v/>
      </c>
      <c r="AG606" s="11" t="str">
        <f>IF(AC606&lt;&gt;"Abierto","",IF(AB606="","Sin siguiente acción",IF(AB606&lt;TODAY(),"Vencido",IF(AB606=TODAY(),"Hoy","En tiempo"))))</f>
        <v/>
      </c>
      <c r="AH606" s="11" t="str">
        <f>IF(OR(B606="",V606=""),"",V606-B606)</f>
        <v/>
      </c>
      <c r="AI606" s="16" t="str">
        <f>IF(P606="","",P606-WEEKDAY(P606,3))</f>
        <v/>
      </c>
      <c r="AJ606" s="23" t="str">
        <f>IF(P606="","",DATE(YEAR(P606),MONTH(P606),1))</f>
        <v/>
      </c>
    </row>
    <row r="607">
      <c r="A607" s="21"/>
      <c r="B607" s="14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14"/>
      <c r="Q607" s="21"/>
      <c r="R607" s="21"/>
      <c r="S607" s="21"/>
      <c r="T607" s="21"/>
      <c r="U607" s="21"/>
      <c r="V607" s="14"/>
      <c r="W607" s="22"/>
      <c r="X607" s="14"/>
      <c r="Y607" s="11" t="str">
        <f>IF(V607="","",IF(X607&lt;&gt;"",IF(X607-V607&lt;30,"No","Sí"),IF(TODAY()-V607&gt;=30,"Sí","En curso")))</f>
        <v/>
      </c>
      <c r="Z607" s="14"/>
      <c r="AA607" s="21"/>
      <c r="AB607" s="14"/>
      <c r="AC607" s="21"/>
      <c r="AD607" s="21"/>
      <c r="AE607" s="7"/>
      <c r="AF607" s="11" t="str">
        <f>IF(OR(AC607&lt;&gt;"Abierto",Z607=""),"",TODAY()-Z607)</f>
        <v/>
      </c>
      <c r="AG607" s="11" t="str">
        <f>IF(AC607&lt;&gt;"Abierto","",IF(AB607="","Sin siguiente acción",IF(AB607&lt;TODAY(),"Vencido",IF(AB607=TODAY(),"Hoy","En tiempo"))))</f>
        <v/>
      </c>
      <c r="AH607" s="11" t="str">
        <f>IF(OR(B607="",V607=""),"",V607-B607)</f>
        <v/>
      </c>
      <c r="AI607" s="16" t="str">
        <f>IF(P607="","",P607-WEEKDAY(P607,3))</f>
        <v/>
      </c>
      <c r="AJ607" s="23" t="str">
        <f>IF(P607="","",DATE(YEAR(P607),MONTH(P607),1))</f>
        <v/>
      </c>
    </row>
    <row r="608">
      <c r="A608" s="21"/>
      <c r="B608" s="14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14"/>
      <c r="Q608" s="21"/>
      <c r="R608" s="21"/>
      <c r="S608" s="21"/>
      <c r="T608" s="21"/>
      <c r="U608" s="21"/>
      <c r="V608" s="14"/>
      <c r="W608" s="22"/>
      <c r="X608" s="14"/>
      <c r="Y608" s="11" t="str">
        <f>IF(V608="","",IF(X608&lt;&gt;"",IF(X608-V608&lt;30,"No","Sí"),IF(TODAY()-V608&gt;=30,"Sí","En curso")))</f>
        <v/>
      </c>
      <c r="Z608" s="14"/>
      <c r="AA608" s="21"/>
      <c r="AB608" s="14"/>
      <c r="AC608" s="21"/>
      <c r="AD608" s="21"/>
      <c r="AE608" s="7"/>
      <c r="AF608" s="11" t="str">
        <f>IF(OR(AC608&lt;&gt;"Abierto",Z608=""),"",TODAY()-Z608)</f>
        <v/>
      </c>
      <c r="AG608" s="11" t="str">
        <f>IF(AC608&lt;&gt;"Abierto","",IF(AB608="","Sin siguiente acción",IF(AB608&lt;TODAY(),"Vencido",IF(AB608=TODAY(),"Hoy","En tiempo"))))</f>
        <v/>
      </c>
      <c r="AH608" s="11" t="str">
        <f>IF(OR(B608="",V608=""),"",V608-B608)</f>
        <v/>
      </c>
      <c r="AI608" s="16" t="str">
        <f>IF(P608="","",P608-WEEKDAY(P608,3))</f>
        <v/>
      </c>
      <c r="AJ608" s="23" t="str">
        <f>IF(P608="","",DATE(YEAR(P608),MONTH(P608),1))</f>
        <v/>
      </c>
    </row>
    <row r="609">
      <c r="A609" s="21"/>
      <c r="B609" s="14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14"/>
      <c r="Q609" s="21"/>
      <c r="R609" s="21"/>
      <c r="S609" s="21"/>
      <c r="T609" s="21"/>
      <c r="U609" s="21"/>
      <c r="V609" s="14"/>
      <c r="W609" s="22"/>
      <c r="X609" s="14"/>
      <c r="Y609" s="11" t="str">
        <f>IF(V609="","",IF(X609&lt;&gt;"",IF(X609-V609&lt;30,"No","Sí"),IF(TODAY()-V609&gt;=30,"Sí","En curso")))</f>
        <v/>
      </c>
      <c r="Z609" s="14"/>
      <c r="AA609" s="21"/>
      <c r="AB609" s="14"/>
      <c r="AC609" s="21"/>
      <c r="AD609" s="21"/>
      <c r="AE609" s="7"/>
      <c r="AF609" s="11" t="str">
        <f>IF(OR(AC609&lt;&gt;"Abierto",Z609=""),"",TODAY()-Z609)</f>
        <v/>
      </c>
      <c r="AG609" s="11" t="str">
        <f>IF(AC609&lt;&gt;"Abierto","",IF(AB609="","Sin siguiente acción",IF(AB609&lt;TODAY(),"Vencido",IF(AB609=TODAY(),"Hoy","En tiempo"))))</f>
        <v/>
      </c>
      <c r="AH609" s="11" t="str">
        <f>IF(OR(B609="",V609=""),"",V609-B609)</f>
        <v/>
      </c>
      <c r="AI609" s="16" t="str">
        <f>IF(P609="","",P609-WEEKDAY(P609,3))</f>
        <v/>
      </c>
      <c r="AJ609" s="23" t="str">
        <f>IF(P609="","",DATE(YEAR(P609),MONTH(P609),1))</f>
        <v/>
      </c>
    </row>
    <row r="610">
      <c r="A610" s="21"/>
      <c r="B610" s="14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14"/>
      <c r="Q610" s="21"/>
      <c r="R610" s="21"/>
      <c r="S610" s="21"/>
      <c r="T610" s="21"/>
      <c r="U610" s="21"/>
      <c r="V610" s="14"/>
      <c r="W610" s="22"/>
      <c r="X610" s="14"/>
      <c r="Y610" s="11" t="str">
        <f>IF(V610="","",IF(X610&lt;&gt;"",IF(X610-V610&lt;30,"No","Sí"),IF(TODAY()-V610&gt;=30,"Sí","En curso")))</f>
        <v/>
      </c>
      <c r="Z610" s="14"/>
      <c r="AA610" s="21"/>
      <c r="AB610" s="14"/>
      <c r="AC610" s="21"/>
      <c r="AD610" s="21"/>
      <c r="AE610" s="7"/>
      <c r="AF610" s="11" t="str">
        <f>IF(OR(AC610&lt;&gt;"Abierto",Z610=""),"",TODAY()-Z610)</f>
        <v/>
      </c>
      <c r="AG610" s="11" t="str">
        <f>IF(AC610&lt;&gt;"Abierto","",IF(AB610="","Sin siguiente acción",IF(AB610&lt;TODAY(),"Vencido",IF(AB610=TODAY(),"Hoy","En tiempo"))))</f>
        <v/>
      </c>
      <c r="AH610" s="11" t="str">
        <f>IF(OR(B610="",V610=""),"",V610-B610)</f>
        <v/>
      </c>
      <c r="AI610" s="16" t="str">
        <f>IF(P610="","",P610-WEEKDAY(P610,3))</f>
        <v/>
      </c>
      <c r="AJ610" s="23" t="str">
        <f>IF(P610="","",DATE(YEAR(P610),MONTH(P610),1))</f>
        <v/>
      </c>
    </row>
    <row r="611">
      <c r="A611" s="21"/>
      <c r="B611" s="14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14"/>
      <c r="Q611" s="21"/>
      <c r="R611" s="21"/>
      <c r="S611" s="21"/>
      <c r="T611" s="21"/>
      <c r="U611" s="21"/>
      <c r="V611" s="14"/>
      <c r="W611" s="22"/>
      <c r="X611" s="14"/>
      <c r="Y611" s="11" t="str">
        <f>IF(V611="","",IF(X611&lt;&gt;"",IF(X611-V611&lt;30,"No","Sí"),IF(TODAY()-V611&gt;=30,"Sí","En curso")))</f>
        <v/>
      </c>
      <c r="Z611" s="14"/>
      <c r="AA611" s="21"/>
      <c r="AB611" s="14"/>
      <c r="AC611" s="21"/>
      <c r="AD611" s="21"/>
      <c r="AE611" s="7"/>
      <c r="AF611" s="11" t="str">
        <f>IF(OR(AC611&lt;&gt;"Abierto",Z611=""),"",TODAY()-Z611)</f>
        <v/>
      </c>
      <c r="AG611" s="11" t="str">
        <f>IF(AC611&lt;&gt;"Abierto","",IF(AB611="","Sin siguiente acción",IF(AB611&lt;TODAY(),"Vencido",IF(AB611=TODAY(),"Hoy","En tiempo"))))</f>
        <v/>
      </c>
      <c r="AH611" s="11" t="str">
        <f>IF(OR(B611="",V611=""),"",V611-B611)</f>
        <v/>
      </c>
      <c r="AI611" s="16" t="str">
        <f>IF(P611="","",P611-WEEKDAY(P611,3))</f>
        <v/>
      </c>
      <c r="AJ611" s="23" t="str">
        <f>IF(P611="","",DATE(YEAR(P611),MONTH(P611),1))</f>
        <v/>
      </c>
    </row>
    <row r="612">
      <c r="A612" s="21"/>
      <c r="B612" s="14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14"/>
      <c r="Q612" s="21"/>
      <c r="R612" s="21"/>
      <c r="S612" s="21"/>
      <c r="T612" s="21"/>
      <c r="U612" s="21"/>
      <c r="V612" s="14"/>
      <c r="W612" s="22"/>
      <c r="X612" s="14"/>
      <c r="Y612" s="11" t="str">
        <f>IF(V612="","",IF(X612&lt;&gt;"",IF(X612-V612&lt;30,"No","Sí"),IF(TODAY()-V612&gt;=30,"Sí","En curso")))</f>
        <v/>
      </c>
      <c r="Z612" s="14"/>
      <c r="AA612" s="21"/>
      <c r="AB612" s="14"/>
      <c r="AC612" s="21"/>
      <c r="AD612" s="21"/>
      <c r="AE612" s="7"/>
      <c r="AF612" s="11" t="str">
        <f>IF(OR(AC612&lt;&gt;"Abierto",Z612=""),"",TODAY()-Z612)</f>
        <v/>
      </c>
      <c r="AG612" s="11" t="str">
        <f>IF(AC612&lt;&gt;"Abierto","",IF(AB612="","Sin siguiente acción",IF(AB612&lt;TODAY(),"Vencido",IF(AB612=TODAY(),"Hoy","En tiempo"))))</f>
        <v/>
      </c>
      <c r="AH612" s="11" t="str">
        <f>IF(OR(B612="",V612=""),"",V612-B612)</f>
        <v/>
      </c>
      <c r="AI612" s="16" t="str">
        <f>IF(P612="","",P612-WEEKDAY(P612,3))</f>
        <v/>
      </c>
      <c r="AJ612" s="23" t="str">
        <f>IF(P612="","",DATE(YEAR(P612),MONTH(P612),1))</f>
        <v/>
      </c>
    </row>
    <row r="613">
      <c r="A613" s="21"/>
      <c r="B613" s="14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14"/>
      <c r="Q613" s="21"/>
      <c r="R613" s="21"/>
      <c r="S613" s="21"/>
      <c r="T613" s="21"/>
      <c r="U613" s="21"/>
      <c r="V613" s="14"/>
      <c r="W613" s="22"/>
      <c r="X613" s="14"/>
      <c r="Y613" s="11" t="str">
        <f>IF(V613="","",IF(X613&lt;&gt;"",IF(X613-V613&lt;30,"No","Sí"),IF(TODAY()-V613&gt;=30,"Sí","En curso")))</f>
        <v/>
      </c>
      <c r="Z613" s="14"/>
      <c r="AA613" s="21"/>
      <c r="AB613" s="14"/>
      <c r="AC613" s="21"/>
      <c r="AD613" s="21"/>
      <c r="AE613" s="7"/>
      <c r="AF613" s="11" t="str">
        <f>IF(OR(AC613&lt;&gt;"Abierto",Z613=""),"",TODAY()-Z613)</f>
        <v/>
      </c>
      <c r="AG613" s="11" t="str">
        <f>IF(AC613&lt;&gt;"Abierto","",IF(AB613="","Sin siguiente acción",IF(AB613&lt;TODAY(),"Vencido",IF(AB613=TODAY(),"Hoy","En tiempo"))))</f>
        <v/>
      </c>
      <c r="AH613" s="11" t="str">
        <f>IF(OR(B613="",V613=""),"",V613-B613)</f>
        <v/>
      </c>
      <c r="AI613" s="16" t="str">
        <f>IF(P613="","",P613-WEEKDAY(P613,3))</f>
        <v/>
      </c>
      <c r="AJ613" s="23" t="str">
        <f>IF(P613="","",DATE(YEAR(P613),MONTH(P613),1))</f>
        <v/>
      </c>
    </row>
    <row r="614">
      <c r="A614" s="21"/>
      <c r="B614" s="14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14"/>
      <c r="Q614" s="21"/>
      <c r="R614" s="21"/>
      <c r="S614" s="21"/>
      <c r="T614" s="21"/>
      <c r="U614" s="21"/>
      <c r="V614" s="14"/>
      <c r="W614" s="22"/>
      <c r="X614" s="14"/>
      <c r="Y614" s="11" t="str">
        <f>IF(V614="","",IF(X614&lt;&gt;"",IF(X614-V614&lt;30,"No","Sí"),IF(TODAY()-V614&gt;=30,"Sí","En curso")))</f>
        <v/>
      </c>
      <c r="Z614" s="14"/>
      <c r="AA614" s="21"/>
      <c r="AB614" s="14"/>
      <c r="AC614" s="21"/>
      <c r="AD614" s="21"/>
      <c r="AE614" s="7"/>
      <c r="AF614" s="11" t="str">
        <f>IF(OR(AC614&lt;&gt;"Abierto",Z614=""),"",TODAY()-Z614)</f>
        <v/>
      </c>
      <c r="AG614" s="11" t="str">
        <f>IF(AC614&lt;&gt;"Abierto","",IF(AB614="","Sin siguiente acción",IF(AB614&lt;TODAY(),"Vencido",IF(AB614=TODAY(),"Hoy","En tiempo"))))</f>
        <v/>
      </c>
      <c r="AH614" s="11" t="str">
        <f>IF(OR(B614="",V614=""),"",V614-B614)</f>
        <v/>
      </c>
      <c r="AI614" s="16" t="str">
        <f>IF(P614="","",P614-WEEKDAY(P614,3))</f>
        <v/>
      </c>
      <c r="AJ614" s="23" t="str">
        <f>IF(P614="","",DATE(YEAR(P614),MONTH(P614),1))</f>
        <v/>
      </c>
    </row>
    <row r="615">
      <c r="A615" s="21"/>
      <c r="B615" s="14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14"/>
      <c r="Q615" s="21"/>
      <c r="R615" s="21"/>
      <c r="S615" s="21"/>
      <c r="T615" s="21"/>
      <c r="U615" s="21"/>
      <c r="V615" s="14"/>
      <c r="W615" s="22"/>
      <c r="X615" s="14"/>
      <c r="Y615" s="11" t="str">
        <f>IF(V615="","",IF(X615&lt;&gt;"",IF(X615-V615&lt;30,"No","Sí"),IF(TODAY()-V615&gt;=30,"Sí","En curso")))</f>
        <v/>
      </c>
      <c r="Z615" s="14"/>
      <c r="AA615" s="21"/>
      <c r="AB615" s="14"/>
      <c r="AC615" s="21"/>
      <c r="AD615" s="21"/>
      <c r="AE615" s="7"/>
      <c r="AF615" s="11" t="str">
        <f>IF(OR(AC615&lt;&gt;"Abierto",Z615=""),"",TODAY()-Z615)</f>
        <v/>
      </c>
      <c r="AG615" s="11" t="str">
        <f>IF(AC615&lt;&gt;"Abierto","",IF(AB615="","Sin siguiente acción",IF(AB615&lt;TODAY(),"Vencido",IF(AB615=TODAY(),"Hoy","En tiempo"))))</f>
        <v/>
      </c>
      <c r="AH615" s="11" t="str">
        <f>IF(OR(B615="",V615=""),"",V615-B615)</f>
        <v/>
      </c>
      <c r="AI615" s="16" t="str">
        <f>IF(P615="","",P615-WEEKDAY(P615,3))</f>
        <v/>
      </c>
      <c r="AJ615" s="23" t="str">
        <f>IF(P615="","",DATE(YEAR(P615),MONTH(P615),1))</f>
        <v/>
      </c>
    </row>
    <row r="616">
      <c r="A616" s="21"/>
      <c r="B616" s="14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14"/>
      <c r="Q616" s="21"/>
      <c r="R616" s="21"/>
      <c r="S616" s="21"/>
      <c r="T616" s="21"/>
      <c r="U616" s="21"/>
      <c r="V616" s="14"/>
      <c r="W616" s="22"/>
      <c r="X616" s="14"/>
      <c r="Y616" s="11" t="str">
        <f>IF(V616="","",IF(X616&lt;&gt;"",IF(X616-V616&lt;30,"No","Sí"),IF(TODAY()-V616&gt;=30,"Sí","En curso")))</f>
        <v/>
      </c>
      <c r="Z616" s="14"/>
      <c r="AA616" s="21"/>
      <c r="AB616" s="14"/>
      <c r="AC616" s="21"/>
      <c r="AD616" s="21"/>
      <c r="AE616" s="7"/>
      <c r="AF616" s="11" t="str">
        <f>IF(OR(AC616&lt;&gt;"Abierto",Z616=""),"",TODAY()-Z616)</f>
        <v/>
      </c>
      <c r="AG616" s="11" t="str">
        <f>IF(AC616&lt;&gt;"Abierto","",IF(AB616="","Sin siguiente acción",IF(AB616&lt;TODAY(),"Vencido",IF(AB616=TODAY(),"Hoy","En tiempo"))))</f>
        <v/>
      </c>
      <c r="AH616" s="11" t="str">
        <f>IF(OR(B616="",V616=""),"",V616-B616)</f>
        <v/>
      </c>
      <c r="AI616" s="16" t="str">
        <f>IF(P616="","",P616-WEEKDAY(P616,3))</f>
        <v/>
      </c>
      <c r="AJ616" s="23" t="str">
        <f>IF(P616="","",DATE(YEAR(P616),MONTH(P616),1))</f>
        <v/>
      </c>
    </row>
    <row r="617">
      <c r="A617" s="21"/>
      <c r="B617" s="14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14"/>
      <c r="Q617" s="21"/>
      <c r="R617" s="21"/>
      <c r="S617" s="21"/>
      <c r="T617" s="21"/>
      <c r="U617" s="21"/>
      <c r="V617" s="14"/>
      <c r="W617" s="22"/>
      <c r="X617" s="14"/>
      <c r="Y617" s="11" t="str">
        <f>IF(V617="","",IF(X617&lt;&gt;"",IF(X617-V617&lt;30,"No","Sí"),IF(TODAY()-V617&gt;=30,"Sí","En curso")))</f>
        <v/>
      </c>
      <c r="Z617" s="14"/>
      <c r="AA617" s="21"/>
      <c r="AB617" s="14"/>
      <c r="AC617" s="21"/>
      <c r="AD617" s="21"/>
      <c r="AE617" s="7"/>
      <c r="AF617" s="11" t="str">
        <f>IF(OR(AC617&lt;&gt;"Abierto",Z617=""),"",TODAY()-Z617)</f>
        <v/>
      </c>
      <c r="AG617" s="11" t="str">
        <f>IF(AC617&lt;&gt;"Abierto","",IF(AB617="","Sin siguiente acción",IF(AB617&lt;TODAY(),"Vencido",IF(AB617=TODAY(),"Hoy","En tiempo"))))</f>
        <v/>
      </c>
      <c r="AH617" s="11" t="str">
        <f>IF(OR(B617="",V617=""),"",V617-B617)</f>
        <v/>
      </c>
      <c r="AI617" s="16" t="str">
        <f>IF(P617="","",P617-WEEKDAY(P617,3))</f>
        <v/>
      </c>
      <c r="AJ617" s="23" t="str">
        <f>IF(P617="","",DATE(YEAR(P617),MONTH(P617),1))</f>
        <v/>
      </c>
    </row>
    <row r="618">
      <c r="A618" s="21"/>
      <c r="B618" s="14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14"/>
      <c r="Q618" s="21"/>
      <c r="R618" s="21"/>
      <c r="S618" s="21"/>
      <c r="T618" s="21"/>
      <c r="U618" s="21"/>
      <c r="V618" s="14"/>
      <c r="W618" s="22"/>
      <c r="X618" s="14"/>
      <c r="Y618" s="11" t="str">
        <f>IF(V618="","",IF(X618&lt;&gt;"",IF(X618-V618&lt;30,"No","Sí"),IF(TODAY()-V618&gt;=30,"Sí","En curso")))</f>
        <v/>
      </c>
      <c r="Z618" s="14"/>
      <c r="AA618" s="21"/>
      <c r="AB618" s="14"/>
      <c r="AC618" s="21"/>
      <c r="AD618" s="21"/>
      <c r="AE618" s="7"/>
      <c r="AF618" s="11" t="str">
        <f>IF(OR(AC618&lt;&gt;"Abierto",Z618=""),"",TODAY()-Z618)</f>
        <v/>
      </c>
      <c r="AG618" s="11" t="str">
        <f>IF(AC618&lt;&gt;"Abierto","",IF(AB618="","Sin siguiente acción",IF(AB618&lt;TODAY(),"Vencido",IF(AB618=TODAY(),"Hoy","En tiempo"))))</f>
        <v/>
      </c>
      <c r="AH618" s="11" t="str">
        <f>IF(OR(B618="",V618=""),"",V618-B618)</f>
        <v/>
      </c>
      <c r="AI618" s="16" t="str">
        <f>IF(P618="","",P618-WEEKDAY(P618,3))</f>
        <v/>
      </c>
      <c r="AJ618" s="23" t="str">
        <f>IF(P618="","",DATE(YEAR(P618),MONTH(P618),1))</f>
        <v/>
      </c>
    </row>
    <row r="619">
      <c r="A619" s="21"/>
      <c r="B619" s="14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14"/>
      <c r="Q619" s="21"/>
      <c r="R619" s="21"/>
      <c r="S619" s="21"/>
      <c r="T619" s="21"/>
      <c r="U619" s="21"/>
      <c r="V619" s="14"/>
      <c r="W619" s="22"/>
      <c r="X619" s="14"/>
      <c r="Y619" s="11" t="str">
        <f>IF(V619="","",IF(X619&lt;&gt;"",IF(X619-V619&lt;30,"No","Sí"),IF(TODAY()-V619&gt;=30,"Sí","En curso")))</f>
        <v/>
      </c>
      <c r="Z619" s="14"/>
      <c r="AA619" s="21"/>
      <c r="AB619" s="14"/>
      <c r="AC619" s="21"/>
      <c r="AD619" s="21"/>
      <c r="AE619" s="7"/>
      <c r="AF619" s="11" t="str">
        <f>IF(OR(AC619&lt;&gt;"Abierto",Z619=""),"",TODAY()-Z619)</f>
        <v/>
      </c>
      <c r="AG619" s="11" t="str">
        <f>IF(AC619&lt;&gt;"Abierto","",IF(AB619="","Sin siguiente acción",IF(AB619&lt;TODAY(),"Vencido",IF(AB619=TODAY(),"Hoy","En tiempo"))))</f>
        <v/>
      </c>
      <c r="AH619" s="11" t="str">
        <f>IF(OR(B619="",V619=""),"",V619-B619)</f>
        <v/>
      </c>
      <c r="AI619" s="16" t="str">
        <f>IF(P619="","",P619-WEEKDAY(P619,3))</f>
        <v/>
      </c>
      <c r="AJ619" s="23" t="str">
        <f>IF(P619="","",DATE(YEAR(P619),MONTH(P619),1))</f>
        <v/>
      </c>
    </row>
    <row r="620">
      <c r="A620" s="21"/>
      <c r="B620" s="14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14"/>
      <c r="Q620" s="21"/>
      <c r="R620" s="21"/>
      <c r="S620" s="21"/>
      <c r="T620" s="21"/>
      <c r="U620" s="21"/>
      <c r="V620" s="14"/>
      <c r="W620" s="22"/>
      <c r="X620" s="14"/>
      <c r="Y620" s="11" t="str">
        <f>IF(V620="","",IF(X620&lt;&gt;"",IF(X620-V620&lt;30,"No","Sí"),IF(TODAY()-V620&gt;=30,"Sí","En curso")))</f>
        <v/>
      </c>
      <c r="Z620" s="14"/>
      <c r="AA620" s="21"/>
      <c r="AB620" s="14"/>
      <c r="AC620" s="21"/>
      <c r="AD620" s="21"/>
      <c r="AE620" s="7"/>
      <c r="AF620" s="11" t="str">
        <f>IF(OR(AC620&lt;&gt;"Abierto",Z620=""),"",TODAY()-Z620)</f>
        <v/>
      </c>
      <c r="AG620" s="11" t="str">
        <f>IF(AC620&lt;&gt;"Abierto","",IF(AB620="","Sin siguiente acción",IF(AB620&lt;TODAY(),"Vencido",IF(AB620=TODAY(),"Hoy","En tiempo"))))</f>
        <v/>
      </c>
      <c r="AH620" s="11" t="str">
        <f>IF(OR(B620="",V620=""),"",V620-B620)</f>
        <v/>
      </c>
      <c r="AI620" s="16" t="str">
        <f>IF(P620="","",P620-WEEKDAY(P620,3))</f>
        <v/>
      </c>
      <c r="AJ620" s="23" t="str">
        <f>IF(P620="","",DATE(YEAR(P620),MONTH(P620),1))</f>
        <v/>
      </c>
    </row>
    <row r="621">
      <c r="A621" s="21"/>
      <c r="B621" s="14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14"/>
      <c r="Q621" s="21"/>
      <c r="R621" s="21"/>
      <c r="S621" s="21"/>
      <c r="T621" s="21"/>
      <c r="U621" s="21"/>
      <c r="V621" s="14"/>
      <c r="W621" s="22"/>
      <c r="X621" s="14"/>
      <c r="Y621" s="11" t="str">
        <f>IF(V621="","",IF(X621&lt;&gt;"",IF(X621-V621&lt;30,"No","Sí"),IF(TODAY()-V621&gt;=30,"Sí","En curso")))</f>
        <v/>
      </c>
      <c r="Z621" s="14"/>
      <c r="AA621" s="21"/>
      <c r="AB621" s="14"/>
      <c r="AC621" s="21"/>
      <c r="AD621" s="21"/>
      <c r="AE621" s="7"/>
      <c r="AF621" s="11" t="str">
        <f>IF(OR(AC621&lt;&gt;"Abierto",Z621=""),"",TODAY()-Z621)</f>
        <v/>
      </c>
      <c r="AG621" s="11" t="str">
        <f>IF(AC621&lt;&gt;"Abierto","",IF(AB621="","Sin siguiente acción",IF(AB621&lt;TODAY(),"Vencido",IF(AB621=TODAY(),"Hoy","En tiempo"))))</f>
        <v/>
      </c>
      <c r="AH621" s="11" t="str">
        <f>IF(OR(B621="",V621=""),"",V621-B621)</f>
        <v/>
      </c>
      <c r="AI621" s="16" t="str">
        <f>IF(P621="","",P621-WEEKDAY(P621,3))</f>
        <v/>
      </c>
      <c r="AJ621" s="23" t="str">
        <f>IF(P621="","",DATE(YEAR(P621),MONTH(P621),1))</f>
        <v/>
      </c>
    </row>
    <row r="622">
      <c r="A622" s="21"/>
      <c r="B622" s="14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14"/>
      <c r="Q622" s="21"/>
      <c r="R622" s="21"/>
      <c r="S622" s="21"/>
      <c r="T622" s="21"/>
      <c r="U622" s="21"/>
      <c r="V622" s="14"/>
      <c r="W622" s="22"/>
      <c r="X622" s="14"/>
      <c r="Y622" s="11" t="str">
        <f>IF(V622="","",IF(X622&lt;&gt;"",IF(X622-V622&lt;30,"No","Sí"),IF(TODAY()-V622&gt;=30,"Sí","En curso")))</f>
        <v/>
      </c>
      <c r="Z622" s="14"/>
      <c r="AA622" s="21"/>
      <c r="AB622" s="14"/>
      <c r="AC622" s="21"/>
      <c r="AD622" s="21"/>
      <c r="AE622" s="7"/>
      <c r="AF622" s="11" t="str">
        <f>IF(OR(AC622&lt;&gt;"Abierto",Z622=""),"",TODAY()-Z622)</f>
        <v/>
      </c>
      <c r="AG622" s="11" t="str">
        <f>IF(AC622&lt;&gt;"Abierto","",IF(AB622="","Sin siguiente acción",IF(AB622&lt;TODAY(),"Vencido",IF(AB622=TODAY(),"Hoy","En tiempo"))))</f>
        <v/>
      </c>
      <c r="AH622" s="11" t="str">
        <f>IF(OR(B622="",V622=""),"",V622-B622)</f>
        <v/>
      </c>
      <c r="AI622" s="16" t="str">
        <f>IF(P622="","",P622-WEEKDAY(P622,3))</f>
        <v/>
      </c>
      <c r="AJ622" s="23" t="str">
        <f>IF(P622="","",DATE(YEAR(P622),MONTH(P622),1))</f>
        <v/>
      </c>
    </row>
    <row r="623">
      <c r="A623" s="21"/>
      <c r="B623" s="14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14"/>
      <c r="Q623" s="21"/>
      <c r="R623" s="21"/>
      <c r="S623" s="21"/>
      <c r="T623" s="21"/>
      <c r="U623" s="21"/>
      <c r="V623" s="14"/>
      <c r="W623" s="22"/>
      <c r="X623" s="14"/>
      <c r="Y623" s="11" t="str">
        <f>IF(V623="","",IF(X623&lt;&gt;"",IF(X623-V623&lt;30,"No","Sí"),IF(TODAY()-V623&gt;=30,"Sí","En curso")))</f>
        <v/>
      </c>
      <c r="Z623" s="14"/>
      <c r="AA623" s="21"/>
      <c r="AB623" s="14"/>
      <c r="AC623" s="21"/>
      <c r="AD623" s="21"/>
      <c r="AE623" s="7"/>
      <c r="AF623" s="11" t="str">
        <f>IF(OR(AC623&lt;&gt;"Abierto",Z623=""),"",TODAY()-Z623)</f>
        <v/>
      </c>
      <c r="AG623" s="11" t="str">
        <f>IF(AC623&lt;&gt;"Abierto","",IF(AB623="","Sin siguiente acción",IF(AB623&lt;TODAY(),"Vencido",IF(AB623=TODAY(),"Hoy","En tiempo"))))</f>
        <v/>
      </c>
      <c r="AH623" s="11" t="str">
        <f>IF(OR(B623="",V623=""),"",V623-B623)</f>
        <v/>
      </c>
      <c r="AI623" s="16" t="str">
        <f>IF(P623="","",P623-WEEKDAY(P623,3))</f>
        <v/>
      </c>
      <c r="AJ623" s="23" t="str">
        <f>IF(P623="","",DATE(YEAR(P623),MONTH(P623),1))</f>
        <v/>
      </c>
    </row>
    <row r="624">
      <c r="A624" s="21"/>
      <c r="B624" s="14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14"/>
      <c r="Q624" s="21"/>
      <c r="R624" s="21"/>
      <c r="S624" s="21"/>
      <c r="T624" s="21"/>
      <c r="U624" s="21"/>
      <c r="V624" s="14"/>
      <c r="W624" s="22"/>
      <c r="X624" s="14"/>
      <c r="Y624" s="11" t="str">
        <f>IF(V624="","",IF(X624&lt;&gt;"",IF(X624-V624&lt;30,"No","Sí"),IF(TODAY()-V624&gt;=30,"Sí","En curso")))</f>
        <v/>
      </c>
      <c r="Z624" s="14"/>
      <c r="AA624" s="21"/>
      <c r="AB624" s="14"/>
      <c r="AC624" s="21"/>
      <c r="AD624" s="21"/>
      <c r="AE624" s="7"/>
      <c r="AF624" s="11" t="str">
        <f>IF(OR(AC624&lt;&gt;"Abierto",Z624=""),"",TODAY()-Z624)</f>
        <v/>
      </c>
      <c r="AG624" s="11" t="str">
        <f>IF(AC624&lt;&gt;"Abierto","",IF(AB624="","Sin siguiente acción",IF(AB624&lt;TODAY(),"Vencido",IF(AB624=TODAY(),"Hoy","En tiempo"))))</f>
        <v/>
      </c>
      <c r="AH624" s="11" t="str">
        <f>IF(OR(B624="",V624=""),"",V624-B624)</f>
        <v/>
      </c>
      <c r="AI624" s="16" t="str">
        <f>IF(P624="","",P624-WEEKDAY(P624,3))</f>
        <v/>
      </c>
      <c r="AJ624" s="23" t="str">
        <f>IF(P624="","",DATE(YEAR(P624),MONTH(P624),1))</f>
        <v/>
      </c>
    </row>
    <row r="625">
      <c r="A625" s="21"/>
      <c r="B625" s="14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14"/>
      <c r="Q625" s="21"/>
      <c r="R625" s="21"/>
      <c r="S625" s="21"/>
      <c r="T625" s="21"/>
      <c r="U625" s="21"/>
      <c r="V625" s="14"/>
      <c r="W625" s="22"/>
      <c r="X625" s="14"/>
      <c r="Y625" s="11" t="str">
        <f>IF(V625="","",IF(X625&lt;&gt;"",IF(X625-V625&lt;30,"No","Sí"),IF(TODAY()-V625&gt;=30,"Sí","En curso")))</f>
        <v/>
      </c>
      <c r="Z625" s="14"/>
      <c r="AA625" s="21"/>
      <c r="AB625" s="14"/>
      <c r="AC625" s="21"/>
      <c r="AD625" s="21"/>
      <c r="AE625" s="7"/>
      <c r="AF625" s="11" t="str">
        <f>IF(OR(AC625&lt;&gt;"Abierto",Z625=""),"",TODAY()-Z625)</f>
        <v/>
      </c>
      <c r="AG625" s="11" t="str">
        <f>IF(AC625&lt;&gt;"Abierto","",IF(AB625="","Sin siguiente acción",IF(AB625&lt;TODAY(),"Vencido",IF(AB625=TODAY(),"Hoy","En tiempo"))))</f>
        <v/>
      </c>
      <c r="AH625" s="11" t="str">
        <f>IF(OR(B625="",V625=""),"",V625-B625)</f>
        <v/>
      </c>
      <c r="AI625" s="16" t="str">
        <f>IF(P625="","",P625-WEEKDAY(P625,3))</f>
        <v/>
      </c>
      <c r="AJ625" s="23" t="str">
        <f>IF(P625="","",DATE(YEAR(P625),MONTH(P625),1))</f>
        <v/>
      </c>
    </row>
    <row r="626">
      <c r="A626" s="21"/>
      <c r="B626" s="14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14"/>
      <c r="Q626" s="21"/>
      <c r="R626" s="21"/>
      <c r="S626" s="21"/>
      <c r="T626" s="21"/>
      <c r="U626" s="21"/>
      <c r="V626" s="14"/>
      <c r="W626" s="22"/>
      <c r="X626" s="14"/>
      <c r="Y626" s="11" t="str">
        <f>IF(V626="","",IF(X626&lt;&gt;"",IF(X626-V626&lt;30,"No","Sí"),IF(TODAY()-V626&gt;=30,"Sí","En curso")))</f>
        <v/>
      </c>
      <c r="Z626" s="14"/>
      <c r="AA626" s="21"/>
      <c r="AB626" s="14"/>
      <c r="AC626" s="21"/>
      <c r="AD626" s="21"/>
      <c r="AE626" s="7"/>
      <c r="AF626" s="11" t="str">
        <f>IF(OR(AC626&lt;&gt;"Abierto",Z626=""),"",TODAY()-Z626)</f>
        <v/>
      </c>
      <c r="AG626" s="11" t="str">
        <f>IF(AC626&lt;&gt;"Abierto","",IF(AB626="","Sin siguiente acción",IF(AB626&lt;TODAY(),"Vencido",IF(AB626=TODAY(),"Hoy","En tiempo"))))</f>
        <v/>
      </c>
      <c r="AH626" s="11" t="str">
        <f>IF(OR(B626="",V626=""),"",V626-B626)</f>
        <v/>
      </c>
      <c r="AI626" s="16" t="str">
        <f>IF(P626="","",P626-WEEKDAY(P626,3))</f>
        <v/>
      </c>
      <c r="AJ626" s="23" t="str">
        <f>IF(P626="","",DATE(YEAR(P626),MONTH(P626),1))</f>
        <v/>
      </c>
    </row>
    <row r="627">
      <c r="A627" s="21"/>
      <c r="B627" s="14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14"/>
      <c r="Q627" s="21"/>
      <c r="R627" s="21"/>
      <c r="S627" s="21"/>
      <c r="T627" s="21"/>
      <c r="U627" s="21"/>
      <c r="V627" s="14"/>
      <c r="W627" s="22"/>
      <c r="X627" s="14"/>
      <c r="Y627" s="11" t="str">
        <f>IF(V627="","",IF(X627&lt;&gt;"",IF(X627-V627&lt;30,"No","Sí"),IF(TODAY()-V627&gt;=30,"Sí","En curso")))</f>
        <v/>
      </c>
      <c r="Z627" s="14"/>
      <c r="AA627" s="21"/>
      <c r="AB627" s="14"/>
      <c r="AC627" s="21"/>
      <c r="AD627" s="21"/>
      <c r="AE627" s="7"/>
      <c r="AF627" s="11" t="str">
        <f>IF(OR(AC627&lt;&gt;"Abierto",Z627=""),"",TODAY()-Z627)</f>
        <v/>
      </c>
      <c r="AG627" s="11" t="str">
        <f>IF(AC627&lt;&gt;"Abierto","",IF(AB627="","Sin siguiente acción",IF(AB627&lt;TODAY(),"Vencido",IF(AB627=TODAY(),"Hoy","En tiempo"))))</f>
        <v/>
      </c>
      <c r="AH627" s="11" t="str">
        <f>IF(OR(B627="",V627=""),"",V627-B627)</f>
        <v/>
      </c>
      <c r="AI627" s="16" t="str">
        <f>IF(P627="","",P627-WEEKDAY(P627,3))</f>
        <v/>
      </c>
      <c r="AJ627" s="23" t="str">
        <f>IF(P627="","",DATE(YEAR(P627),MONTH(P627),1))</f>
        <v/>
      </c>
    </row>
    <row r="628">
      <c r="A628" s="21"/>
      <c r="B628" s="14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14"/>
      <c r="Q628" s="21"/>
      <c r="R628" s="21"/>
      <c r="S628" s="21"/>
      <c r="T628" s="21"/>
      <c r="U628" s="21"/>
      <c r="V628" s="14"/>
      <c r="W628" s="22"/>
      <c r="X628" s="14"/>
      <c r="Y628" s="11" t="str">
        <f>IF(V628="","",IF(X628&lt;&gt;"",IF(X628-V628&lt;30,"No","Sí"),IF(TODAY()-V628&gt;=30,"Sí","En curso")))</f>
        <v/>
      </c>
      <c r="Z628" s="14"/>
      <c r="AA628" s="21"/>
      <c r="AB628" s="14"/>
      <c r="AC628" s="21"/>
      <c r="AD628" s="21"/>
      <c r="AE628" s="7"/>
      <c r="AF628" s="11" t="str">
        <f>IF(OR(AC628&lt;&gt;"Abierto",Z628=""),"",TODAY()-Z628)</f>
        <v/>
      </c>
      <c r="AG628" s="11" t="str">
        <f>IF(AC628&lt;&gt;"Abierto","",IF(AB628="","Sin siguiente acción",IF(AB628&lt;TODAY(),"Vencido",IF(AB628=TODAY(),"Hoy","En tiempo"))))</f>
        <v/>
      </c>
      <c r="AH628" s="11" t="str">
        <f>IF(OR(B628="",V628=""),"",V628-B628)</f>
        <v/>
      </c>
      <c r="AI628" s="16" t="str">
        <f>IF(P628="","",P628-WEEKDAY(P628,3))</f>
        <v/>
      </c>
      <c r="AJ628" s="23" t="str">
        <f>IF(P628="","",DATE(YEAR(P628),MONTH(P628),1))</f>
        <v/>
      </c>
    </row>
    <row r="629">
      <c r="A629" s="21"/>
      <c r="B629" s="14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14"/>
      <c r="Q629" s="21"/>
      <c r="R629" s="21"/>
      <c r="S629" s="21"/>
      <c r="T629" s="21"/>
      <c r="U629" s="21"/>
      <c r="V629" s="14"/>
      <c r="W629" s="22"/>
      <c r="X629" s="14"/>
      <c r="Y629" s="11" t="str">
        <f>IF(V629="","",IF(X629&lt;&gt;"",IF(X629-V629&lt;30,"No","Sí"),IF(TODAY()-V629&gt;=30,"Sí","En curso")))</f>
        <v/>
      </c>
      <c r="Z629" s="14"/>
      <c r="AA629" s="21"/>
      <c r="AB629" s="14"/>
      <c r="AC629" s="21"/>
      <c r="AD629" s="21"/>
      <c r="AE629" s="7"/>
      <c r="AF629" s="11" t="str">
        <f>IF(OR(AC629&lt;&gt;"Abierto",Z629=""),"",TODAY()-Z629)</f>
        <v/>
      </c>
      <c r="AG629" s="11" t="str">
        <f>IF(AC629&lt;&gt;"Abierto","",IF(AB629="","Sin siguiente acción",IF(AB629&lt;TODAY(),"Vencido",IF(AB629=TODAY(),"Hoy","En tiempo"))))</f>
        <v/>
      </c>
      <c r="AH629" s="11" t="str">
        <f>IF(OR(B629="",V629=""),"",V629-B629)</f>
        <v/>
      </c>
      <c r="AI629" s="16" t="str">
        <f>IF(P629="","",P629-WEEKDAY(P629,3))</f>
        <v/>
      </c>
      <c r="AJ629" s="23" t="str">
        <f>IF(P629="","",DATE(YEAR(P629),MONTH(P629),1))</f>
        <v/>
      </c>
    </row>
    <row r="630">
      <c r="A630" s="21"/>
      <c r="B630" s="14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14"/>
      <c r="Q630" s="21"/>
      <c r="R630" s="21"/>
      <c r="S630" s="21"/>
      <c r="T630" s="21"/>
      <c r="U630" s="21"/>
      <c r="V630" s="14"/>
      <c r="W630" s="22"/>
      <c r="X630" s="14"/>
      <c r="Y630" s="11" t="str">
        <f>IF(V630="","",IF(X630&lt;&gt;"",IF(X630-V630&lt;30,"No","Sí"),IF(TODAY()-V630&gt;=30,"Sí","En curso")))</f>
        <v/>
      </c>
      <c r="Z630" s="14"/>
      <c r="AA630" s="21"/>
      <c r="AB630" s="14"/>
      <c r="AC630" s="21"/>
      <c r="AD630" s="21"/>
      <c r="AE630" s="7"/>
      <c r="AF630" s="11" t="str">
        <f>IF(OR(AC630&lt;&gt;"Abierto",Z630=""),"",TODAY()-Z630)</f>
        <v/>
      </c>
      <c r="AG630" s="11" t="str">
        <f>IF(AC630&lt;&gt;"Abierto","",IF(AB630="","Sin siguiente acción",IF(AB630&lt;TODAY(),"Vencido",IF(AB630=TODAY(),"Hoy","En tiempo"))))</f>
        <v/>
      </c>
      <c r="AH630" s="11" t="str">
        <f>IF(OR(B630="",V630=""),"",V630-B630)</f>
        <v/>
      </c>
      <c r="AI630" s="16" t="str">
        <f>IF(P630="","",P630-WEEKDAY(P630,3))</f>
        <v/>
      </c>
      <c r="AJ630" s="23" t="str">
        <f>IF(P630="","",DATE(YEAR(P630),MONTH(P630),1))</f>
        <v/>
      </c>
    </row>
    <row r="631">
      <c r="A631" s="21"/>
      <c r="B631" s="14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14"/>
      <c r="Q631" s="21"/>
      <c r="R631" s="21"/>
      <c r="S631" s="21"/>
      <c r="T631" s="21"/>
      <c r="U631" s="21"/>
      <c r="V631" s="14"/>
      <c r="W631" s="22"/>
      <c r="X631" s="14"/>
      <c r="Y631" s="11" t="str">
        <f>IF(V631="","",IF(X631&lt;&gt;"",IF(X631-V631&lt;30,"No","Sí"),IF(TODAY()-V631&gt;=30,"Sí","En curso")))</f>
        <v/>
      </c>
      <c r="Z631" s="14"/>
      <c r="AA631" s="21"/>
      <c r="AB631" s="14"/>
      <c r="AC631" s="21"/>
      <c r="AD631" s="21"/>
      <c r="AE631" s="7"/>
      <c r="AF631" s="11" t="str">
        <f>IF(OR(AC631&lt;&gt;"Abierto",Z631=""),"",TODAY()-Z631)</f>
        <v/>
      </c>
      <c r="AG631" s="11" t="str">
        <f>IF(AC631&lt;&gt;"Abierto","",IF(AB631="","Sin siguiente acción",IF(AB631&lt;TODAY(),"Vencido",IF(AB631=TODAY(),"Hoy","En tiempo"))))</f>
        <v/>
      </c>
      <c r="AH631" s="11" t="str">
        <f>IF(OR(B631="",V631=""),"",V631-B631)</f>
        <v/>
      </c>
      <c r="AI631" s="16" t="str">
        <f>IF(P631="","",P631-WEEKDAY(P631,3))</f>
        <v/>
      </c>
      <c r="AJ631" s="23" t="str">
        <f>IF(P631="","",DATE(YEAR(P631),MONTH(P631),1))</f>
        <v/>
      </c>
    </row>
    <row r="632">
      <c r="A632" s="21"/>
      <c r="B632" s="14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14"/>
      <c r="Q632" s="21"/>
      <c r="R632" s="21"/>
      <c r="S632" s="21"/>
      <c r="T632" s="21"/>
      <c r="U632" s="21"/>
      <c r="V632" s="14"/>
      <c r="W632" s="22"/>
      <c r="X632" s="14"/>
      <c r="Y632" s="11" t="str">
        <f>IF(V632="","",IF(X632&lt;&gt;"",IF(X632-V632&lt;30,"No","Sí"),IF(TODAY()-V632&gt;=30,"Sí","En curso")))</f>
        <v/>
      </c>
      <c r="Z632" s="14"/>
      <c r="AA632" s="21"/>
      <c r="AB632" s="14"/>
      <c r="AC632" s="21"/>
      <c r="AD632" s="21"/>
      <c r="AE632" s="7"/>
      <c r="AF632" s="11" t="str">
        <f>IF(OR(AC632&lt;&gt;"Abierto",Z632=""),"",TODAY()-Z632)</f>
        <v/>
      </c>
      <c r="AG632" s="11" t="str">
        <f>IF(AC632&lt;&gt;"Abierto","",IF(AB632="","Sin siguiente acción",IF(AB632&lt;TODAY(),"Vencido",IF(AB632=TODAY(),"Hoy","En tiempo"))))</f>
        <v/>
      </c>
      <c r="AH632" s="11" t="str">
        <f>IF(OR(B632="",V632=""),"",V632-B632)</f>
        <v/>
      </c>
      <c r="AI632" s="16" t="str">
        <f>IF(P632="","",P632-WEEKDAY(P632,3))</f>
        <v/>
      </c>
      <c r="AJ632" s="23" t="str">
        <f>IF(P632="","",DATE(YEAR(P632),MONTH(P632),1))</f>
        <v/>
      </c>
    </row>
    <row r="633">
      <c r="A633" s="21"/>
      <c r="B633" s="14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14"/>
      <c r="Q633" s="21"/>
      <c r="R633" s="21"/>
      <c r="S633" s="21"/>
      <c r="T633" s="21"/>
      <c r="U633" s="21"/>
      <c r="V633" s="14"/>
      <c r="W633" s="22"/>
      <c r="X633" s="14"/>
      <c r="Y633" s="11" t="str">
        <f>IF(V633="","",IF(X633&lt;&gt;"",IF(X633-V633&lt;30,"No","Sí"),IF(TODAY()-V633&gt;=30,"Sí","En curso")))</f>
        <v/>
      </c>
      <c r="Z633" s="14"/>
      <c r="AA633" s="21"/>
      <c r="AB633" s="14"/>
      <c r="AC633" s="21"/>
      <c r="AD633" s="21"/>
      <c r="AE633" s="7"/>
      <c r="AF633" s="11" t="str">
        <f>IF(OR(AC633&lt;&gt;"Abierto",Z633=""),"",TODAY()-Z633)</f>
        <v/>
      </c>
      <c r="AG633" s="11" t="str">
        <f>IF(AC633&lt;&gt;"Abierto","",IF(AB633="","Sin siguiente acción",IF(AB633&lt;TODAY(),"Vencido",IF(AB633=TODAY(),"Hoy","En tiempo"))))</f>
        <v/>
      </c>
      <c r="AH633" s="11" t="str">
        <f>IF(OR(B633="",V633=""),"",V633-B633)</f>
        <v/>
      </c>
      <c r="AI633" s="16" t="str">
        <f>IF(P633="","",P633-WEEKDAY(P633,3))</f>
        <v/>
      </c>
      <c r="AJ633" s="23" t="str">
        <f>IF(P633="","",DATE(YEAR(P633),MONTH(P633),1))</f>
        <v/>
      </c>
    </row>
    <row r="634">
      <c r="A634" s="21"/>
      <c r="B634" s="14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14"/>
      <c r="Q634" s="21"/>
      <c r="R634" s="21"/>
      <c r="S634" s="21"/>
      <c r="T634" s="21"/>
      <c r="U634" s="21"/>
      <c r="V634" s="14"/>
      <c r="W634" s="22"/>
      <c r="X634" s="14"/>
      <c r="Y634" s="11" t="str">
        <f>IF(V634="","",IF(X634&lt;&gt;"",IF(X634-V634&lt;30,"No","Sí"),IF(TODAY()-V634&gt;=30,"Sí","En curso")))</f>
        <v/>
      </c>
      <c r="Z634" s="14"/>
      <c r="AA634" s="21"/>
      <c r="AB634" s="14"/>
      <c r="AC634" s="21"/>
      <c r="AD634" s="21"/>
      <c r="AE634" s="7"/>
      <c r="AF634" s="11" t="str">
        <f>IF(OR(AC634&lt;&gt;"Abierto",Z634=""),"",TODAY()-Z634)</f>
        <v/>
      </c>
      <c r="AG634" s="11" t="str">
        <f>IF(AC634&lt;&gt;"Abierto","",IF(AB634="","Sin siguiente acción",IF(AB634&lt;TODAY(),"Vencido",IF(AB634=TODAY(),"Hoy","En tiempo"))))</f>
        <v/>
      </c>
      <c r="AH634" s="11" t="str">
        <f>IF(OR(B634="",V634=""),"",V634-B634)</f>
        <v/>
      </c>
      <c r="AI634" s="16" t="str">
        <f>IF(P634="","",P634-WEEKDAY(P634,3))</f>
        <v/>
      </c>
      <c r="AJ634" s="23" t="str">
        <f>IF(P634="","",DATE(YEAR(P634),MONTH(P634),1))</f>
        <v/>
      </c>
    </row>
    <row r="635">
      <c r="A635" s="21"/>
      <c r="B635" s="14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14"/>
      <c r="Q635" s="21"/>
      <c r="R635" s="21"/>
      <c r="S635" s="21"/>
      <c r="T635" s="21"/>
      <c r="U635" s="21"/>
      <c r="V635" s="14"/>
      <c r="W635" s="22"/>
      <c r="X635" s="14"/>
      <c r="Y635" s="11" t="str">
        <f>IF(V635="","",IF(X635&lt;&gt;"",IF(X635-V635&lt;30,"No","Sí"),IF(TODAY()-V635&gt;=30,"Sí","En curso")))</f>
        <v/>
      </c>
      <c r="Z635" s="14"/>
      <c r="AA635" s="21"/>
      <c r="AB635" s="14"/>
      <c r="AC635" s="21"/>
      <c r="AD635" s="21"/>
      <c r="AE635" s="7"/>
      <c r="AF635" s="11" t="str">
        <f>IF(OR(AC635&lt;&gt;"Abierto",Z635=""),"",TODAY()-Z635)</f>
        <v/>
      </c>
      <c r="AG635" s="11" t="str">
        <f>IF(AC635&lt;&gt;"Abierto","",IF(AB635="","Sin siguiente acción",IF(AB635&lt;TODAY(),"Vencido",IF(AB635=TODAY(),"Hoy","En tiempo"))))</f>
        <v/>
      </c>
      <c r="AH635" s="11" t="str">
        <f>IF(OR(B635="",V635=""),"",V635-B635)</f>
        <v/>
      </c>
      <c r="AI635" s="16" t="str">
        <f>IF(P635="","",P635-WEEKDAY(P635,3))</f>
        <v/>
      </c>
      <c r="AJ635" s="23" t="str">
        <f>IF(P635="","",DATE(YEAR(P635),MONTH(P635),1))</f>
        <v/>
      </c>
    </row>
    <row r="636">
      <c r="A636" s="21"/>
      <c r="B636" s="14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14"/>
      <c r="Q636" s="21"/>
      <c r="R636" s="21"/>
      <c r="S636" s="21"/>
      <c r="T636" s="21"/>
      <c r="U636" s="21"/>
      <c r="V636" s="14"/>
      <c r="W636" s="22"/>
      <c r="X636" s="14"/>
      <c r="Y636" s="11" t="str">
        <f>IF(V636="","",IF(X636&lt;&gt;"",IF(X636-V636&lt;30,"No","Sí"),IF(TODAY()-V636&gt;=30,"Sí","En curso")))</f>
        <v/>
      </c>
      <c r="Z636" s="14"/>
      <c r="AA636" s="21"/>
      <c r="AB636" s="14"/>
      <c r="AC636" s="21"/>
      <c r="AD636" s="21"/>
      <c r="AE636" s="7"/>
      <c r="AF636" s="11" t="str">
        <f>IF(OR(AC636&lt;&gt;"Abierto",Z636=""),"",TODAY()-Z636)</f>
        <v/>
      </c>
      <c r="AG636" s="11" t="str">
        <f>IF(AC636&lt;&gt;"Abierto","",IF(AB636="","Sin siguiente acción",IF(AB636&lt;TODAY(),"Vencido",IF(AB636=TODAY(),"Hoy","En tiempo"))))</f>
        <v/>
      </c>
      <c r="AH636" s="11" t="str">
        <f>IF(OR(B636="",V636=""),"",V636-B636)</f>
        <v/>
      </c>
      <c r="AI636" s="16" t="str">
        <f>IF(P636="","",P636-WEEKDAY(P636,3))</f>
        <v/>
      </c>
      <c r="AJ636" s="23" t="str">
        <f>IF(P636="","",DATE(YEAR(P636),MONTH(P636),1))</f>
        <v/>
      </c>
    </row>
    <row r="637">
      <c r="A637" s="21"/>
      <c r="B637" s="14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14"/>
      <c r="Q637" s="21"/>
      <c r="R637" s="21"/>
      <c r="S637" s="21"/>
      <c r="T637" s="21"/>
      <c r="U637" s="21"/>
      <c r="V637" s="14"/>
      <c r="W637" s="22"/>
      <c r="X637" s="14"/>
      <c r="Y637" s="11" t="str">
        <f>IF(V637="","",IF(X637&lt;&gt;"",IF(X637-V637&lt;30,"No","Sí"),IF(TODAY()-V637&gt;=30,"Sí","En curso")))</f>
        <v/>
      </c>
      <c r="Z637" s="14"/>
      <c r="AA637" s="21"/>
      <c r="AB637" s="14"/>
      <c r="AC637" s="21"/>
      <c r="AD637" s="21"/>
      <c r="AE637" s="7"/>
      <c r="AF637" s="11" t="str">
        <f>IF(OR(AC637&lt;&gt;"Abierto",Z637=""),"",TODAY()-Z637)</f>
        <v/>
      </c>
      <c r="AG637" s="11" t="str">
        <f>IF(AC637&lt;&gt;"Abierto","",IF(AB637="","Sin siguiente acción",IF(AB637&lt;TODAY(),"Vencido",IF(AB637=TODAY(),"Hoy","En tiempo"))))</f>
        <v/>
      </c>
      <c r="AH637" s="11" t="str">
        <f>IF(OR(B637="",V637=""),"",V637-B637)</f>
        <v/>
      </c>
      <c r="AI637" s="16" t="str">
        <f>IF(P637="","",P637-WEEKDAY(P637,3))</f>
        <v/>
      </c>
      <c r="AJ637" s="23" t="str">
        <f>IF(P637="","",DATE(YEAR(P637),MONTH(P637),1))</f>
        <v/>
      </c>
    </row>
    <row r="638">
      <c r="A638" s="21"/>
      <c r="B638" s="14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14"/>
      <c r="Q638" s="21"/>
      <c r="R638" s="21"/>
      <c r="S638" s="21"/>
      <c r="T638" s="21"/>
      <c r="U638" s="21"/>
      <c r="V638" s="14"/>
      <c r="W638" s="22"/>
      <c r="X638" s="14"/>
      <c r="Y638" s="11" t="str">
        <f>IF(V638="","",IF(X638&lt;&gt;"",IF(X638-V638&lt;30,"No","Sí"),IF(TODAY()-V638&gt;=30,"Sí","En curso")))</f>
        <v/>
      </c>
      <c r="Z638" s="14"/>
      <c r="AA638" s="21"/>
      <c r="AB638" s="14"/>
      <c r="AC638" s="21"/>
      <c r="AD638" s="21"/>
      <c r="AE638" s="7"/>
      <c r="AF638" s="11" t="str">
        <f>IF(OR(AC638&lt;&gt;"Abierto",Z638=""),"",TODAY()-Z638)</f>
        <v/>
      </c>
      <c r="AG638" s="11" t="str">
        <f>IF(AC638&lt;&gt;"Abierto","",IF(AB638="","Sin siguiente acción",IF(AB638&lt;TODAY(),"Vencido",IF(AB638=TODAY(),"Hoy","En tiempo"))))</f>
        <v/>
      </c>
      <c r="AH638" s="11" t="str">
        <f>IF(OR(B638="",V638=""),"",V638-B638)</f>
        <v/>
      </c>
      <c r="AI638" s="16" t="str">
        <f>IF(P638="","",P638-WEEKDAY(P638,3))</f>
        <v/>
      </c>
      <c r="AJ638" s="23" t="str">
        <f>IF(P638="","",DATE(YEAR(P638),MONTH(P638),1))</f>
        <v/>
      </c>
    </row>
    <row r="639">
      <c r="A639" s="21"/>
      <c r="B639" s="14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14"/>
      <c r="Q639" s="21"/>
      <c r="R639" s="21"/>
      <c r="S639" s="21"/>
      <c r="T639" s="21"/>
      <c r="U639" s="21"/>
      <c r="V639" s="14"/>
      <c r="W639" s="22"/>
      <c r="X639" s="14"/>
      <c r="Y639" s="11" t="str">
        <f>IF(V639="","",IF(X639&lt;&gt;"",IF(X639-V639&lt;30,"No","Sí"),IF(TODAY()-V639&gt;=30,"Sí","En curso")))</f>
        <v/>
      </c>
      <c r="Z639" s="14"/>
      <c r="AA639" s="21"/>
      <c r="AB639" s="14"/>
      <c r="AC639" s="21"/>
      <c r="AD639" s="21"/>
      <c r="AE639" s="7"/>
      <c r="AF639" s="11" t="str">
        <f>IF(OR(AC639&lt;&gt;"Abierto",Z639=""),"",TODAY()-Z639)</f>
        <v/>
      </c>
      <c r="AG639" s="11" t="str">
        <f>IF(AC639&lt;&gt;"Abierto","",IF(AB639="","Sin siguiente acción",IF(AB639&lt;TODAY(),"Vencido",IF(AB639=TODAY(),"Hoy","En tiempo"))))</f>
        <v/>
      </c>
      <c r="AH639" s="11" t="str">
        <f>IF(OR(B639="",V639=""),"",V639-B639)</f>
        <v/>
      </c>
      <c r="AI639" s="16" t="str">
        <f>IF(P639="","",P639-WEEKDAY(P639,3))</f>
        <v/>
      </c>
      <c r="AJ639" s="23" t="str">
        <f>IF(P639="","",DATE(YEAR(P639),MONTH(P639),1))</f>
        <v/>
      </c>
    </row>
    <row r="640">
      <c r="A640" s="21"/>
      <c r="B640" s="14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14"/>
      <c r="Q640" s="21"/>
      <c r="R640" s="21"/>
      <c r="S640" s="21"/>
      <c r="T640" s="21"/>
      <c r="U640" s="21"/>
      <c r="V640" s="14"/>
      <c r="W640" s="22"/>
      <c r="X640" s="14"/>
      <c r="Y640" s="11" t="str">
        <f>IF(V640="","",IF(X640&lt;&gt;"",IF(X640-V640&lt;30,"No","Sí"),IF(TODAY()-V640&gt;=30,"Sí","En curso")))</f>
        <v/>
      </c>
      <c r="Z640" s="14"/>
      <c r="AA640" s="21"/>
      <c r="AB640" s="14"/>
      <c r="AC640" s="21"/>
      <c r="AD640" s="21"/>
      <c r="AE640" s="7"/>
      <c r="AF640" s="11" t="str">
        <f>IF(OR(AC640&lt;&gt;"Abierto",Z640=""),"",TODAY()-Z640)</f>
        <v/>
      </c>
      <c r="AG640" s="11" t="str">
        <f>IF(AC640&lt;&gt;"Abierto","",IF(AB640="","Sin siguiente acción",IF(AB640&lt;TODAY(),"Vencido",IF(AB640=TODAY(),"Hoy","En tiempo"))))</f>
        <v/>
      </c>
      <c r="AH640" s="11" t="str">
        <f>IF(OR(B640="",V640=""),"",V640-B640)</f>
        <v/>
      </c>
      <c r="AI640" s="16" t="str">
        <f>IF(P640="","",P640-WEEKDAY(P640,3))</f>
        <v/>
      </c>
      <c r="AJ640" s="23" t="str">
        <f>IF(P640="","",DATE(YEAR(P640),MONTH(P640),1))</f>
        <v/>
      </c>
    </row>
    <row r="641">
      <c r="A641" s="21"/>
      <c r="B641" s="14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14"/>
      <c r="Q641" s="21"/>
      <c r="R641" s="21"/>
      <c r="S641" s="21"/>
      <c r="T641" s="21"/>
      <c r="U641" s="21"/>
      <c r="V641" s="14"/>
      <c r="W641" s="22"/>
      <c r="X641" s="14"/>
      <c r="Y641" s="11" t="str">
        <f>IF(V641="","",IF(X641&lt;&gt;"",IF(X641-V641&lt;30,"No","Sí"),IF(TODAY()-V641&gt;=30,"Sí","En curso")))</f>
        <v/>
      </c>
      <c r="Z641" s="14"/>
      <c r="AA641" s="21"/>
      <c r="AB641" s="14"/>
      <c r="AC641" s="21"/>
      <c r="AD641" s="21"/>
      <c r="AE641" s="7"/>
      <c r="AF641" s="11" t="str">
        <f>IF(OR(AC641&lt;&gt;"Abierto",Z641=""),"",TODAY()-Z641)</f>
        <v/>
      </c>
      <c r="AG641" s="11" t="str">
        <f>IF(AC641&lt;&gt;"Abierto","",IF(AB641="","Sin siguiente acción",IF(AB641&lt;TODAY(),"Vencido",IF(AB641=TODAY(),"Hoy","En tiempo"))))</f>
        <v/>
      </c>
      <c r="AH641" s="11" t="str">
        <f>IF(OR(B641="",V641=""),"",V641-B641)</f>
        <v/>
      </c>
      <c r="AI641" s="16" t="str">
        <f>IF(P641="","",P641-WEEKDAY(P641,3))</f>
        <v/>
      </c>
      <c r="AJ641" s="23" t="str">
        <f>IF(P641="","",DATE(YEAR(P641),MONTH(P641),1))</f>
        <v/>
      </c>
    </row>
    <row r="642">
      <c r="A642" s="21"/>
      <c r="B642" s="14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14"/>
      <c r="Q642" s="21"/>
      <c r="R642" s="21"/>
      <c r="S642" s="21"/>
      <c r="T642" s="21"/>
      <c r="U642" s="21"/>
      <c r="V642" s="14"/>
      <c r="W642" s="22"/>
      <c r="X642" s="14"/>
      <c r="Y642" s="11" t="str">
        <f>IF(V642="","",IF(X642&lt;&gt;"",IF(X642-V642&lt;30,"No","Sí"),IF(TODAY()-V642&gt;=30,"Sí","En curso")))</f>
        <v/>
      </c>
      <c r="Z642" s="14"/>
      <c r="AA642" s="21"/>
      <c r="AB642" s="14"/>
      <c r="AC642" s="21"/>
      <c r="AD642" s="21"/>
      <c r="AE642" s="7"/>
      <c r="AF642" s="11" t="str">
        <f>IF(OR(AC642&lt;&gt;"Abierto",Z642=""),"",TODAY()-Z642)</f>
        <v/>
      </c>
      <c r="AG642" s="11" t="str">
        <f>IF(AC642&lt;&gt;"Abierto","",IF(AB642="","Sin siguiente acción",IF(AB642&lt;TODAY(),"Vencido",IF(AB642=TODAY(),"Hoy","En tiempo"))))</f>
        <v/>
      </c>
      <c r="AH642" s="11" t="str">
        <f>IF(OR(B642="",V642=""),"",V642-B642)</f>
        <v/>
      </c>
      <c r="AI642" s="16" t="str">
        <f>IF(P642="","",P642-WEEKDAY(P642,3))</f>
        <v/>
      </c>
      <c r="AJ642" s="23" t="str">
        <f>IF(P642="","",DATE(YEAR(P642),MONTH(P642),1))</f>
        <v/>
      </c>
    </row>
    <row r="643">
      <c r="A643" s="21"/>
      <c r="B643" s="14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14"/>
      <c r="Q643" s="21"/>
      <c r="R643" s="21"/>
      <c r="S643" s="21"/>
      <c r="T643" s="21"/>
      <c r="U643" s="21"/>
      <c r="V643" s="14"/>
      <c r="W643" s="22"/>
      <c r="X643" s="14"/>
      <c r="Y643" s="11" t="str">
        <f>IF(V643="","",IF(X643&lt;&gt;"",IF(X643-V643&lt;30,"No","Sí"),IF(TODAY()-V643&gt;=30,"Sí","En curso")))</f>
        <v/>
      </c>
      <c r="Z643" s="14"/>
      <c r="AA643" s="21"/>
      <c r="AB643" s="14"/>
      <c r="AC643" s="21"/>
      <c r="AD643" s="21"/>
      <c r="AE643" s="7"/>
      <c r="AF643" s="11" t="str">
        <f>IF(OR(AC643&lt;&gt;"Abierto",Z643=""),"",TODAY()-Z643)</f>
        <v/>
      </c>
      <c r="AG643" s="11" t="str">
        <f>IF(AC643&lt;&gt;"Abierto","",IF(AB643="","Sin siguiente acción",IF(AB643&lt;TODAY(),"Vencido",IF(AB643=TODAY(),"Hoy","En tiempo"))))</f>
        <v/>
      </c>
      <c r="AH643" s="11" t="str">
        <f>IF(OR(B643="",V643=""),"",V643-B643)</f>
        <v/>
      </c>
      <c r="AI643" s="16" t="str">
        <f>IF(P643="","",P643-WEEKDAY(P643,3))</f>
        <v/>
      </c>
      <c r="AJ643" s="23" t="str">
        <f>IF(P643="","",DATE(YEAR(P643),MONTH(P643),1))</f>
        <v/>
      </c>
    </row>
    <row r="644">
      <c r="A644" s="21"/>
      <c r="B644" s="14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14"/>
      <c r="Q644" s="21"/>
      <c r="R644" s="21"/>
      <c r="S644" s="21"/>
      <c r="T644" s="21"/>
      <c r="U644" s="21"/>
      <c r="V644" s="14"/>
      <c r="W644" s="22"/>
      <c r="X644" s="14"/>
      <c r="Y644" s="11" t="str">
        <f>IF(V644="","",IF(X644&lt;&gt;"",IF(X644-V644&lt;30,"No","Sí"),IF(TODAY()-V644&gt;=30,"Sí","En curso")))</f>
        <v/>
      </c>
      <c r="Z644" s="14"/>
      <c r="AA644" s="21"/>
      <c r="AB644" s="14"/>
      <c r="AC644" s="21"/>
      <c r="AD644" s="21"/>
      <c r="AE644" s="7"/>
      <c r="AF644" s="11" t="str">
        <f>IF(OR(AC644&lt;&gt;"Abierto",Z644=""),"",TODAY()-Z644)</f>
        <v/>
      </c>
      <c r="AG644" s="11" t="str">
        <f>IF(AC644&lt;&gt;"Abierto","",IF(AB644="","Sin siguiente acción",IF(AB644&lt;TODAY(),"Vencido",IF(AB644=TODAY(),"Hoy","En tiempo"))))</f>
        <v/>
      </c>
      <c r="AH644" s="11" t="str">
        <f>IF(OR(B644="",V644=""),"",V644-B644)</f>
        <v/>
      </c>
      <c r="AI644" s="16" t="str">
        <f>IF(P644="","",P644-WEEKDAY(P644,3))</f>
        <v/>
      </c>
      <c r="AJ644" s="23" t="str">
        <f>IF(P644="","",DATE(YEAR(P644),MONTH(P644),1))</f>
        <v/>
      </c>
    </row>
    <row r="645">
      <c r="A645" s="21"/>
      <c r="B645" s="14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14"/>
      <c r="Q645" s="21"/>
      <c r="R645" s="21"/>
      <c r="S645" s="21"/>
      <c r="T645" s="21"/>
      <c r="U645" s="21"/>
      <c r="V645" s="14"/>
      <c r="W645" s="22"/>
      <c r="X645" s="14"/>
      <c r="Y645" s="11" t="str">
        <f>IF(V645="","",IF(X645&lt;&gt;"",IF(X645-V645&lt;30,"No","Sí"),IF(TODAY()-V645&gt;=30,"Sí","En curso")))</f>
        <v/>
      </c>
      <c r="Z645" s="14"/>
      <c r="AA645" s="21"/>
      <c r="AB645" s="14"/>
      <c r="AC645" s="21"/>
      <c r="AD645" s="21"/>
      <c r="AE645" s="7"/>
      <c r="AF645" s="11" t="str">
        <f>IF(OR(AC645&lt;&gt;"Abierto",Z645=""),"",TODAY()-Z645)</f>
        <v/>
      </c>
      <c r="AG645" s="11" t="str">
        <f>IF(AC645&lt;&gt;"Abierto","",IF(AB645="","Sin siguiente acción",IF(AB645&lt;TODAY(),"Vencido",IF(AB645=TODAY(),"Hoy","En tiempo"))))</f>
        <v/>
      </c>
      <c r="AH645" s="11" t="str">
        <f>IF(OR(B645="",V645=""),"",V645-B645)</f>
        <v/>
      </c>
      <c r="AI645" s="16" t="str">
        <f>IF(P645="","",P645-WEEKDAY(P645,3))</f>
        <v/>
      </c>
      <c r="AJ645" s="23" t="str">
        <f>IF(P645="","",DATE(YEAR(P645),MONTH(P645),1))</f>
        <v/>
      </c>
    </row>
    <row r="646">
      <c r="A646" s="21"/>
      <c r="B646" s="14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14"/>
      <c r="Q646" s="21"/>
      <c r="R646" s="21"/>
      <c r="S646" s="21"/>
      <c r="T646" s="21"/>
      <c r="U646" s="21"/>
      <c r="V646" s="14"/>
      <c r="W646" s="22"/>
      <c r="X646" s="14"/>
      <c r="Y646" s="11" t="str">
        <f>IF(V646="","",IF(X646&lt;&gt;"",IF(X646-V646&lt;30,"No","Sí"),IF(TODAY()-V646&gt;=30,"Sí","En curso")))</f>
        <v/>
      </c>
      <c r="Z646" s="14"/>
      <c r="AA646" s="21"/>
      <c r="AB646" s="14"/>
      <c r="AC646" s="21"/>
      <c r="AD646" s="21"/>
      <c r="AE646" s="7"/>
      <c r="AF646" s="11" t="str">
        <f>IF(OR(AC646&lt;&gt;"Abierto",Z646=""),"",TODAY()-Z646)</f>
        <v/>
      </c>
      <c r="AG646" s="11" t="str">
        <f>IF(AC646&lt;&gt;"Abierto","",IF(AB646="","Sin siguiente acción",IF(AB646&lt;TODAY(),"Vencido",IF(AB646=TODAY(),"Hoy","En tiempo"))))</f>
        <v/>
      </c>
      <c r="AH646" s="11" t="str">
        <f>IF(OR(B646="",V646=""),"",V646-B646)</f>
        <v/>
      </c>
      <c r="AI646" s="16" t="str">
        <f>IF(P646="","",P646-WEEKDAY(P646,3))</f>
        <v/>
      </c>
      <c r="AJ646" s="23" t="str">
        <f>IF(P646="","",DATE(YEAR(P646),MONTH(P646),1))</f>
        <v/>
      </c>
    </row>
    <row r="647">
      <c r="A647" s="21"/>
      <c r="B647" s="14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14"/>
      <c r="Q647" s="21"/>
      <c r="R647" s="21"/>
      <c r="S647" s="21"/>
      <c r="T647" s="21"/>
      <c r="U647" s="21"/>
      <c r="V647" s="14"/>
      <c r="W647" s="22"/>
      <c r="X647" s="14"/>
      <c r="Y647" s="11" t="str">
        <f>IF(V647="","",IF(X647&lt;&gt;"",IF(X647-V647&lt;30,"No","Sí"),IF(TODAY()-V647&gt;=30,"Sí","En curso")))</f>
        <v/>
      </c>
      <c r="Z647" s="14"/>
      <c r="AA647" s="21"/>
      <c r="AB647" s="14"/>
      <c r="AC647" s="21"/>
      <c r="AD647" s="21"/>
      <c r="AE647" s="7"/>
      <c r="AF647" s="11" t="str">
        <f>IF(OR(AC647&lt;&gt;"Abierto",Z647=""),"",TODAY()-Z647)</f>
        <v/>
      </c>
      <c r="AG647" s="11" t="str">
        <f>IF(AC647&lt;&gt;"Abierto","",IF(AB647="","Sin siguiente acción",IF(AB647&lt;TODAY(),"Vencido",IF(AB647=TODAY(),"Hoy","En tiempo"))))</f>
        <v/>
      </c>
      <c r="AH647" s="11" t="str">
        <f>IF(OR(B647="",V647=""),"",V647-B647)</f>
        <v/>
      </c>
      <c r="AI647" s="16" t="str">
        <f>IF(P647="","",P647-WEEKDAY(P647,3))</f>
        <v/>
      </c>
      <c r="AJ647" s="23" t="str">
        <f>IF(P647="","",DATE(YEAR(P647),MONTH(P647),1))</f>
        <v/>
      </c>
    </row>
    <row r="648">
      <c r="A648" s="21"/>
      <c r="B648" s="14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14"/>
      <c r="Q648" s="21"/>
      <c r="R648" s="21"/>
      <c r="S648" s="21"/>
      <c r="T648" s="21"/>
      <c r="U648" s="21"/>
      <c r="V648" s="14"/>
      <c r="W648" s="22"/>
      <c r="X648" s="14"/>
      <c r="Y648" s="11" t="str">
        <f>IF(V648="","",IF(X648&lt;&gt;"",IF(X648-V648&lt;30,"No","Sí"),IF(TODAY()-V648&gt;=30,"Sí","En curso")))</f>
        <v/>
      </c>
      <c r="Z648" s="14"/>
      <c r="AA648" s="21"/>
      <c r="AB648" s="14"/>
      <c r="AC648" s="21"/>
      <c r="AD648" s="21"/>
      <c r="AE648" s="7"/>
      <c r="AF648" s="11" t="str">
        <f>IF(OR(AC648&lt;&gt;"Abierto",Z648=""),"",TODAY()-Z648)</f>
        <v/>
      </c>
      <c r="AG648" s="11" t="str">
        <f>IF(AC648&lt;&gt;"Abierto","",IF(AB648="","Sin siguiente acción",IF(AB648&lt;TODAY(),"Vencido",IF(AB648=TODAY(),"Hoy","En tiempo"))))</f>
        <v/>
      </c>
      <c r="AH648" s="11" t="str">
        <f>IF(OR(B648="",V648=""),"",V648-B648)</f>
        <v/>
      </c>
      <c r="AI648" s="16" t="str">
        <f>IF(P648="","",P648-WEEKDAY(P648,3))</f>
        <v/>
      </c>
      <c r="AJ648" s="23" t="str">
        <f>IF(P648="","",DATE(YEAR(P648),MONTH(P648),1))</f>
        <v/>
      </c>
    </row>
    <row r="649">
      <c r="A649" s="21"/>
      <c r="B649" s="14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14"/>
      <c r="Q649" s="21"/>
      <c r="R649" s="21"/>
      <c r="S649" s="21"/>
      <c r="T649" s="21"/>
      <c r="U649" s="21"/>
      <c r="V649" s="14"/>
      <c r="W649" s="22"/>
      <c r="X649" s="14"/>
      <c r="Y649" s="11" t="str">
        <f>IF(V649="","",IF(X649&lt;&gt;"",IF(X649-V649&lt;30,"No","Sí"),IF(TODAY()-V649&gt;=30,"Sí","En curso")))</f>
        <v/>
      </c>
      <c r="Z649" s="14"/>
      <c r="AA649" s="21"/>
      <c r="AB649" s="14"/>
      <c r="AC649" s="21"/>
      <c r="AD649" s="21"/>
      <c r="AE649" s="7"/>
      <c r="AF649" s="11" t="str">
        <f>IF(OR(AC649&lt;&gt;"Abierto",Z649=""),"",TODAY()-Z649)</f>
        <v/>
      </c>
      <c r="AG649" s="11" t="str">
        <f>IF(AC649&lt;&gt;"Abierto","",IF(AB649="","Sin siguiente acción",IF(AB649&lt;TODAY(),"Vencido",IF(AB649=TODAY(),"Hoy","En tiempo"))))</f>
        <v/>
      </c>
      <c r="AH649" s="11" t="str">
        <f>IF(OR(B649="",V649=""),"",V649-B649)</f>
        <v/>
      </c>
      <c r="AI649" s="16" t="str">
        <f>IF(P649="","",P649-WEEKDAY(P649,3))</f>
        <v/>
      </c>
      <c r="AJ649" s="23" t="str">
        <f>IF(P649="","",DATE(YEAR(P649),MONTH(P649),1))</f>
        <v/>
      </c>
    </row>
    <row r="650">
      <c r="A650" s="21"/>
      <c r="B650" s="14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14"/>
      <c r="Q650" s="21"/>
      <c r="R650" s="21"/>
      <c r="S650" s="21"/>
      <c r="T650" s="21"/>
      <c r="U650" s="21"/>
      <c r="V650" s="14"/>
      <c r="W650" s="22"/>
      <c r="X650" s="14"/>
      <c r="Y650" s="11" t="str">
        <f>IF(V650="","",IF(X650&lt;&gt;"",IF(X650-V650&lt;30,"No","Sí"),IF(TODAY()-V650&gt;=30,"Sí","En curso")))</f>
        <v/>
      </c>
      <c r="Z650" s="14"/>
      <c r="AA650" s="21"/>
      <c r="AB650" s="14"/>
      <c r="AC650" s="21"/>
      <c r="AD650" s="21"/>
      <c r="AE650" s="7"/>
      <c r="AF650" s="11" t="str">
        <f>IF(OR(AC650&lt;&gt;"Abierto",Z650=""),"",TODAY()-Z650)</f>
        <v/>
      </c>
      <c r="AG650" s="11" t="str">
        <f>IF(AC650&lt;&gt;"Abierto","",IF(AB650="","Sin siguiente acción",IF(AB650&lt;TODAY(),"Vencido",IF(AB650=TODAY(),"Hoy","En tiempo"))))</f>
        <v/>
      </c>
      <c r="AH650" s="11" t="str">
        <f>IF(OR(B650="",V650=""),"",V650-B650)</f>
        <v/>
      </c>
      <c r="AI650" s="16" t="str">
        <f>IF(P650="","",P650-WEEKDAY(P650,3))</f>
        <v/>
      </c>
      <c r="AJ650" s="23" t="str">
        <f>IF(P650="","",DATE(YEAR(P650),MONTH(P650),1))</f>
        <v/>
      </c>
    </row>
    <row r="651">
      <c r="A651" s="21"/>
      <c r="B651" s="14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14"/>
      <c r="Q651" s="21"/>
      <c r="R651" s="21"/>
      <c r="S651" s="21"/>
      <c r="T651" s="21"/>
      <c r="U651" s="21"/>
      <c r="V651" s="14"/>
      <c r="W651" s="22"/>
      <c r="X651" s="14"/>
      <c r="Y651" s="11" t="str">
        <f>IF(V651="","",IF(X651&lt;&gt;"",IF(X651-V651&lt;30,"No","Sí"),IF(TODAY()-V651&gt;=30,"Sí","En curso")))</f>
        <v/>
      </c>
      <c r="Z651" s="14"/>
      <c r="AA651" s="21"/>
      <c r="AB651" s="14"/>
      <c r="AC651" s="21"/>
      <c r="AD651" s="21"/>
      <c r="AE651" s="7"/>
      <c r="AF651" s="11" t="str">
        <f>IF(OR(AC651&lt;&gt;"Abierto",Z651=""),"",TODAY()-Z651)</f>
        <v/>
      </c>
      <c r="AG651" s="11" t="str">
        <f>IF(AC651&lt;&gt;"Abierto","",IF(AB651="","Sin siguiente acción",IF(AB651&lt;TODAY(),"Vencido",IF(AB651=TODAY(),"Hoy","En tiempo"))))</f>
        <v/>
      </c>
      <c r="AH651" s="11" t="str">
        <f>IF(OR(B651="",V651=""),"",V651-B651)</f>
        <v/>
      </c>
      <c r="AI651" s="16" t="str">
        <f>IF(P651="","",P651-WEEKDAY(P651,3))</f>
        <v/>
      </c>
      <c r="AJ651" s="23" t="str">
        <f>IF(P651="","",DATE(YEAR(P651),MONTH(P651),1))</f>
        <v/>
      </c>
    </row>
    <row r="652">
      <c r="A652" s="21"/>
      <c r="B652" s="14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14"/>
      <c r="Q652" s="21"/>
      <c r="R652" s="21"/>
      <c r="S652" s="21"/>
      <c r="T652" s="21"/>
      <c r="U652" s="21"/>
      <c r="V652" s="14"/>
      <c r="W652" s="22"/>
      <c r="X652" s="14"/>
      <c r="Y652" s="11" t="str">
        <f>IF(V652="","",IF(X652&lt;&gt;"",IF(X652-V652&lt;30,"No","Sí"),IF(TODAY()-V652&gt;=30,"Sí","En curso")))</f>
        <v/>
      </c>
      <c r="Z652" s="14"/>
      <c r="AA652" s="21"/>
      <c r="AB652" s="14"/>
      <c r="AC652" s="21"/>
      <c r="AD652" s="21"/>
      <c r="AE652" s="7"/>
      <c r="AF652" s="11" t="str">
        <f>IF(OR(AC652&lt;&gt;"Abierto",Z652=""),"",TODAY()-Z652)</f>
        <v/>
      </c>
      <c r="AG652" s="11" t="str">
        <f>IF(AC652&lt;&gt;"Abierto","",IF(AB652="","Sin siguiente acción",IF(AB652&lt;TODAY(),"Vencido",IF(AB652=TODAY(),"Hoy","En tiempo"))))</f>
        <v/>
      </c>
      <c r="AH652" s="11" t="str">
        <f>IF(OR(B652="",V652=""),"",V652-B652)</f>
        <v/>
      </c>
      <c r="AI652" s="16" t="str">
        <f>IF(P652="","",P652-WEEKDAY(P652,3))</f>
        <v/>
      </c>
      <c r="AJ652" s="23" t="str">
        <f>IF(P652="","",DATE(YEAR(P652),MONTH(P652),1))</f>
        <v/>
      </c>
    </row>
    <row r="653">
      <c r="A653" s="21"/>
      <c r="B653" s="14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14"/>
      <c r="Q653" s="21"/>
      <c r="R653" s="21"/>
      <c r="S653" s="21"/>
      <c r="T653" s="21"/>
      <c r="U653" s="21"/>
      <c r="V653" s="14"/>
      <c r="W653" s="22"/>
      <c r="X653" s="14"/>
      <c r="Y653" s="11" t="str">
        <f>IF(V653="","",IF(X653&lt;&gt;"",IF(X653-V653&lt;30,"No","Sí"),IF(TODAY()-V653&gt;=30,"Sí","En curso")))</f>
        <v/>
      </c>
      <c r="Z653" s="14"/>
      <c r="AA653" s="21"/>
      <c r="AB653" s="14"/>
      <c r="AC653" s="21"/>
      <c r="AD653" s="21"/>
      <c r="AE653" s="7"/>
      <c r="AF653" s="11" t="str">
        <f>IF(OR(AC653&lt;&gt;"Abierto",Z653=""),"",TODAY()-Z653)</f>
        <v/>
      </c>
      <c r="AG653" s="11" t="str">
        <f>IF(AC653&lt;&gt;"Abierto","",IF(AB653="","Sin siguiente acción",IF(AB653&lt;TODAY(),"Vencido",IF(AB653=TODAY(),"Hoy","En tiempo"))))</f>
        <v/>
      </c>
      <c r="AH653" s="11" t="str">
        <f>IF(OR(B653="",V653=""),"",V653-B653)</f>
        <v/>
      </c>
      <c r="AI653" s="16" t="str">
        <f>IF(P653="","",P653-WEEKDAY(P653,3))</f>
        <v/>
      </c>
      <c r="AJ653" s="23" t="str">
        <f>IF(P653="","",DATE(YEAR(P653),MONTH(P653),1))</f>
        <v/>
      </c>
    </row>
    <row r="654">
      <c r="A654" s="21"/>
      <c r="B654" s="14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14"/>
      <c r="Q654" s="21"/>
      <c r="R654" s="21"/>
      <c r="S654" s="21"/>
      <c r="T654" s="21"/>
      <c r="U654" s="21"/>
      <c r="V654" s="14"/>
      <c r="W654" s="22"/>
      <c r="X654" s="14"/>
      <c r="Y654" s="11" t="str">
        <f>IF(V654="","",IF(X654&lt;&gt;"",IF(X654-V654&lt;30,"No","Sí"),IF(TODAY()-V654&gt;=30,"Sí","En curso")))</f>
        <v/>
      </c>
      <c r="Z654" s="14"/>
      <c r="AA654" s="21"/>
      <c r="AB654" s="14"/>
      <c r="AC654" s="21"/>
      <c r="AD654" s="21"/>
      <c r="AE654" s="7"/>
      <c r="AF654" s="11" t="str">
        <f>IF(OR(AC654&lt;&gt;"Abierto",Z654=""),"",TODAY()-Z654)</f>
        <v/>
      </c>
      <c r="AG654" s="11" t="str">
        <f>IF(AC654&lt;&gt;"Abierto","",IF(AB654="","Sin siguiente acción",IF(AB654&lt;TODAY(),"Vencido",IF(AB654=TODAY(),"Hoy","En tiempo"))))</f>
        <v/>
      </c>
      <c r="AH654" s="11" t="str">
        <f>IF(OR(B654="",V654=""),"",V654-B654)</f>
        <v/>
      </c>
      <c r="AI654" s="16" t="str">
        <f>IF(P654="","",P654-WEEKDAY(P654,3))</f>
        <v/>
      </c>
      <c r="AJ654" s="23" t="str">
        <f>IF(P654="","",DATE(YEAR(P654),MONTH(P654),1))</f>
        <v/>
      </c>
    </row>
    <row r="655">
      <c r="A655" s="21"/>
      <c r="B655" s="14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14"/>
      <c r="Q655" s="21"/>
      <c r="R655" s="21"/>
      <c r="S655" s="21"/>
      <c r="T655" s="21"/>
      <c r="U655" s="21"/>
      <c r="V655" s="14"/>
      <c r="W655" s="22"/>
      <c r="X655" s="14"/>
      <c r="Y655" s="11" t="str">
        <f>IF(V655="","",IF(X655&lt;&gt;"",IF(X655-V655&lt;30,"No","Sí"),IF(TODAY()-V655&gt;=30,"Sí","En curso")))</f>
        <v/>
      </c>
      <c r="Z655" s="14"/>
      <c r="AA655" s="21"/>
      <c r="AB655" s="14"/>
      <c r="AC655" s="21"/>
      <c r="AD655" s="21"/>
      <c r="AE655" s="7"/>
      <c r="AF655" s="11" t="str">
        <f>IF(OR(AC655&lt;&gt;"Abierto",Z655=""),"",TODAY()-Z655)</f>
        <v/>
      </c>
      <c r="AG655" s="11" t="str">
        <f>IF(AC655&lt;&gt;"Abierto","",IF(AB655="","Sin siguiente acción",IF(AB655&lt;TODAY(),"Vencido",IF(AB655=TODAY(),"Hoy","En tiempo"))))</f>
        <v/>
      </c>
      <c r="AH655" s="11" t="str">
        <f>IF(OR(B655="",V655=""),"",V655-B655)</f>
        <v/>
      </c>
      <c r="AI655" s="16" t="str">
        <f>IF(P655="","",P655-WEEKDAY(P655,3))</f>
        <v/>
      </c>
      <c r="AJ655" s="23" t="str">
        <f>IF(P655="","",DATE(YEAR(P655),MONTH(P655),1))</f>
        <v/>
      </c>
    </row>
    <row r="656">
      <c r="A656" s="21"/>
      <c r="B656" s="14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14"/>
      <c r="Q656" s="21"/>
      <c r="R656" s="21"/>
      <c r="S656" s="21"/>
      <c r="T656" s="21"/>
      <c r="U656" s="21"/>
      <c r="V656" s="14"/>
      <c r="W656" s="22"/>
      <c r="X656" s="14"/>
      <c r="Y656" s="11" t="str">
        <f>IF(V656="","",IF(X656&lt;&gt;"",IF(X656-V656&lt;30,"No","Sí"),IF(TODAY()-V656&gt;=30,"Sí","En curso")))</f>
        <v/>
      </c>
      <c r="Z656" s="14"/>
      <c r="AA656" s="21"/>
      <c r="AB656" s="14"/>
      <c r="AC656" s="21"/>
      <c r="AD656" s="21"/>
      <c r="AE656" s="7"/>
      <c r="AF656" s="11" t="str">
        <f>IF(OR(AC656&lt;&gt;"Abierto",Z656=""),"",TODAY()-Z656)</f>
        <v/>
      </c>
      <c r="AG656" s="11" t="str">
        <f>IF(AC656&lt;&gt;"Abierto","",IF(AB656="","Sin siguiente acción",IF(AB656&lt;TODAY(),"Vencido",IF(AB656=TODAY(),"Hoy","En tiempo"))))</f>
        <v/>
      </c>
      <c r="AH656" s="11" t="str">
        <f>IF(OR(B656="",V656=""),"",V656-B656)</f>
        <v/>
      </c>
      <c r="AI656" s="16" t="str">
        <f>IF(P656="","",P656-WEEKDAY(P656,3))</f>
        <v/>
      </c>
      <c r="AJ656" s="23" t="str">
        <f>IF(P656="","",DATE(YEAR(P656),MONTH(P656),1))</f>
        <v/>
      </c>
    </row>
    <row r="657">
      <c r="A657" s="21"/>
      <c r="B657" s="14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14"/>
      <c r="Q657" s="21"/>
      <c r="R657" s="21"/>
      <c r="S657" s="21"/>
      <c r="T657" s="21"/>
      <c r="U657" s="21"/>
      <c r="V657" s="14"/>
      <c r="W657" s="22"/>
      <c r="X657" s="14"/>
      <c r="Y657" s="11" t="str">
        <f>IF(V657="","",IF(X657&lt;&gt;"",IF(X657-V657&lt;30,"No","Sí"),IF(TODAY()-V657&gt;=30,"Sí","En curso")))</f>
        <v/>
      </c>
      <c r="Z657" s="14"/>
      <c r="AA657" s="21"/>
      <c r="AB657" s="14"/>
      <c r="AC657" s="21"/>
      <c r="AD657" s="21"/>
      <c r="AE657" s="7"/>
      <c r="AF657" s="11" t="str">
        <f>IF(OR(AC657&lt;&gt;"Abierto",Z657=""),"",TODAY()-Z657)</f>
        <v/>
      </c>
      <c r="AG657" s="11" t="str">
        <f>IF(AC657&lt;&gt;"Abierto","",IF(AB657="","Sin siguiente acción",IF(AB657&lt;TODAY(),"Vencido",IF(AB657=TODAY(),"Hoy","En tiempo"))))</f>
        <v/>
      </c>
      <c r="AH657" s="11" t="str">
        <f>IF(OR(B657="",V657=""),"",V657-B657)</f>
        <v/>
      </c>
      <c r="AI657" s="16" t="str">
        <f>IF(P657="","",P657-WEEKDAY(P657,3))</f>
        <v/>
      </c>
      <c r="AJ657" s="23" t="str">
        <f>IF(P657="","",DATE(YEAR(P657),MONTH(P657),1))</f>
        <v/>
      </c>
    </row>
    <row r="658">
      <c r="A658" s="21"/>
      <c r="B658" s="14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14"/>
      <c r="Q658" s="21"/>
      <c r="R658" s="21"/>
      <c r="S658" s="21"/>
      <c r="T658" s="21"/>
      <c r="U658" s="21"/>
      <c r="V658" s="14"/>
      <c r="W658" s="22"/>
      <c r="X658" s="14"/>
      <c r="Y658" s="11" t="str">
        <f>IF(V658="","",IF(X658&lt;&gt;"",IF(X658-V658&lt;30,"No","Sí"),IF(TODAY()-V658&gt;=30,"Sí","En curso")))</f>
        <v/>
      </c>
      <c r="Z658" s="14"/>
      <c r="AA658" s="21"/>
      <c r="AB658" s="14"/>
      <c r="AC658" s="21"/>
      <c r="AD658" s="21"/>
      <c r="AE658" s="7"/>
      <c r="AF658" s="11" t="str">
        <f>IF(OR(AC658&lt;&gt;"Abierto",Z658=""),"",TODAY()-Z658)</f>
        <v/>
      </c>
      <c r="AG658" s="11" t="str">
        <f>IF(AC658&lt;&gt;"Abierto","",IF(AB658="","Sin siguiente acción",IF(AB658&lt;TODAY(),"Vencido",IF(AB658=TODAY(),"Hoy","En tiempo"))))</f>
        <v/>
      </c>
      <c r="AH658" s="11" t="str">
        <f>IF(OR(B658="",V658=""),"",V658-B658)</f>
        <v/>
      </c>
      <c r="AI658" s="16" t="str">
        <f>IF(P658="","",P658-WEEKDAY(P658,3))</f>
        <v/>
      </c>
      <c r="AJ658" s="23" t="str">
        <f>IF(P658="","",DATE(YEAR(P658),MONTH(P658),1))</f>
        <v/>
      </c>
    </row>
    <row r="659">
      <c r="A659" s="21"/>
      <c r="B659" s="14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14"/>
      <c r="Q659" s="21"/>
      <c r="R659" s="21"/>
      <c r="S659" s="21"/>
      <c r="T659" s="21"/>
      <c r="U659" s="21"/>
      <c r="V659" s="14"/>
      <c r="W659" s="22"/>
      <c r="X659" s="14"/>
      <c r="Y659" s="11" t="str">
        <f>IF(V659="","",IF(X659&lt;&gt;"",IF(X659-V659&lt;30,"No","Sí"),IF(TODAY()-V659&gt;=30,"Sí","En curso")))</f>
        <v/>
      </c>
      <c r="Z659" s="14"/>
      <c r="AA659" s="21"/>
      <c r="AB659" s="14"/>
      <c r="AC659" s="21"/>
      <c r="AD659" s="21"/>
      <c r="AE659" s="7"/>
      <c r="AF659" s="11" t="str">
        <f>IF(OR(AC659&lt;&gt;"Abierto",Z659=""),"",TODAY()-Z659)</f>
        <v/>
      </c>
      <c r="AG659" s="11" t="str">
        <f>IF(AC659&lt;&gt;"Abierto","",IF(AB659="","Sin siguiente acción",IF(AB659&lt;TODAY(),"Vencido",IF(AB659=TODAY(),"Hoy","En tiempo"))))</f>
        <v/>
      </c>
      <c r="AH659" s="11" t="str">
        <f>IF(OR(B659="",V659=""),"",V659-B659)</f>
        <v/>
      </c>
      <c r="AI659" s="16" t="str">
        <f>IF(P659="","",P659-WEEKDAY(P659,3))</f>
        <v/>
      </c>
      <c r="AJ659" s="23" t="str">
        <f>IF(P659="","",DATE(YEAR(P659),MONTH(P659),1))</f>
        <v/>
      </c>
    </row>
    <row r="660">
      <c r="A660" s="21"/>
      <c r="B660" s="14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14"/>
      <c r="Q660" s="21"/>
      <c r="R660" s="21"/>
      <c r="S660" s="21"/>
      <c r="T660" s="21"/>
      <c r="U660" s="21"/>
      <c r="V660" s="14"/>
      <c r="W660" s="22"/>
      <c r="X660" s="14"/>
      <c r="Y660" s="11" t="str">
        <f>IF(V660="","",IF(X660&lt;&gt;"",IF(X660-V660&lt;30,"No","Sí"),IF(TODAY()-V660&gt;=30,"Sí","En curso")))</f>
        <v/>
      </c>
      <c r="Z660" s="14"/>
      <c r="AA660" s="21"/>
      <c r="AB660" s="14"/>
      <c r="AC660" s="21"/>
      <c r="AD660" s="21"/>
      <c r="AE660" s="7"/>
      <c r="AF660" s="11" t="str">
        <f>IF(OR(AC660&lt;&gt;"Abierto",Z660=""),"",TODAY()-Z660)</f>
        <v/>
      </c>
      <c r="AG660" s="11" t="str">
        <f>IF(AC660&lt;&gt;"Abierto","",IF(AB660="","Sin siguiente acción",IF(AB660&lt;TODAY(),"Vencido",IF(AB660=TODAY(),"Hoy","En tiempo"))))</f>
        <v/>
      </c>
      <c r="AH660" s="11" t="str">
        <f>IF(OR(B660="",V660=""),"",V660-B660)</f>
        <v/>
      </c>
      <c r="AI660" s="16" t="str">
        <f>IF(P660="","",P660-WEEKDAY(P660,3))</f>
        <v/>
      </c>
      <c r="AJ660" s="23" t="str">
        <f>IF(P660="","",DATE(YEAR(P660),MONTH(P660),1))</f>
        <v/>
      </c>
    </row>
    <row r="661">
      <c r="A661" s="21"/>
      <c r="B661" s="14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14"/>
      <c r="Q661" s="21"/>
      <c r="R661" s="21"/>
      <c r="S661" s="21"/>
      <c r="T661" s="21"/>
      <c r="U661" s="21"/>
      <c r="V661" s="14"/>
      <c r="W661" s="22"/>
      <c r="X661" s="14"/>
      <c r="Y661" s="11" t="str">
        <f>IF(V661="","",IF(X661&lt;&gt;"",IF(X661-V661&lt;30,"No","Sí"),IF(TODAY()-V661&gt;=30,"Sí","En curso")))</f>
        <v/>
      </c>
      <c r="Z661" s="14"/>
      <c r="AA661" s="21"/>
      <c r="AB661" s="14"/>
      <c r="AC661" s="21"/>
      <c r="AD661" s="21"/>
      <c r="AE661" s="7"/>
      <c r="AF661" s="11" t="str">
        <f>IF(OR(AC661&lt;&gt;"Abierto",Z661=""),"",TODAY()-Z661)</f>
        <v/>
      </c>
      <c r="AG661" s="11" t="str">
        <f>IF(AC661&lt;&gt;"Abierto","",IF(AB661="","Sin siguiente acción",IF(AB661&lt;TODAY(),"Vencido",IF(AB661=TODAY(),"Hoy","En tiempo"))))</f>
        <v/>
      </c>
      <c r="AH661" s="11" t="str">
        <f>IF(OR(B661="",V661=""),"",V661-B661)</f>
        <v/>
      </c>
      <c r="AI661" s="16" t="str">
        <f>IF(P661="","",P661-WEEKDAY(P661,3))</f>
        <v/>
      </c>
      <c r="AJ661" s="23" t="str">
        <f>IF(P661="","",DATE(YEAR(P661),MONTH(P661),1))</f>
        <v/>
      </c>
    </row>
    <row r="662">
      <c r="A662" s="21"/>
      <c r="B662" s="14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14"/>
      <c r="Q662" s="21"/>
      <c r="R662" s="21"/>
      <c r="S662" s="21"/>
      <c r="T662" s="21"/>
      <c r="U662" s="21"/>
      <c r="V662" s="14"/>
      <c r="W662" s="22"/>
      <c r="X662" s="14"/>
      <c r="Y662" s="11" t="str">
        <f>IF(V662="","",IF(X662&lt;&gt;"",IF(X662-V662&lt;30,"No","Sí"),IF(TODAY()-V662&gt;=30,"Sí","En curso")))</f>
        <v/>
      </c>
      <c r="Z662" s="14"/>
      <c r="AA662" s="21"/>
      <c r="AB662" s="14"/>
      <c r="AC662" s="21"/>
      <c r="AD662" s="21"/>
      <c r="AE662" s="7"/>
      <c r="AF662" s="11" t="str">
        <f>IF(OR(AC662&lt;&gt;"Abierto",Z662=""),"",TODAY()-Z662)</f>
        <v/>
      </c>
      <c r="AG662" s="11" t="str">
        <f>IF(AC662&lt;&gt;"Abierto","",IF(AB662="","Sin siguiente acción",IF(AB662&lt;TODAY(),"Vencido",IF(AB662=TODAY(),"Hoy","En tiempo"))))</f>
        <v/>
      </c>
      <c r="AH662" s="11" t="str">
        <f>IF(OR(B662="",V662=""),"",V662-B662)</f>
        <v/>
      </c>
      <c r="AI662" s="16" t="str">
        <f>IF(P662="","",P662-WEEKDAY(P662,3))</f>
        <v/>
      </c>
      <c r="AJ662" s="23" t="str">
        <f>IF(P662="","",DATE(YEAR(P662),MONTH(P662),1))</f>
        <v/>
      </c>
    </row>
    <row r="663">
      <c r="A663" s="21"/>
      <c r="B663" s="14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14"/>
      <c r="Q663" s="21"/>
      <c r="R663" s="21"/>
      <c r="S663" s="21"/>
      <c r="T663" s="21"/>
      <c r="U663" s="21"/>
      <c r="V663" s="14"/>
      <c r="W663" s="22"/>
      <c r="X663" s="14"/>
      <c r="Y663" s="11" t="str">
        <f>IF(V663="","",IF(X663&lt;&gt;"",IF(X663-V663&lt;30,"No","Sí"),IF(TODAY()-V663&gt;=30,"Sí","En curso")))</f>
        <v/>
      </c>
      <c r="Z663" s="14"/>
      <c r="AA663" s="21"/>
      <c r="AB663" s="14"/>
      <c r="AC663" s="21"/>
      <c r="AD663" s="21"/>
      <c r="AE663" s="7"/>
      <c r="AF663" s="11" t="str">
        <f>IF(OR(AC663&lt;&gt;"Abierto",Z663=""),"",TODAY()-Z663)</f>
        <v/>
      </c>
      <c r="AG663" s="11" t="str">
        <f>IF(AC663&lt;&gt;"Abierto","",IF(AB663="","Sin siguiente acción",IF(AB663&lt;TODAY(),"Vencido",IF(AB663=TODAY(),"Hoy","En tiempo"))))</f>
        <v/>
      </c>
      <c r="AH663" s="11" t="str">
        <f>IF(OR(B663="",V663=""),"",V663-B663)</f>
        <v/>
      </c>
      <c r="AI663" s="16" t="str">
        <f>IF(P663="","",P663-WEEKDAY(P663,3))</f>
        <v/>
      </c>
      <c r="AJ663" s="23" t="str">
        <f>IF(P663="","",DATE(YEAR(P663),MONTH(P663),1))</f>
        <v/>
      </c>
    </row>
    <row r="664">
      <c r="A664" s="21"/>
      <c r="B664" s="14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14"/>
      <c r="Q664" s="21"/>
      <c r="R664" s="21"/>
      <c r="S664" s="21"/>
      <c r="T664" s="21"/>
      <c r="U664" s="21"/>
      <c r="V664" s="14"/>
      <c r="W664" s="22"/>
      <c r="X664" s="14"/>
      <c r="Y664" s="11" t="str">
        <f>IF(V664="","",IF(X664&lt;&gt;"",IF(X664-V664&lt;30,"No","Sí"),IF(TODAY()-V664&gt;=30,"Sí","En curso")))</f>
        <v/>
      </c>
      <c r="Z664" s="14"/>
      <c r="AA664" s="21"/>
      <c r="AB664" s="14"/>
      <c r="AC664" s="21"/>
      <c r="AD664" s="21"/>
      <c r="AE664" s="7"/>
      <c r="AF664" s="11" t="str">
        <f>IF(OR(AC664&lt;&gt;"Abierto",Z664=""),"",TODAY()-Z664)</f>
        <v/>
      </c>
      <c r="AG664" s="11" t="str">
        <f>IF(AC664&lt;&gt;"Abierto","",IF(AB664="","Sin siguiente acción",IF(AB664&lt;TODAY(),"Vencido",IF(AB664=TODAY(),"Hoy","En tiempo"))))</f>
        <v/>
      </c>
      <c r="AH664" s="11" t="str">
        <f>IF(OR(B664="",V664=""),"",V664-B664)</f>
        <v/>
      </c>
      <c r="AI664" s="16" t="str">
        <f>IF(P664="","",P664-WEEKDAY(P664,3))</f>
        <v/>
      </c>
      <c r="AJ664" s="23" t="str">
        <f>IF(P664="","",DATE(YEAR(P664),MONTH(P664),1))</f>
        <v/>
      </c>
    </row>
    <row r="665">
      <c r="A665" s="21"/>
      <c r="B665" s="14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14"/>
      <c r="Q665" s="21"/>
      <c r="R665" s="21"/>
      <c r="S665" s="21"/>
      <c r="T665" s="21"/>
      <c r="U665" s="21"/>
      <c r="V665" s="14"/>
      <c r="W665" s="22"/>
      <c r="X665" s="14"/>
      <c r="Y665" s="11" t="str">
        <f>IF(V665="","",IF(X665&lt;&gt;"",IF(X665-V665&lt;30,"No","Sí"),IF(TODAY()-V665&gt;=30,"Sí","En curso")))</f>
        <v/>
      </c>
      <c r="Z665" s="14"/>
      <c r="AA665" s="21"/>
      <c r="AB665" s="14"/>
      <c r="AC665" s="21"/>
      <c r="AD665" s="21"/>
      <c r="AE665" s="7"/>
      <c r="AF665" s="11" t="str">
        <f>IF(OR(AC665&lt;&gt;"Abierto",Z665=""),"",TODAY()-Z665)</f>
        <v/>
      </c>
      <c r="AG665" s="11" t="str">
        <f>IF(AC665&lt;&gt;"Abierto","",IF(AB665="","Sin siguiente acción",IF(AB665&lt;TODAY(),"Vencido",IF(AB665=TODAY(),"Hoy","En tiempo"))))</f>
        <v/>
      </c>
      <c r="AH665" s="11" t="str">
        <f>IF(OR(B665="",V665=""),"",V665-B665)</f>
        <v/>
      </c>
      <c r="AI665" s="16" t="str">
        <f>IF(P665="","",P665-WEEKDAY(P665,3))</f>
        <v/>
      </c>
      <c r="AJ665" s="23" t="str">
        <f>IF(P665="","",DATE(YEAR(P665),MONTH(P665),1))</f>
        <v/>
      </c>
    </row>
    <row r="666">
      <c r="A666" s="21"/>
      <c r="B666" s="14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14"/>
      <c r="Q666" s="21"/>
      <c r="R666" s="21"/>
      <c r="S666" s="21"/>
      <c r="T666" s="21"/>
      <c r="U666" s="21"/>
      <c r="V666" s="14"/>
      <c r="W666" s="22"/>
      <c r="X666" s="14"/>
      <c r="Y666" s="11" t="str">
        <f>IF(V666="","",IF(X666&lt;&gt;"",IF(X666-V666&lt;30,"No","Sí"),IF(TODAY()-V666&gt;=30,"Sí","En curso")))</f>
        <v/>
      </c>
      <c r="Z666" s="14"/>
      <c r="AA666" s="21"/>
      <c r="AB666" s="14"/>
      <c r="AC666" s="21"/>
      <c r="AD666" s="21"/>
      <c r="AE666" s="7"/>
      <c r="AF666" s="11" t="str">
        <f>IF(OR(AC666&lt;&gt;"Abierto",Z666=""),"",TODAY()-Z666)</f>
        <v/>
      </c>
      <c r="AG666" s="11" t="str">
        <f>IF(AC666&lt;&gt;"Abierto","",IF(AB666="","Sin siguiente acción",IF(AB666&lt;TODAY(),"Vencido",IF(AB666=TODAY(),"Hoy","En tiempo"))))</f>
        <v/>
      </c>
      <c r="AH666" s="11" t="str">
        <f>IF(OR(B666="",V666=""),"",V666-B666)</f>
        <v/>
      </c>
      <c r="AI666" s="16" t="str">
        <f>IF(P666="","",P666-WEEKDAY(P666,3))</f>
        <v/>
      </c>
      <c r="AJ666" s="23" t="str">
        <f>IF(P666="","",DATE(YEAR(P666),MONTH(P666),1))</f>
        <v/>
      </c>
    </row>
    <row r="667">
      <c r="A667" s="21"/>
      <c r="B667" s="14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14"/>
      <c r="Q667" s="21"/>
      <c r="R667" s="21"/>
      <c r="S667" s="21"/>
      <c r="T667" s="21"/>
      <c r="U667" s="21"/>
      <c r="V667" s="14"/>
      <c r="W667" s="22"/>
      <c r="X667" s="14"/>
      <c r="Y667" s="11" t="str">
        <f>IF(V667="","",IF(X667&lt;&gt;"",IF(X667-V667&lt;30,"No","Sí"),IF(TODAY()-V667&gt;=30,"Sí","En curso")))</f>
        <v/>
      </c>
      <c r="Z667" s="14"/>
      <c r="AA667" s="21"/>
      <c r="AB667" s="14"/>
      <c r="AC667" s="21"/>
      <c r="AD667" s="21"/>
      <c r="AE667" s="7"/>
      <c r="AF667" s="11" t="str">
        <f>IF(OR(AC667&lt;&gt;"Abierto",Z667=""),"",TODAY()-Z667)</f>
        <v/>
      </c>
      <c r="AG667" s="11" t="str">
        <f>IF(AC667&lt;&gt;"Abierto","",IF(AB667="","Sin siguiente acción",IF(AB667&lt;TODAY(),"Vencido",IF(AB667=TODAY(),"Hoy","En tiempo"))))</f>
        <v/>
      </c>
      <c r="AH667" s="11" t="str">
        <f>IF(OR(B667="",V667=""),"",V667-B667)</f>
        <v/>
      </c>
      <c r="AI667" s="16" t="str">
        <f>IF(P667="","",P667-WEEKDAY(P667,3))</f>
        <v/>
      </c>
      <c r="AJ667" s="23" t="str">
        <f>IF(P667="","",DATE(YEAR(P667),MONTH(P667),1))</f>
        <v/>
      </c>
    </row>
    <row r="668">
      <c r="A668" s="21"/>
      <c r="B668" s="14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14"/>
      <c r="Q668" s="21"/>
      <c r="R668" s="21"/>
      <c r="S668" s="21"/>
      <c r="T668" s="21"/>
      <c r="U668" s="21"/>
      <c r="V668" s="14"/>
      <c r="W668" s="22"/>
      <c r="X668" s="14"/>
      <c r="Y668" s="11" t="str">
        <f>IF(V668="","",IF(X668&lt;&gt;"",IF(X668-V668&lt;30,"No","Sí"),IF(TODAY()-V668&gt;=30,"Sí","En curso")))</f>
        <v/>
      </c>
      <c r="Z668" s="14"/>
      <c r="AA668" s="21"/>
      <c r="AB668" s="14"/>
      <c r="AC668" s="21"/>
      <c r="AD668" s="21"/>
      <c r="AE668" s="7"/>
      <c r="AF668" s="11" t="str">
        <f>IF(OR(AC668&lt;&gt;"Abierto",Z668=""),"",TODAY()-Z668)</f>
        <v/>
      </c>
      <c r="AG668" s="11" t="str">
        <f>IF(AC668&lt;&gt;"Abierto","",IF(AB668="","Sin siguiente acción",IF(AB668&lt;TODAY(),"Vencido",IF(AB668=TODAY(),"Hoy","En tiempo"))))</f>
        <v/>
      </c>
      <c r="AH668" s="11" t="str">
        <f>IF(OR(B668="",V668=""),"",V668-B668)</f>
        <v/>
      </c>
      <c r="AI668" s="16" t="str">
        <f>IF(P668="","",P668-WEEKDAY(P668,3))</f>
        <v/>
      </c>
      <c r="AJ668" s="23" t="str">
        <f>IF(P668="","",DATE(YEAR(P668),MONTH(P668),1))</f>
        <v/>
      </c>
    </row>
    <row r="669">
      <c r="A669" s="21"/>
      <c r="B669" s="14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14"/>
      <c r="Q669" s="21"/>
      <c r="R669" s="21"/>
      <c r="S669" s="21"/>
      <c r="T669" s="21"/>
      <c r="U669" s="21"/>
      <c r="V669" s="14"/>
      <c r="W669" s="22"/>
      <c r="X669" s="14"/>
      <c r="Y669" s="11" t="str">
        <f>IF(V669="","",IF(X669&lt;&gt;"",IF(X669-V669&lt;30,"No","Sí"),IF(TODAY()-V669&gt;=30,"Sí","En curso")))</f>
        <v/>
      </c>
      <c r="Z669" s="14"/>
      <c r="AA669" s="21"/>
      <c r="AB669" s="14"/>
      <c r="AC669" s="21"/>
      <c r="AD669" s="21"/>
      <c r="AE669" s="7"/>
      <c r="AF669" s="11" t="str">
        <f>IF(OR(AC669&lt;&gt;"Abierto",Z669=""),"",TODAY()-Z669)</f>
        <v/>
      </c>
      <c r="AG669" s="11" t="str">
        <f>IF(AC669&lt;&gt;"Abierto","",IF(AB669="","Sin siguiente acción",IF(AB669&lt;TODAY(),"Vencido",IF(AB669=TODAY(),"Hoy","En tiempo"))))</f>
        <v/>
      </c>
      <c r="AH669" s="11" t="str">
        <f>IF(OR(B669="",V669=""),"",V669-B669)</f>
        <v/>
      </c>
      <c r="AI669" s="16" t="str">
        <f>IF(P669="","",P669-WEEKDAY(P669,3))</f>
        <v/>
      </c>
      <c r="AJ669" s="23" t="str">
        <f>IF(P669="","",DATE(YEAR(P669),MONTH(P669),1))</f>
        <v/>
      </c>
    </row>
    <row r="670">
      <c r="A670" s="21"/>
      <c r="B670" s="14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14"/>
      <c r="Q670" s="21"/>
      <c r="R670" s="21"/>
      <c r="S670" s="21"/>
      <c r="T670" s="21"/>
      <c r="U670" s="21"/>
      <c r="V670" s="14"/>
      <c r="W670" s="22"/>
      <c r="X670" s="14"/>
      <c r="Y670" s="11" t="str">
        <f>IF(V670="","",IF(X670&lt;&gt;"",IF(X670-V670&lt;30,"No","Sí"),IF(TODAY()-V670&gt;=30,"Sí","En curso")))</f>
        <v/>
      </c>
      <c r="Z670" s="14"/>
      <c r="AA670" s="21"/>
      <c r="AB670" s="14"/>
      <c r="AC670" s="21"/>
      <c r="AD670" s="21"/>
      <c r="AE670" s="7"/>
      <c r="AF670" s="11" t="str">
        <f>IF(OR(AC670&lt;&gt;"Abierto",Z670=""),"",TODAY()-Z670)</f>
        <v/>
      </c>
      <c r="AG670" s="11" t="str">
        <f>IF(AC670&lt;&gt;"Abierto","",IF(AB670="","Sin siguiente acción",IF(AB670&lt;TODAY(),"Vencido",IF(AB670=TODAY(),"Hoy","En tiempo"))))</f>
        <v/>
      </c>
      <c r="AH670" s="11" t="str">
        <f>IF(OR(B670="",V670=""),"",V670-B670)</f>
        <v/>
      </c>
      <c r="AI670" s="16" t="str">
        <f>IF(P670="","",P670-WEEKDAY(P670,3))</f>
        <v/>
      </c>
      <c r="AJ670" s="23" t="str">
        <f>IF(P670="","",DATE(YEAR(P670),MONTH(P670),1))</f>
        <v/>
      </c>
    </row>
    <row r="671">
      <c r="A671" s="21"/>
      <c r="B671" s="14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14"/>
      <c r="Q671" s="21"/>
      <c r="R671" s="21"/>
      <c r="S671" s="21"/>
      <c r="T671" s="21"/>
      <c r="U671" s="21"/>
      <c r="V671" s="14"/>
      <c r="W671" s="22"/>
      <c r="X671" s="14"/>
      <c r="Y671" s="11" t="str">
        <f>IF(V671="","",IF(X671&lt;&gt;"",IF(X671-V671&lt;30,"No","Sí"),IF(TODAY()-V671&gt;=30,"Sí","En curso")))</f>
        <v/>
      </c>
      <c r="Z671" s="14"/>
      <c r="AA671" s="21"/>
      <c r="AB671" s="14"/>
      <c r="AC671" s="21"/>
      <c r="AD671" s="21"/>
      <c r="AE671" s="7"/>
      <c r="AF671" s="11" t="str">
        <f>IF(OR(AC671&lt;&gt;"Abierto",Z671=""),"",TODAY()-Z671)</f>
        <v/>
      </c>
      <c r="AG671" s="11" t="str">
        <f>IF(AC671&lt;&gt;"Abierto","",IF(AB671="","Sin siguiente acción",IF(AB671&lt;TODAY(),"Vencido",IF(AB671=TODAY(),"Hoy","En tiempo"))))</f>
        <v/>
      </c>
      <c r="AH671" s="11" t="str">
        <f>IF(OR(B671="",V671=""),"",V671-B671)</f>
        <v/>
      </c>
      <c r="AI671" s="16" t="str">
        <f>IF(P671="","",P671-WEEKDAY(P671,3))</f>
        <v/>
      </c>
      <c r="AJ671" s="23" t="str">
        <f>IF(P671="","",DATE(YEAR(P671),MONTH(P671),1))</f>
        <v/>
      </c>
    </row>
    <row r="672">
      <c r="A672" s="21"/>
      <c r="B672" s="14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14"/>
      <c r="Q672" s="21"/>
      <c r="R672" s="21"/>
      <c r="S672" s="21"/>
      <c r="T672" s="21"/>
      <c r="U672" s="21"/>
      <c r="V672" s="14"/>
      <c r="W672" s="22"/>
      <c r="X672" s="14"/>
      <c r="Y672" s="11" t="str">
        <f>IF(V672="","",IF(X672&lt;&gt;"",IF(X672-V672&lt;30,"No","Sí"),IF(TODAY()-V672&gt;=30,"Sí","En curso")))</f>
        <v/>
      </c>
      <c r="Z672" s="14"/>
      <c r="AA672" s="21"/>
      <c r="AB672" s="14"/>
      <c r="AC672" s="21"/>
      <c r="AD672" s="21"/>
      <c r="AE672" s="7"/>
      <c r="AF672" s="11" t="str">
        <f>IF(OR(AC672&lt;&gt;"Abierto",Z672=""),"",TODAY()-Z672)</f>
        <v/>
      </c>
      <c r="AG672" s="11" t="str">
        <f>IF(AC672&lt;&gt;"Abierto","",IF(AB672="","Sin siguiente acción",IF(AB672&lt;TODAY(),"Vencido",IF(AB672=TODAY(),"Hoy","En tiempo"))))</f>
        <v/>
      </c>
      <c r="AH672" s="11" t="str">
        <f>IF(OR(B672="",V672=""),"",V672-B672)</f>
        <v/>
      </c>
      <c r="AI672" s="16" t="str">
        <f>IF(P672="","",P672-WEEKDAY(P672,3))</f>
        <v/>
      </c>
      <c r="AJ672" s="23" t="str">
        <f>IF(P672="","",DATE(YEAR(P672),MONTH(P672),1))</f>
        <v/>
      </c>
    </row>
    <row r="673">
      <c r="A673" s="21"/>
      <c r="B673" s="14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14"/>
      <c r="Q673" s="21"/>
      <c r="R673" s="21"/>
      <c r="S673" s="21"/>
      <c r="T673" s="21"/>
      <c r="U673" s="21"/>
      <c r="V673" s="14"/>
      <c r="W673" s="22"/>
      <c r="X673" s="14"/>
      <c r="Y673" s="11" t="str">
        <f>IF(V673="","",IF(X673&lt;&gt;"",IF(X673-V673&lt;30,"No","Sí"),IF(TODAY()-V673&gt;=30,"Sí","En curso")))</f>
        <v/>
      </c>
      <c r="Z673" s="14"/>
      <c r="AA673" s="21"/>
      <c r="AB673" s="14"/>
      <c r="AC673" s="21"/>
      <c r="AD673" s="21"/>
      <c r="AE673" s="7"/>
      <c r="AF673" s="11" t="str">
        <f>IF(OR(AC673&lt;&gt;"Abierto",Z673=""),"",TODAY()-Z673)</f>
        <v/>
      </c>
      <c r="AG673" s="11" t="str">
        <f>IF(AC673&lt;&gt;"Abierto","",IF(AB673="","Sin siguiente acción",IF(AB673&lt;TODAY(),"Vencido",IF(AB673=TODAY(),"Hoy","En tiempo"))))</f>
        <v/>
      </c>
      <c r="AH673" s="11" t="str">
        <f>IF(OR(B673="",V673=""),"",V673-B673)</f>
        <v/>
      </c>
      <c r="AI673" s="16" t="str">
        <f>IF(P673="","",P673-WEEKDAY(P673,3))</f>
        <v/>
      </c>
      <c r="AJ673" s="23" t="str">
        <f>IF(P673="","",DATE(YEAR(P673),MONTH(P673),1))</f>
        <v/>
      </c>
    </row>
    <row r="674">
      <c r="A674" s="21"/>
      <c r="B674" s="14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14"/>
      <c r="Q674" s="21"/>
      <c r="R674" s="21"/>
      <c r="S674" s="21"/>
      <c r="T674" s="21"/>
      <c r="U674" s="21"/>
      <c r="V674" s="14"/>
      <c r="W674" s="22"/>
      <c r="X674" s="14"/>
      <c r="Y674" s="11" t="str">
        <f>IF(V674="","",IF(X674&lt;&gt;"",IF(X674-V674&lt;30,"No","Sí"),IF(TODAY()-V674&gt;=30,"Sí","En curso")))</f>
        <v/>
      </c>
      <c r="Z674" s="14"/>
      <c r="AA674" s="21"/>
      <c r="AB674" s="14"/>
      <c r="AC674" s="21"/>
      <c r="AD674" s="21"/>
      <c r="AE674" s="7"/>
      <c r="AF674" s="11" t="str">
        <f>IF(OR(AC674&lt;&gt;"Abierto",Z674=""),"",TODAY()-Z674)</f>
        <v/>
      </c>
      <c r="AG674" s="11" t="str">
        <f>IF(AC674&lt;&gt;"Abierto","",IF(AB674="","Sin siguiente acción",IF(AB674&lt;TODAY(),"Vencido",IF(AB674=TODAY(),"Hoy","En tiempo"))))</f>
        <v/>
      </c>
      <c r="AH674" s="11" t="str">
        <f>IF(OR(B674="",V674=""),"",V674-B674)</f>
        <v/>
      </c>
      <c r="AI674" s="16" t="str">
        <f>IF(P674="","",P674-WEEKDAY(P674,3))</f>
        <v/>
      </c>
      <c r="AJ674" s="23" t="str">
        <f>IF(P674="","",DATE(YEAR(P674),MONTH(P674),1))</f>
        <v/>
      </c>
    </row>
    <row r="675">
      <c r="A675" s="21"/>
      <c r="B675" s="14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14"/>
      <c r="Q675" s="21"/>
      <c r="R675" s="21"/>
      <c r="S675" s="21"/>
      <c r="T675" s="21"/>
      <c r="U675" s="21"/>
      <c r="V675" s="14"/>
      <c r="W675" s="22"/>
      <c r="X675" s="14"/>
      <c r="Y675" s="11" t="str">
        <f>IF(V675="","",IF(X675&lt;&gt;"",IF(X675-V675&lt;30,"No","Sí"),IF(TODAY()-V675&gt;=30,"Sí","En curso")))</f>
        <v/>
      </c>
      <c r="Z675" s="14"/>
      <c r="AA675" s="21"/>
      <c r="AB675" s="14"/>
      <c r="AC675" s="21"/>
      <c r="AD675" s="21"/>
      <c r="AE675" s="7"/>
      <c r="AF675" s="11" t="str">
        <f>IF(OR(AC675&lt;&gt;"Abierto",Z675=""),"",TODAY()-Z675)</f>
        <v/>
      </c>
      <c r="AG675" s="11" t="str">
        <f>IF(AC675&lt;&gt;"Abierto","",IF(AB675="","Sin siguiente acción",IF(AB675&lt;TODAY(),"Vencido",IF(AB675=TODAY(),"Hoy","En tiempo"))))</f>
        <v/>
      </c>
      <c r="AH675" s="11" t="str">
        <f>IF(OR(B675="",V675=""),"",V675-B675)</f>
        <v/>
      </c>
      <c r="AI675" s="16" t="str">
        <f>IF(P675="","",P675-WEEKDAY(P675,3))</f>
        <v/>
      </c>
      <c r="AJ675" s="23" t="str">
        <f>IF(P675="","",DATE(YEAR(P675),MONTH(P675),1))</f>
        <v/>
      </c>
    </row>
    <row r="676">
      <c r="A676" s="21"/>
      <c r="B676" s="14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14"/>
      <c r="Q676" s="21"/>
      <c r="R676" s="21"/>
      <c r="S676" s="21"/>
      <c r="T676" s="21"/>
      <c r="U676" s="21"/>
      <c r="V676" s="14"/>
      <c r="W676" s="22"/>
      <c r="X676" s="14"/>
      <c r="Y676" s="11" t="str">
        <f>IF(V676="","",IF(X676&lt;&gt;"",IF(X676-V676&lt;30,"No","Sí"),IF(TODAY()-V676&gt;=30,"Sí","En curso")))</f>
        <v/>
      </c>
      <c r="Z676" s="14"/>
      <c r="AA676" s="21"/>
      <c r="AB676" s="14"/>
      <c r="AC676" s="21"/>
      <c r="AD676" s="21"/>
      <c r="AE676" s="7"/>
      <c r="AF676" s="11" t="str">
        <f>IF(OR(AC676&lt;&gt;"Abierto",Z676=""),"",TODAY()-Z676)</f>
        <v/>
      </c>
      <c r="AG676" s="11" t="str">
        <f>IF(AC676&lt;&gt;"Abierto","",IF(AB676="","Sin siguiente acción",IF(AB676&lt;TODAY(),"Vencido",IF(AB676=TODAY(),"Hoy","En tiempo"))))</f>
        <v/>
      </c>
      <c r="AH676" s="11" t="str">
        <f>IF(OR(B676="",V676=""),"",V676-B676)</f>
        <v/>
      </c>
      <c r="AI676" s="16" t="str">
        <f>IF(P676="","",P676-WEEKDAY(P676,3))</f>
        <v/>
      </c>
      <c r="AJ676" s="23" t="str">
        <f>IF(P676="","",DATE(YEAR(P676),MONTH(P676),1))</f>
        <v/>
      </c>
    </row>
    <row r="677">
      <c r="A677" s="21"/>
      <c r="B677" s="14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14"/>
      <c r="Q677" s="21"/>
      <c r="R677" s="21"/>
      <c r="S677" s="21"/>
      <c r="T677" s="21"/>
      <c r="U677" s="21"/>
      <c r="V677" s="14"/>
      <c r="W677" s="22"/>
      <c r="X677" s="14"/>
      <c r="Y677" s="11" t="str">
        <f>IF(V677="","",IF(X677&lt;&gt;"",IF(X677-V677&lt;30,"No","Sí"),IF(TODAY()-V677&gt;=30,"Sí","En curso")))</f>
        <v/>
      </c>
      <c r="Z677" s="14"/>
      <c r="AA677" s="21"/>
      <c r="AB677" s="14"/>
      <c r="AC677" s="21"/>
      <c r="AD677" s="21"/>
      <c r="AE677" s="7"/>
      <c r="AF677" s="11" t="str">
        <f>IF(OR(AC677&lt;&gt;"Abierto",Z677=""),"",TODAY()-Z677)</f>
        <v/>
      </c>
      <c r="AG677" s="11" t="str">
        <f>IF(AC677&lt;&gt;"Abierto","",IF(AB677="","Sin siguiente acción",IF(AB677&lt;TODAY(),"Vencido",IF(AB677=TODAY(),"Hoy","En tiempo"))))</f>
        <v/>
      </c>
      <c r="AH677" s="11" t="str">
        <f>IF(OR(B677="",V677=""),"",V677-B677)</f>
        <v/>
      </c>
      <c r="AI677" s="16" t="str">
        <f>IF(P677="","",P677-WEEKDAY(P677,3))</f>
        <v/>
      </c>
      <c r="AJ677" s="23" t="str">
        <f>IF(P677="","",DATE(YEAR(P677),MONTH(P677),1))</f>
        <v/>
      </c>
    </row>
    <row r="678">
      <c r="A678" s="21"/>
      <c r="B678" s="14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14"/>
      <c r="Q678" s="21"/>
      <c r="R678" s="21"/>
      <c r="S678" s="21"/>
      <c r="T678" s="21"/>
      <c r="U678" s="21"/>
      <c r="V678" s="14"/>
      <c r="W678" s="22"/>
      <c r="X678" s="14"/>
      <c r="Y678" s="11" t="str">
        <f>IF(V678="","",IF(X678&lt;&gt;"",IF(X678-V678&lt;30,"No","Sí"),IF(TODAY()-V678&gt;=30,"Sí","En curso")))</f>
        <v/>
      </c>
      <c r="Z678" s="14"/>
      <c r="AA678" s="21"/>
      <c r="AB678" s="14"/>
      <c r="AC678" s="21"/>
      <c r="AD678" s="21"/>
      <c r="AE678" s="7"/>
      <c r="AF678" s="11" t="str">
        <f>IF(OR(AC678&lt;&gt;"Abierto",Z678=""),"",TODAY()-Z678)</f>
        <v/>
      </c>
      <c r="AG678" s="11" t="str">
        <f>IF(AC678&lt;&gt;"Abierto","",IF(AB678="","Sin siguiente acción",IF(AB678&lt;TODAY(),"Vencido",IF(AB678=TODAY(),"Hoy","En tiempo"))))</f>
        <v/>
      </c>
      <c r="AH678" s="11" t="str">
        <f>IF(OR(B678="",V678=""),"",V678-B678)</f>
        <v/>
      </c>
      <c r="AI678" s="16" t="str">
        <f>IF(P678="","",P678-WEEKDAY(P678,3))</f>
        <v/>
      </c>
      <c r="AJ678" s="23" t="str">
        <f>IF(P678="","",DATE(YEAR(P678),MONTH(P678),1))</f>
        <v/>
      </c>
    </row>
    <row r="679">
      <c r="A679" s="21"/>
      <c r="B679" s="14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14"/>
      <c r="Q679" s="21"/>
      <c r="R679" s="21"/>
      <c r="S679" s="21"/>
      <c r="T679" s="21"/>
      <c r="U679" s="21"/>
      <c r="V679" s="14"/>
      <c r="W679" s="22"/>
      <c r="X679" s="14"/>
      <c r="Y679" s="11" t="str">
        <f>IF(V679="","",IF(X679&lt;&gt;"",IF(X679-V679&lt;30,"No","Sí"),IF(TODAY()-V679&gt;=30,"Sí","En curso")))</f>
        <v/>
      </c>
      <c r="Z679" s="14"/>
      <c r="AA679" s="21"/>
      <c r="AB679" s="14"/>
      <c r="AC679" s="21"/>
      <c r="AD679" s="21"/>
      <c r="AE679" s="7"/>
      <c r="AF679" s="11" t="str">
        <f>IF(OR(AC679&lt;&gt;"Abierto",Z679=""),"",TODAY()-Z679)</f>
        <v/>
      </c>
      <c r="AG679" s="11" t="str">
        <f>IF(AC679&lt;&gt;"Abierto","",IF(AB679="","Sin siguiente acción",IF(AB679&lt;TODAY(),"Vencido",IF(AB679=TODAY(),"Hoy","En tiempo"))))</f>
        <v/>
      </c>
      <c r="AH679" s="11" t="str">
        <f>IF(OR(B679="",V679=""),"",V679-B679)</f>
        <v/>
      </c>
      <c r="AI679" s="16" t="str">
        <f>IF(P679="","",P679-WEEKDAY(P679,3))</f>
        <v/>
      </c>
      <c r="AJ679" s="23" t="str">
        <f>IF(P679="","",DATE(YEAR(P679),MONTH(P679),1))</f>
        <v/>
      </c>
    </row>
    <row r="680">
      <c r="A680" s="21"/>
      <c r="B680" s="14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14"/>
      <c r="Q680" s="21"/>
      <c r="R680" s="21"/>
      <c r="S680" s="21"/>
      <c r="T680" s="21"/>
      <c r="U680" s="21"/>
      <c r="V680" s="14"/>
      <c r="W680" s="22"/>
      <c r="X680" s="14"/>
      <c r="Y680" s="11" t="str">
        <f>IF(V680="","",IF(X680&lt;&gt;"",IF(X680-V680&lt;30,"No","Sí"),IF(TODAY()-V680&gt;=30,"Sí","En curso")))</f>
        <v/>
      </c>
      <c r="Z680" s="14"/>
      <c r="AA680" s="21"/>
      <c r="AB680" s="14"/>
      <c r="AC680" s="21"/>
      <c r="AD680" s="21"/>
      <c r="AE680" s="7"/>
      <c r="AF680" s="11" t="str">
        <f>IF(OR(AC680&lt;&gt;"Abierto",Z680=""),"",TODAY()-Z680)</f>
        <v/>
      </c>
      <c r="AG680" s="11" t="str">
        <f>IF(AC680&lt;&gt;"Abierto","",IF(AB680="","Sin siguiente acción",IF(AB680&lt;TODAY(),"Vencido",IF(AB680=TODAY(),"Hoy","En tiempo"))))</f>
        <v/>
      </c>
      <c r="AH680" s="11" t="str">
        <f>IF(OR(B680="",V680=""),"",V680-B680)</f>
        <v/>
      </c>
      <c r="AI680" s="16" t="str">
        <f>IF(P680="","",P680-WEEKDAY(P680,3))</f>
        <v/>
      </c>
      <c r="AJ680" s="23" t="str">
        <f>IF(P680="","",DATE(YEAR(P680),MONTH(P680),1))</f>
        <v/>
      </c>
    </row>
    <row r="681">
      <c r="A681" s="21"/>
      <c r="B681" s="14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14"/>
      <c r="Q681" s="21"/>
      <c r="R681" s="21"/>
      <c r="S681" s="21"/>
      <c r="T681" s="21"/>
      <c r="U681" s="21"/>
      <c r="V681" s="14"/>
      <c r="W681" s="22"/>
      <c r="X681" s="14"/>
      <c r="Y681" s="11" t="str">
        <f>IF(V681="","",IF(X681&lt;&gt;"",IF(X681-V681&lt;30,"No","Sí"),IF(TODAY()-V681&gt;=30,"Sí","En curso")))</f>
        <v/>
      </c>
      <c r="Z681" s="14"/>
      <c r="AA681" s="21"/>
      <c r="AB681" s="14"/>
      <c r="AC681" s="21"/>
      <c r="AD681" s="21"/>
      <c r="AE681" s="7"/>
      <c r="AF681" s="11" t="str">
        <f>IF(OR(AC681&lt;&gt;"Abierto",Z681=""),"",TODAY()-Z681)</f>
        <v/>
      </c>
      <c r="AG681" s="11" t="str">
        <f>IF(AC681&lt;&gt;"Abierto","",IF(AB681="","Sin siguiente acción",IF(AB681&lt;TODAY(),"Vencido",IF(AB681=TODAY(),"Hoy","En tiempo"))))</f>
        <v/>
      </c>
      <c r="AH681" s="11" t="str">
        <f>IF(OR(B681="",V681=""),"",V681-B681)</f>
        <v/>
      </c>
      <c r="AI681" s="16" t="str">
        <f>IF(P681="","",P681-WEEKDAY(P681,3))</f>
        <v/>
      </c>
      <c r="AJ681" s="23" t="str">
        <f>IF(P681="","",DATE(YEAR(P681),MONTH(P681),1))</f>
        <v/>
      </c>
    </row>
    <row r="682">
      <c r="A682" s="21"/>
      <c r="B682" s="14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14"/>
      <c r="Q682" s="21"/>
      <c r="R682" s="21"/>
      <c r="S682" s="21"/>
      <c r="T682" s="21"/>
      <c r="U682" s="21"/>
      <c r="V682" s="14"/>
      <c r="W682" s="22"/>
      <c r="X682" s="14"/>
      <c r="Y682" s="11" t="str">
        <f>IF(V682="","",IF(X682&lt;&gt;"",IF(X682-V682&lt;30,"No","Sí"),IF(TODAY()-V682&gt;=30,"Sí","En curso")))</f>
        <v/>
      </c>
      <c r="Z682" s="14"/>
      <c r="AA682" s="21"/>
      <c r="AB682" s="14"/>
      <c r="AC682" s="21"/>
      <c r="AD682" s="21"/>
      <c r="AE682" s="7"/>
      <c r="AF682" s="11" t="str">
        <f>IF(OR(AC682&lt;&gt;"Abierto",Z682=""),"",TODAY()-Z682)</f>
        <v/>
      </c>
      <c r="AG682" s="11" t="str">
        <f>IF(AC682&lt;&gt;"Abierto","",IF(AB682="","Sin siguiente acción",IF(AB682&lt;TODAY(),"Vencido",IF(AB682=TODAY(),"Hoy","En tiempo"))))</f>
        <v/>
      </c>
      <c r="AH682" s="11" t="str">
        <f>IF(OR(B682="",V682=""),"",V682-B682)</f>
        <v/>
      </c>
      <c r="AI682" s="16" t="str">
        <f>IF(P682="","",P682-WEEKDAY(P682,3))</f>
        <v/>
      </c>
      <c r="AJ682" s="23" t="str">
        <f>IF(P682="","",DATE(YEAR(P682),MONTH(P682),1))</f>
        <v/>
      </c>
    </row>
    <row r="683">
      <c r="A683" s="21"/>
      <c r="B683" s="14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14"/>
      <c r="Q683" s="21"/>
      <c r="R683" s="21"/>
      <c r="S683" s="21"/>
      <c r="T683" s="21"/>
      <c r="U683" s="21"/>
      <c r="V683" s="14"/>
      <c r="W683" s="22"/>
      <c r="X683" s="14"/>
      <c r="Y683" s="11" t="str">
        <f>IF(V683="","",IF(X683&lt;&gt;"",IF(X683-V683&lt;30,"No","Sí"),IF(TODAY()-V683&gt;=30,"Sí","En curso")))</f>
        <v/>
      </c>
      <c r="Z683" s="14"/>
      <c r="AA683" s="21"/>
      <c r="AB683" s="14"/>
      <c r="AC683" s="21"/>
      <c r="AD683" s="21"/>
      <c r="AE683" s="7"/>
      <c r="AF683" s="11" t="str">
        <f>IF(OR(AC683&lt;&gt;"Abierto",Z683=""),"",TODAY()-Z683)</f>
        <v/>
      </c>
      <c r="AG683" s="11" t="str">
        <f>IF(AC683&lt;&gt;"Abierto","",IF(AB683="","Sin siguiente acción",IF(AB683&lt;TODAY(),"Vencido",IF(AB683=TODAY(),"Hoy","En tiempo"))))</f>
        <v/>
      </c>
      <c r="AH683" s="11" t="str">
        <f>IF(OR(B683="",V683=""),"",V683-B683)</f>
        <v/>
      </c>
      <c r="AI683" s="16" t="str">
        <f>IF(P683="","",P683-WEEKDAY(P683,3))</f>
        <v/>
      </c>
      <c r="AJ683" s="23" t="str">
        <f>IF(P683="","",DATE(YEAR(P683),MONTH(P683),1))</f>
        <v/>
      </c>
    </row>
    <row r="684">
      <c r="A684" s="21"/>
      <c r="B684" s="14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14"/>
      <c r="Q684" s="21"/>
      <c r="R684" s="21"/>
      <c r="S684" s="21"/>
      <c r="T684" s="21"/>
      <c r="U684" s="21"/>
      <c r="V684" s="14"/>
      <c r="W684" s="22"/>
      <c r="X684" s="14"/>
      <c r="Y684" s="11" t="str">
        <f>IF(V684="","",IF(X684&lt;&gt;"",IF(X684-V684&lt;30,"No","Sí"),IF(TODAY()-V684&gt;=30,"Sí","En curso")))</f>
        <v/>
      </c>
      <c r="Z684" s="14"/>
      <c r="AA684" s="21"/>
      <c r="AB684" s="14"/>
      <c r="AC684" s="21"/>
      <c r="AD684" s="21"/>
      <c r="AE684" s="7"/>
      <c r="AF684" s="11" t="str">
        <f>IF(OR(AC684&lt;&gt;"Abierto",Z684=""),"",TODAY()-Z684)</f>
        <v/>
      </c>
      <c r="AG684" s="11" t="str">
        <f>IF(AC684&lt;&gt;"Abierto","",IF(AB684="","Sin siguiente acción",IF(AB684&lt;TODAY(),"Vencido",IF(AB684=TODAY(),"Hoy","En tiempo"))))</f>
        <v/>
      </c>
      <c r="AH684" s="11" t="str">
        <f>IF(OR(B684="",V684=""),"",V684-B684)</f>
        <v/>
      </c>
      <c r="AI684" s="16" t="str">
        <f>IF(P684="","",P684-WEEKDAY(P684,3))</f>
        <v/>
      </c>
      <c r="AJ684" s="23" t="str">
        <f>IF(P684="","",DATE(YEAR(P684),MONTH(P684),1))</f>
        <v/>
      </c>
    </row>
    <row r="685">
      <c r="A685" s="21"/>
      <c r="B685" s="14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14"/>
      <c r="Q685" s="21"/>
      <c r="R685" s="21"/>
      <c r="S685" s="21"/>
      <c r="T685" s="21"/>
      <c r="U685" s="21"/>
      <c r="V685" s="14"/>
      <c r="W685" s="22"/>
      <c r="X685" s="14"/>
      <c r="Y685" s="11" t="str">
        <f>IF(V685="","",IF(X685&lt;&gt;"",IF(X685-V685&lt;30,"No","Sí"),IF(TODAY()-V685&gt;=30,"Sí","En curso")))</f>
        <v/>
      </c>
      <c r="Z685" s="14"/>
      <c r="AA685" s="21"/>
      <c r="AB685" s="14"/>
      <c r="AC685" s="21"/>
      <c r="AD685" s="21"/>
      <c r="AE685" s="7"/>
      <c r="AF685" s="11" t="str">
        <f>IF(OR(AC685&lt;&gt;"Abierto",Z685=""),"",TODAY()-Z685)</f>
        <v/>
      </c>
      <c r="AG685" s="11" t="str">
        <f>IF(AC685&lt;&gt;"Abierto","",IF(AB685="","Sin siguiente acción",IF(AB685&lt;TODAY(),"Vencido",IF(AB685=TODAY(),"Hoy","En tiempo"))))</f>
        <v/>
      </c>
      <c r="AH685" s="11" t="str">
        <f>IF(OR(B685="",V685=""),"",V685-B685)</f>
        <v/>
      </c>
      <c r="AI685" s="16" t="str">
        <f>IF(P685="","",P685-WEEKDAY(P685,3))</f>
        <v/>
      </c>
      <c r="AJ685" s="23" t="str">
        <f>IF(P685="","",DATE(YEAR(P685),MONTH(P685),1))</f>
        <v/>
      </c>
    </row>
    <row r="686">
      <c r="A686" s="21"/>
      <c r="B686" s="14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14"/>
      <c r="Q686" s="21"/>
      <c r="R686" s="21"/>
      <c r="S686" s="21"/>
      <c r="T686" s="21"/>
      <c r="U686" s="21"/>
      <c r="V686" s="14"/>
      <c r="W686" s="22"/>
      <c r="X686" s="14"/>
      <c r="Y686" s="11" t="str">
        <f>IF(V686="","",IF(X686&lt;&gt;"",IF(X686-V686&lt;30,"No","Sí"),IF(TODAY()-V686&gt;=30,"Sí","En curso")))</f>
        <v/>
      </c>
      <c r="Z686" s="14"/>
      <c r="AA686" s="21"/>
      <c r="AB686" s="14"/>
      <c r="AC686" s="21"/>
      <c r="AD686" s="21"/>
      <c r="AE686" s="7"/>
      <c r="AF686" s="11" t="str">
        <f>IF(OR(AC686&lt;&gt;"Abierto",Z686=""),"",TODAY()-Z686)</f>
        <v/>
      </c>
      <c r="AG686" s="11" t="str">
        <f>IF(AC686&lt;&gt;"Abierto","",IF(AB686="","Sin siguiente acción",IF(AB686&lt;TODAY(),"Vencido",IF(AB686=TODAY(),"Hoy","En tiempo"))))</f>
        <v/>
      </c>
      <c r="AH686" s="11" t="str">
        <f>IF(OR(B686="",V686=""),"",V686-B686)</f>
        <v/>
      </c>
      <c r="AI686" s="16" t="str">
        <f>IF(P686="","",P686-WEEKDAY(P686,3))</f>
        <v/>
      </c>
      <c r="AJ686" s="23" t="str">
        <f>IF(P686="","",DATE(YEAR(P686),MONTH(P686),1))</f>
        <v/>
      </c>
    </row>
    <row r="687">
      <c r="A687" s="21"/>
      <c r="B687" s="14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14"/>
      <c r="Q687" s="21"/>
      <c r="R687" s="21"/>
      <c r="S687" s="21"/>
      <c r="T687" s="21"/>
      <c r="U687" s="21"/>
      <c r="V687" s="14"/>
      <c r="W687" s="22"/>
      <c r="X687" s="14"/>
      <c r="Y687" s="11" t="str">
        <f>IF(V687="","",IF(X687&lt;&gt;"",IF(X687-V687&lt;30,"No","Sí"),IF(TODAY()-V687&gt;=30,"Sí","En curso")))</f>
        <v/>
      </c>
      <c r="Z687" s="14"/>
      <c r="AA687" s="21"/>
      <c r="AB687" s="14"/>
      <c r="AC687" s="21"/>
      <c r="AD687" s="21"/>
      <c r="AE687" s="7"/>
      <c r="AF687" s="11" t="str">
        <f>IF(OR(AC687&lt;&gt;"Abierto",Z687=""),"",TODAY()-Z687)</f>
        <v/>
      </c>
      <c r="AG687" s="11" t="str">
        <f>IF(AC687&lt;&gt;"Abierto","",IF(AB687="","Sin siguiente acción",IF(AB687&lt;TODAY(),"Vencido",IF(AB687=TODAY(),"Hoy","En tiempo"))))</f>
        <v/>
      </c>
      <c r="AH687" s="11" t="str">
        <f>IF(OR(B687="",V687=""),"",V687-B687)</f>
        <v/>
      </c>
      <c r="AI687" s="16" t="str">
        <f>IF(P687="","",P687-WEEKDAY(P687,3))</f>
        <v/>
      </c>
      <c r="AJ687" s="23" t="str">
        <f>IF(P687="","",DATE(YEAR(P687),MONTH(P687),1))</f>
        <v/>
      </c>
    </row>
    <row r="688">
      <c r="A688" s="21"/>
      <c r="B688" s="14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14"/>
      <c r="Q688" s="21"/>
      <c r="R688" s="21"/>
      <c r="S688" s="21"/>
      <c r="T688" s="21"/>
      <c r="U688" s="21"/>
      <c r="V688" s="14"/>
      <c r="W688" s="22"/>
      <c r="X688" s="14"/>
      <c r="Y688" s="11" t="str">
        <f>IF(V688="","",IF(X688&lt;&gt;"",IF(X688-V688&lt;30,"No","Sí"),IF(TODAY()-V688&gt;=30,"Sí","En curso")))</f>
        <v/>
      </c>
      <c r="Z688" s="14"/>
      <c r="AA688" s="21"/>
      <c r="AB688" s="14"/>
      <c r="AC688" s="21"/>
      <c r="AD688" s="21"/>
      <c r="AE688" s="7"/>
      <c r="AF688" s="11" t="str">
        <f>IF(OR(AC688&lt;&gt;"Abierto",Z688=""),"",TODAY()-Z688)</f>
        <v/>
      </c>
      <c r="AG688" s="11" t="str">
        <f>IF(AC688&lt;&gt;"Abierto","",IF(AB688="","Sin siguiente acción",IF(AB688&lt;TODAY(),"Vencido",IF(AB688=TODAY(),"Hoy","En tiempo"))))</f>
        <v/>
      </c>
      <c r="AH688" s="11" t="str">
        <f>IF(OR(B688="",V688=""),"",V688-B688)</f>
        <v/>
      </c>
      <c r="AI688" s="16" t="str">
        <f>IF(P688="","",P688-WEEKDAY(P688,3))</f>
        <v/>
      </c>
      <c r="AJ688" s="23" t="str">
        <f>IF(P688="","",DATE(YEAR(P688),MONTH(P688),1))</f>
        <v/>
      </c>
    </row>
    <row r="689">
      <c r="A689" s="21"/>
      <c r="B689" s="14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14"/>
      <c r="Q689" s="21"/>
      <c r="R689" s="21"/>
      <c r="S689" s="21"/>
      <c r="T689" s="21"/>
      <c r="U689" s="21"/>
      <c r="V689" s="14"/>
      <c r="W689" s="22"/>
      <c r="X689" s="14"/>
      <c r="Y689" s="11" t="str">
        <f>IF(V689="","",IF(X689&lt;&gt;"",IF(X689-V689&lt;30,"No","Sí"),IF(TODAY()-V689&gt;=30,"Sí","En curso")))</f>
        <v/>
      </c>
      <c r="Z689" s="14"/>
      <c r="AA689" s="21"/>
      <c r="AB689" s="14"/>
      <c r="AC689" s="21"/>
      <c r="AD689" s="21"/>
      <c r="AE689" s="7"/>
      <c r="AF689" s="11" t="str">
        <f>IF(OR(AC689&lt;&gt;"Abierto",Z689=""),"",TODAY()-Z689)</f>
        <v/>
      </c>
      <c r="AG689" s="11" t="str">
        <f>IF(AC689&lt;&gt;"Abierto","",IF(AB689="","Sin siguiente acción",IF(AB689&lt;TODAY(),"Vencido",IF(AB689=TODAY(),"Hoy","En tiempo"))))</f>
        <v/>
      </c>
      <c r="AH689" s="11" t="str">
        <f>IF(OR(B689="",V689=""),"",V689-B689)</f>
        <v/>
      </c>
      <c r="AI689" s="16" t="str">
        <f>IF(P689="","",P689-WEEKDAY(P689,3))</f>
        <v/>
      </c>
      <c r="AJ689" s="23" t="str">
        <f>IF(P689="","",DATE(YEAR(P689),MONTH(P689),1))</f>
        <v/>
      </c>
    </row>
    <row r="690">
      <c r="A690" s="21"/>
      <c r="B690" s="14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14"/>
      <c r="Q690" s="21"/>
      <c r="R690" s="21"/>
      <c r="S690" s="21"/>
      <c r="T690" s="21"/>
      <c r="U690" s="21"/>
      <c r="V690" s="14"/>
      <c r="W690" s="22"/>
      <c r="X690" s="14"/>
      <c r="Y690" s="11" t="str">
        <f>IF(V690="","",IF(X690&lt;&gt;"",IF(X690-V690&lt;30,"No","Sí"),IF(TODAY()-V690&gt;=30,"Sí","En curso")))</f>
        <v/>
      </c>
      <c r="Z690" s="14"/>
      <c r="AA690" s="21"/>
      <c r="AB690" s="14"/>
      <c r="AC690" s="21"/>
      <c r="AD690" s="21"/>
      <c r="AE690" s="7"/>
      <c r="AF690" s="11" t="str">
        <f>IF(OR(AC690&lt;&gt;"Abierto",Z690=""),"",TODAY()-Z690)</f>
        <v/>
      </c>
      <c r="AG690" s="11" t="str">
        <f>IF(AC690&lt;&gt;"Abierto","",IF(AB690="","Sin siguiente acción",IF(AB690&lt;TODAY(),"Vencido",IF(AB690=TODAY(),"Hoy","En tiempo"))))</f>
        <v/>
      </c>
      <c r="AH690" s="11" t="str">
        <f>IF(OR(B690="",V690=""),"",V690-B690)</f>
        <v/>
      </c>
      <c r="AI690" s="16" t="str">
        <f>IF(P690="","",P690-WEEKDAY(P690,3))</f>
        <v/>
      </c>
      <c r="AJ690" s="23" t="str">
        <f>IF(P690="","",DATE(YEAR(P690),MONTH(P690),1))</f>
        <v/>
      </c>
    </row>
    <row r="691">
      <c r="A691" s="21"/>
      <c r="B691" s="14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14"/>
      <c r="Q691" s="21"/>
      <c r="R691" s="21"/>
      <c r="S691" s="21"/>
      <c r="T691" s="21"/>
      <c r="U691" s="21"/>
      <c r="V691" s="14"/>
      <c r="W691" s="22"/>
      <c r="X691" s="14"/>
      <c r="Y691" s="11" t="str">
        <f>IF(V691="","",IF(X691&lt;&gt;"",IF(X691-V691&lt;30,"No","Sí"),IF(TODAY()-V691&gt;=30,"Sí","En curso")))</f>
        <v/>
      </c>
      <c r="Z691" s="14"/>
      <c r="AA691" s="21"/>
      <c r="AB691" s="14"/>
      <c r="AC691" s="21"/>
      <c r="AD691" s="21"/>
      <c r="AE691" s="7"/>
      <c r="AF691" s="11" t="str">
        <f>IF(OR(AC691&lt;&gt;"Abierto",Z691=""),"",TODAY()-Z691)</f>
        <v/>
      </c>
      <c r="AG691" s="11" t="str">
        <f>IF(AC691&lt;&gt;"Abierto","",IF(AB691="","Sin siguiente acción",IF(AB691&lt;TODAY(),"Vencido",IF(AB691=TODAY(),"Hoy","En tiempo"))))</f>
        <v/>
      </c>
      <c r="AH691" s="11" t="str">
        <f>IF(OR(B691="",V691=""),"",V691-B691)</f>
        <v/>
      </c>
      <c r="AI691" s="16" t="str">
        <f>IF(P691="","",P691-WEEKDAY(P691,3))</f>
        <v/>
      </c>
      <c r="AJ691" s="23" t="str">
        <f>IF(P691="","",DATE(YEAR(P691),MONTH(P691),1))</f>
        <v/>
      </c>
    </row>
    <row r="692">
      <c r="A692" s="21"/>
      <c r="B692" s="14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14"/>
      <c r="Q692" s="21"/>
      <c r="R692" s="21"/>
      <c r="S692" s="21"/>
      <c r="T692" s="21"/>
      <c r="U692" s="21"/>
      <c r="V692" s="14"/>
      <c r="W692" s="22"/>
      <c r="X692" s="14"/>
      <c r="Y692" s="11" t="str">
        <f>IF(V692="","",IF(X692&lt;&gt;"",IF(X692-V692&lt;30,"No","Sí"),IF(TODAY()-V692&gt;=30,"Sí","En curso")))</f>
        <v/>
      </c>
      <c r="Z692" s="14"/>
      <c r="AA692" s="21"/>
      <c r="AB692" s="14"/>
      <c r="AC692" s="21"/>
      <c r="AD692" s="21"/>
      <c r="AE692" s="7"/>
      <c r="AF692" s="11" t="str">
        <f>IF(OR(AC692&lt;&gt;"Abierto",Z692=""),"",TODAY()-Z692)</f>
        <v/>
      </c>
      <c r="AG692" s="11" t="str">
        <f>IF(AC692&lt;&gt;"Abierto","",IF(AB692="","Sin siguiente acción",IF(AB692&lt;TODAY(),"Vencido",IF(AB692=TODAY(),"Hoy","En tiempo"))))</f>
        <v/>
      </c>
      <c r="AH692" s="11" t="str">
        <f>IF(OR(B692="",V692=""),"",V692-B692)</f>
        <v/>
      </c>
      <c r="AI692" s="16" t="str">
        <f>IF(P692="","",P692-WEEKDAY(P692,3))</f>
        <v/>
      </c>
      <c r="AJ692" s="23" t="str">
        <f>IF(P692="","",DATE(YEAR(P692),MONTH(P692),1))</f>
        <v/>
      </c>
    </row>
    <row r="693">
      <c r="A693" s="21"/>
      <c r="B693" s="14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14"/>
      <c r="Q693" s="21"/>
      <c r="R693" s="21"/>
      <c r="S693" s="21"/>
      <c r="T693" s="21"/>
      <c r="U693" s="21"/>
      <c r="V693" s="14"/>
      <c r="W693" s="22"/>
      <c r="X693" s="14"/>
      <c r="Y693" s="11" t="str">
        <f>IF(V693="","",IF(X693&lt;&gt;"",IF(X693-V693&lt;30,"No","Sí"),IF(TODAY()-V693&gt;=30,"Sí","En curso")))</f>
        <v/>
      </c>
      <c r="Z693" s="14"/>
      <c r="AA693" s="21"/>
      <c r="AB693" s="14"/>
      <c r="AC693" s="21"/>
      <c r="AD693" s="21"/>
      <c r="AE693" s="7"/>
      <c r="AF693" s="11" t="str">
        <f>IF(OR(AC693&lt;&gt;"Abierto",Z693=""),"",TODAY()-Z693)</f>
        <v/>
      </c>
      <c r="AG693" s="11" t="str">
        <f>IF(AC693&lt;&gt;"Abierto","",IF(AB693="","Sin siguiente acción",IF(AB693&lt;TODAY(),"Vencido",IF(AB693=TODAY(),"Hoy","En tiempo"))))</f>
        <v/>
      </c>
      <c r="AH693" s="11" t="str">
        <f>IF(OR(B693="",V693=""),"",V693-B693)</f>
        <v/>
      </c>
      <c r="AI693" s="16" t="str">
        <f>IF(P693="","",P693-WEEKDAY(P693,3))</f>
        <v/>
      </c>
      <c r="AJ693" s="23" t="str">
        <f>IF(P693="","",DATE(YEAR(P693),MONTH(P693),1))</f>
        <v/>
      </c>
    </row>
    <row r="694">
      <c r="A694" s="21"/>
      <c r="B694" s="14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14"/>
      <c r="Q694" s="21"/>
      <c r="R694" s="21"/>
      <c r="S694" s="21"/>
      <c r="T694" s="21"/>
      <c r="U694" s="21"/>
      <c r="V694" s="14"/>
      <c r="W694" s="22"/>
      <c r="X694" s="14"/>
      <c r="Y694" s="11" t="str">
        <f>IF(V694="","",IF(X694&lt;&gt;"",IF(X694-V694&lt;30,"No","Sí"),IF(TODAY()-V694&gt;=30,"Sí","En curso")))</f>
        <v/>
      </c>
      <c r="Z694" s="14"/>
      <c r="AA694" s="21"/>
      <c r="AB694" s="14"/>
      <c r="AC694" s="21"/>
      <c r="AD694" s="21"/>
      <c r="AE694" s="7"/>
      <c r="AF694" s="11" t="str">
        <f>IF(OR(AC694&lt;&gt;"Abierto",Z694=""),"",TODAY()-Z694)</f>
        <v/>
      </c>
      <c r="AG694" s="11" t="str">
        <f>IF(AC694&lt;&gt;"Abierto","",IF(AB694="","Sin siguiente acción",IF(AB694&lt;TODAY(),"Vencido",IF(AB694=TODAY(),"Hoy","En tiempo"))))</f>
        <v/>
      </c>
      <c r="AH694" s="11" t="str">
        <f>IF(OR(B694="",V694=""),"",V694-B694)</f>
        <v/>
      </c>
      <c r="AI694" s="16" t="str">
        <f>IF(P694="","",P694-WEEKDAY(P694,3))</f>
        <v/>
      </c>
      <c r="AJ694" s="23" t="str">
        <f>IF(P694="","",DATE(YEAR(P694),MONTH(P694),1))</f>
        <v/>
      </c>
    </row>
    <row r="695">
      <c r="A695" s="21"/>
      <c r="B695" s="14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14"/>
      <c r="Q695" s="21"/>
      <c r="R695" s="21"/>
      <c r="S695" s="21"/>
      <c r="T695" s="21"/>
      <c r="U695" s="21"/>
      <c r="V695" s="14"/>
      <c r="W695" s="22"/>
      <c r="X695" s="14"/>
      <c r="Y695" s="11" t="str">
        <f>IF(V695="","",IF(X695&lt;&gt;"",IF(X695-V695&lt;30,"No","Sí"),IF(TODAY()-V695&gt;=30,"Sí","En curso")))</f>
        <v/>
      </c>
      <c r="Z695" s="14"/>
      <c r="AA695" s="21"/>
      <c r="AB695" s="14"/>
      <c r="AC695" s="21"/>
      <c r="AD695" s="21"/>
      <c r="AE695" s="7"/>
      <c r="AF695" s="11" t="str">
        <f>IF(OR(AC695&lt;&gt;"Abierto",Z695=""),"",TODAY()-Z695)</f>
        <v/>
      </c>
      <c r="AG695" s="11" t="str">
        <f>IF(AC695&lt;&gt;"Abierto","",IF(AB695="","Sin siguiente acción",IF(AB695&lt;TODAY(),"Vencido",IF(AB695=TODAY(),"Hoy","En tiempo"))))</f>
        <v/>
      </c>
      <c r="AH695" s="11" t="str">
        <f>IF(OR(B695="",V695=""),"",V695-B695)</f>
        <v/>
      </c>
      <c r="AI695" s="16" t="str">
        <f>IF(P695="","",P695-WEEKDAY(P695,3))</f>
        <v/>
      </c>
      <c r="AJ695" s="23" t="str">
        <f>IF(P695="","",DATE(YEAR(P695),MONTH(P695),1))</f>
        <v/>
      </c>
    </row>
    <row r="696">
      <c r="A696" s="21"/>
      <c r="B696" s="14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14"/>
      <c r="Q696" s="21"/>
      <c r="R696" s="21"/>
      <c r="S696" s="21"/>
      <c r="T696" s="21"/>
      <c r="U696" s="21"/>
      <c r="V696" s="14"/>
      <c r="W696" s="22"/>
      <c r="X696" s="14"/>
      <c r="Y696" s="11" t="str">
        <f>IF(V696="","",IF(X696&lt;&gt;"",IF(X696-V696&lt;30,"No","Sí"),IF(TODAY()-V696&gt;=30,"Sí","En curso")))</f>
        <v/>
      </c>
      <c r="Z696" s="14"/>
      <c r="AA696" s="21"/>
      <c r="AB696" s="14"/>
      <c r="AC696" s="21"/>
      <c r="AD696" s="21"/>
      <c r="AE696" s="7"/>
      <c r="AF696" s="11" t="str">
        <f>IF(OR(AC696&lt;&gt;"Abierto",Z696=""),"",TODAY()-Z696)</f>
        <v/>
      </c>
      <c r="AG696" s="11" t="str">
        <f>IF(AC696&lt;&gt;"Abierto","",IF(AB696="","Sin siguiente acción",IF(AB696&lt;TODAY(),"Vencido",IF(AB696=TODAY(),"Hoy","En tiempo"))))</f>
        <v/>
      </c>
      <c r="AH696" s="11" t="str">
        <f>IF(OR(B696="",V696=""),"",V696-B696)</f>
        <v/>
      </c>
      <c r="AI696" s="16" t="str">
        <f>IF(P696="","",P696-WEEKDAY(P696,3))</f>
        <v/>
      </c>
      <c r="AJ696" s="23" t="str">
        <f>IF(P696="","",DATE(YEAR(P696),MONTH(P696),1))</f>
        <v/>
      </c>
    </row>
    <row r="697">
      <c r="A697" s="21"/>
      <c r="B697" s="14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14"/>
      <c r="Q697" s="21"/>
      <c r="R697" s="21"/>
      <c r="S697" s="21"/>
      <c r="T697" s="21"/>
      <c r="U697" s="21"/>
      <c r="V697" s="14"/>
      <c r="W697" s="22"/>
      <c r="X697" s="14"/>
      <c r="Y697" s="11" t="str">
        <f>IF(V697="","",IF(X697&lt;&gt;"",IF(X697-V697&lt;30,"No","Sí"),IF(TODAY()-V697&gt;=30,"Sí","En curso")))</f>
        <v/>
      </c>
      <c r="Z697" s="14"/>
      <c r="AA697" s="21"/>
      <c r="AB697" s="14"/>
      <c r="AC697" s="21"/>
      <c r="AD697" s="21"/>
      <c r="AE697" s="7"/>
      <c r="AF697" s="11" t="str">
        <f>IF(OR(AC697&lt;&gt;"Abierto",Z697=""),"",TODAY()-Z697)</f>
        <v/>
      </c>
      <c r="AG697" s="11" t="str">
        <f>IF(AC697&lt;&gt;"Abierto","",IF(AB697="","Sin siguiente acción",IF(AB697&lt;TODAY(),"Vencido",IF(AB697=TODAY(),"Hoy","En tiempo"))))</f>
        <v/>
      </c>
      <c r="AH697" s="11" t="str">
        <f>IF(OR(B697="",V697=""),"",V697-B697)</f>
        <v/>
      </c>
      <c r="AI697" s="16" t="str">
        <f>IF(P697="","",P697-WEEKDAY(P697,3))</f>
        <v/>
      </c>
      <c r="AJ697" s="23" t="str">
        <f>IF(P697="","",DATE(YEAR(P697),MONTH(P697),1))</f>
        <v/>
      </c>
    </row>
    <row r="698">
      <c r="A698" s="21"/>
      <c r="B698" s="14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14"/>
      <c r="Q698" s="21"/>
      <c r="R698" s="21"/>
      <c r="S698" s="21"/>
      <c r="T698" s="21"/>
      <c r="U698" s="21"/>
      <c r="V698" s="14"/>
      <c r="W698" s="22"/>
      <c r="X698" s="14"/>
      <c r="Y698" s="11" t="str">
        <f>IF(V698="","",IF(X698&lt;&gt;"",IF(X698-V698&lt;30,"No","Sí"),IF(TODAY()-V698&gt;=30,"Sí","En curso")))</f>
        <v/>
      </c>
      <c r="Z698" s="14"/>
      <c r="AA698" s="21"/>
      <c r="AB698" s="14"/>
      <c r="AC698" s="21"/>
      <c r="AD698" s="21"/>
      <c r="AE698" s="7"/>
      <c r="AF698" s="11" t="str">
        <f>IF(OR(AC698&lt;&gt;"Abierto",Z698=""),"",TODAY()-Z698)</f>
        <v/>
      </c>
      <c r="AG698" s="11" t="str">
        <f>IF(AC698&lt;&gt;"Abierto","",IF(AB698="","Sin siguiente acción",IF(AB698&lt;TODAY(),"Vencido",IF(AB698=TODAY(),"Hoy","En tiempo"))))</f>
        <v/>
      </c>
      <c r="AH698" s="11" t="str">
        <f>IF(OR(B698="",V698=""),"",V698-B698)</f>
        <v/>
      </c>
      <c r="AI698" s="16" t="str">
        <f>IF(P698="","",P698-WEEKDAY(P698,3))</f>
        <v/>
      </c>
      <c r="AJ698" s="23" t="str">
        <f>IF(P698="","",DATE(YEAR(P698),MONTH(P698),1))</f>
        <v/>
      </c>
    </row>
    <row r="699">
      <c r="A699" s="21"/>
      <c r="B699" s="14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14"/>
      <c r="Q699" s="21"/>
      <c r="R699" s="21"/>
      <c r="S699" s="21"/>
      <c r="T699" s="21"/>
      <c r="U699" s="21"/>
      <c r="V699" s="14"/>
      <c r="W699" s="22"/>
      <c r="X699" s="14"/>
      <c r="Y699" s="11" t="str">
        <f>IF(V699="","",IF(X699&lt;&gt;"",IF(X699-V699&lt;30,"No","Sí"),IF(TODAY()-V699&gt;=30,"Sí","En curso")))</f>
        <v/>
      </c>
      <c r="Z699" s="14"/>
      <c r="AA699" s="21"/>
      <c r="AB699" s="14"/>
      <c r="AC699" s="21"/>
      <c r="AD699" s="21"/>
      <c r="AE699" s="7"/>
      <c r="AF699" s="11" t="str">
        <f>IF(OR(AC699&lt;&gt;"Abierto",Z699=""),"",TODAY()-Z699)</f>
        <v/>
      </c>
      <c r="AG699" s="11" t="str">
        <f>IF(AC699&lt;&gt;"Abierto","",IF(AB699="","Sin siguiente acción",IF(AB699&lt;TODAY(),"Vencido",IF(AB699=TODAY(),"Hoy","En tiempo"))))</f>
        <v/>
      </c>
      <c r="AH699" s="11" t="str">
        <f>IF(OR(B699="",V699=""),"",V699-B699)</f>
        <v/>
      </c>
      <c r="AI699" s="16" t="str">
        <f>IF(P699="","",P699-WEEKDAY(P699,3))</f>
        <v/>
      </c>
      <c r="AJ699" s="23" t="str">
        <f>IF(P699="","",DATE(YEAR(P699),MONTH(P699),1))</f>
        <v/>
      </c>
    </row>
    <row r="700">
      <c r="A700" s="21"/>
      <c r="B700" s="14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14"/>
      <c r="Q700" s="21"/>
      <c r="R700" s="21"/>
      <c r="S700" s="21"/>
      <c r="T700" s="21"/>
      <c r="U700" s="21"/>
      <c r="V700" s="14"/>
      <c r="W700" s="22"/>
      <c r="X700" s="14"/>
      <c r="Y700" s="11" t="str">
        <f>IF(V700="","",IF(X700&lt;&gt;"",IF(X700-V700&lt;30,"No","Sí"),IF(TODAY()-V700&gt;=30,"Sí","En curso")))</f>
        <v/>
      </c>
      <c r="Z700" s="14"/>
      <c r="AA700" s="21"/>
      <c r="AB700" s="14"/>
      <c r="AC700" s="21"/>
      <c r="AD700" s="21"/>
      <c r="AE700" s="7"/>
      <c r="AF700" s="11" t="str">
        <f>IF(OR(AC700&lt;&gt;"Abierto",Z700=""),"",TODAY()-Z700)</f>
        <v/>
      </c>
      <c r="AG700" s="11" t="str">
        <f>IF(AC700&lt;&gt;"Abierto","",IF(AB700="","Sin siguiente acción",IF(AB700&lt;TODAY(),"Vencido",IF(AB700=TODAY(),"Hoy","En tiempo"))))</f>
        <v/>
      </c>
      <c r="AH700" s="11" t="str">
        <f>IF(OR(B700="",V700=""),"",V700-B700)</f>
        <v/>
      </c>
      <c r="AI700" s="16" t="str">
        <f>IF(P700="","",P700-WEEKDAY(P700,3))</f>
        <v/>
      </c>
      <c r="AJ700" s="23" t="str">
        <f>IF(P700="","",DATE(YEAR(P700),MONTH(P700),1))</f>
        <v/>
      </c>
    </row>
    <row r="701">
      <c r="A701" s="21"/>
      <c r="B701" s="14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14"/>
      <c r="Q701" s="21"/>
      <c r="R701" s="21"/>
      <c r="S701" s="21"/>
      <c r="T701" s="21"/>
      <c r="U701" s="21"/>
      <c r="V701" s="14"/>
      <c r="W701" s="22"/>
      <c r="X701" s="14"/>
      <c r="Y701" s="11" t="str">
        <f>IF(V701="","",IF(X701&lt;&gt;"",IF(X701-V701&lt;30,"No","Sí"),IF(TODAY()-V701&gt;=30,"Sí","En curso")))</f>
        <v/>
      </c>
      <c r="Z701" s="14"/>
      <c r="AA701" s="21"/>
      <c r="AB701" s="14"/>
      <c r="AC701" s="21"/>
      <c r="AD701" s="21"/>
      <c r="AE701" s="7"/>
      <c r="AF701" s="11" t="str">
        <f>IF(OR(AC701&lt;&gt;"Abierto",Z701=""),"",TODAY()-Z701)</f>
        <v/>
      </c>
      <c r="AG701" s="11" t="str">
        <f>IF(AC701&lt;&gt;"Abierto","",IF(AB701="","Sin siguiente acción",IF(AB701&lt;TODAY(),"Vencido",IF(AB701=TODAY(),"Hoy","En tiempo"))))</f>
        <v/>
      </c>
      <c r="AH701" s="11" t="str">
        <f>IF(OR(B701="",V701=""),"",V701-B701)</f>
        <v/>
      </c>
      <c r="AI701" s="16" t="str">
        <f>IF(P701="","",P701-WEEKDAY(P701,3))</f>
        <v/>
      </c>
      <c r="AJ701" s="23" t="str">
        <f>IF(P701="","",DATE(YEAR(P701),MONTH(P701),1))</f>
        <v/>
      </c>
    </row>
    <row r="702">
      <c r="A702" s="21"/>
      <c r="B702" s="14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14"/>
      <c r="Q702" s="21"/>
      <c r="R702" s="21"/>
      <c r="S702" s="21"/>
      <c r="T702" s="21"/>
      <c r="U702" s="21"/>
      <c r="V702" s="14"/>
      <c r="W702" s="22"/>
      <c r="X702" s="14"/>
      <c r="Y702" s="11" t="str">
        <f>IF(V702="","",IF(X702&lt;&gt;"",IF(X702-V702&lt;30,"No","Sí"),IF(TODAY()-V702&gt;=30,"Sí","En curso")))</f>
        <v/>
      </c>
      <c r="Z702" s="14"/>
      <c r="AA702" s="21"/>
      <c r="AB702" s="14"/>
      <c r="AC702" s="21"/>
      <c r="AD702" s="21"/>
      <c r="AE702" s="7"/>
      <c r="AF702" s="11" t="str">
        <f>IF(OR(AC702&lt;&gt;"Abierto",Z702=""),"",TODAY()-Z702)</f>
        <v/>
      </c>
      <c r="AG702" s="11" t="str">
        <f>IF(AC702&lt;&gt;"Abierto","",IF(AB702="","Sin siguiente acción",IF(AB702&lt;TODAY(),"Vencido",IF(AB702=TODAY(),"Hoy","En tiempo"))))</f>
        <v/>
      </c>
      <c r="AH702" s="11" t="str">
        <f>IF(OR(B702="",V702=""),"",V702-B702)</f>
        <v/>
      </c>
      <c r="AI702" s="16" t="str">
        <f>IF(P702="","",P702-WEEKDAY(P702,3))</f>
        <v/>
      </c>
      <c r="AJ702" s="23" t="str">
        <f>IF(P702="","",DATE(YEAR(P702),MONTH(P702),1))</f>
        <v/>
      </c>
    </row>
    <row r="703">
      <c r="A703" s="21"/>
      <c r="B703" s="14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14"/>
      <c r="Q703" s="21"/>
      <c r="R703" s="21"/>
      <c r="S703" s="21"/>
      <c r="T703" s="21"/>
      <c r="U703" s="21"/>
      <c r="V703" s="14"/>
      <c r="W703" s="22"/>
      <c r="X703" s="14"/>
      <c r="Y703" s="11" t="str">
        <f>IF(V703="","",IF(X703&lt;&gt;"",IF(X703-V703&lt;30,"No","Sí"),IF(TODAY()-V703&gt;=30,"Sí","En curso")))</f>
        <v/>
      </c>
      <c r="Z703" s="14"/>
      <c r="AA703" s="21"/>
      <c r="AB703" s="14"/>
      <c r="AC703" s="21"/>
      <c r="AD703" s="21"/>
      <c r="AE703" s="7"/>
      <c r="AF703" s="11" t="str">
        <f>IF(OR(AC703&lt;&gt;"Abierto",Z703=""),"",TODAY()-Z703)</f>
        <v/>
      </c>
      <c r="AG703" s="11" t="str">
        <f>IF(AC703&lt;&gt;"Abierto","",IF(AB703="","Sin siguiente acción",IF(AB703&lt;TODAY(),"Vencido",IF(AB703=TODAY(),"Hoy","En tiempo"))))</f>
        <v/>
      </c>
      <c r="AH703" s="11" t="str">
        <f>IF(OR(B703="",V703=""),"",V703-B703)</f>
        <v/>
      </c>
      <c r="AI703" s="16" t="str">
        <f>IF(P703="","",P703-WEEKDAY(P703,3))</f>
        <v/>
      </c>
      <c r="AJ703" s="23" t="str">
        <f>IF(P703="","",DATE(YEAR(P703),MONTH(P703),1))</f>
        <v/>
      </c>
    </row>
    <row r="704">
      <c r="A704" s="21"/>
      <c r="B704" s="14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14"/>
      <c r="Q704" s="21"/>
      <c r="R704" s="21"/>
      <c r="S704" s="21"/>
      <c r="T704" s="21"/>
      <c r="U704" s="21"/>
      <c r="V704" s="14"/>
      <c r="W704" s="22"/>
      <c r="X704" s="14"/>
      <c r="Y704" s="11" t="str">
        <f>IF(V704="","",IF(X704&lt;&gt;"",IF(X704-V704&lt;30,"No","Sí"),IF(TODAY()-V704&gt;=30,"Sí","En curso")))</f>
        <v/>
      </c>
      <c r="Z704" s="14"/>
      <c r="AA704" s="21"/>
      <c r="AB704" s="14"/>
      <c r="AC704" s="21"/>
      <c r="AD704" s="21"/>
      <c r="AE704" s="7"/>
      <c r="AF704" s="11" t="str">
        <f>IF(OR(AC704&lt;&gt;"Abierto",Z704=""),"",TODAY()-Z704)</f>
        <v/>
      </c>
      <c r="AG704" s="11" t="str">
        <f>IF(AC704&lt;&gt;"Abierto","",IF(AB704="","Sin siguiente acción",IF(AB704&lt;TODAY(),"Vencido",IF(AB704=TODAY(),"Hoy","En tiempo"))))</f>
        <v/>
      </c>
      <c r="AH704" s="11" t="str">
        <f>IF(OR(B704="",V704=""),"",V704-B704)</f>
        <v/>
      </c>
      <c r="AI704" s="16" t="str">
        <f>IF(P704="","",P704-WEEKDAY(P704,3))</f>
        <v/>
      </c>
      <c r="AJ704" s="23" t="str">
        <f>IF(P704="","",DATE(YEAR(P704),MONTH(P704),1))</f>
        <v/>
      </c>
    </row>
    <row r="705">
      <c r="A705" s="21"/>
      <c r="B705" s="14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14"/>
      <c r="Q705" s="21"/>
      <c r="R705" s="21"/>
      <c r="S705" s="21"/>
      <c r="T705" s="21"/>
      <c r="U705" s="21"/>
      <c r="V705" s="14"/>
      <c r="W705" s="22"/>
      <c r="X705" s="14"/>
      <c r="Y705" s="11" t="str">
        <f>IF(V705="","",IF(X705&lt;&gt;"",IF(X705-V705&lt;30,"No","Sí"),IF(TODAY()-V705&gt;=30,"Sí","En curso")))</f>
        <v/>
      </c>
      <c r="Z705" s="14"/>
      <c r="AA705" s="21"/>
      <c r="AB705" s="14"/>
      <c r="AC705" s="21"/>
      <c r="AD705" s="21"/>
      <c r="AE705" s="7"/>
      <c r="AF705" s="11" t="str">
        <f>IF(OR(AC705&lt;&gt;"Abierto",Z705=""),"",TODAY()-Z705)</f>
        <v/>
      </c>
      <c r="AG705" s="11" t="str">
        <f>IF(AC705&lt;&gt;"Abierto","",IF(AB705="","Sin siguiente acción",IF(AB705&lt;TODAY(),"Vencido",IF(AB705=TODAY(),"Hoy","En tiempo"))))</f>
        <v/>
      </c>
      <c r="AH705" s="11" t="str">
        <f>IF(OR(B705="",V705=""),"",V705-B705)</f>
        <v/>
      </c>
      <c r="AI705" s="16" t="str">
        <f>IF(P705="","",P705-WEEKDAY(P705,3))</f>
        <v/>
      </c>
      <c r="AJ705" s="23" t="str">
        <f>IF(P705="","",DATE(YEAR(P705),MONTH(P705),1))</f>
        <v/>
      </c>
    </row>
    <row r="706">
      <c r="A706" s="21"/>
      <c r="B706" s="14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14"/>
      <c r="Q706" s="21"/>
      <c r="R706" s="21"/>
      <c r="S706" s="21"/>
      <c r="T706" s="21"/>
      <c r="U706" s="21"/>
      <c r="V706" s="14"/>
      <c r="W706" s="22"/>
      <c r="X706" s="14"/>
      <c r="Y706" s="11" t="str">
        <f>IF(V706="","",IF(X706&lt;&gt;"",IF(X706-V706&lt;30,"No","Sí"),IF(TODAY()-V706&gt;=30,"Sí","En curso")))</f>
        <v/>
      </c>
      <c r="Z706" s="14"/>
      <c r="AA706" s="21"/>
      <c r="AB706" s="14"/>
      <c r="AC706" s="21"/>
      <c r="AD706" s="21"/>
      <c r="AE706" s="7"/>
      <c r="AF706" s="11" t="str">
        <f>IF(OR(AC706&lt;&gt;"Abierto",Z706=""),"",TODAY()-Z706)</f>
        <v/>
      </c>
      <c r="AG706" s="11" t="str">
        <f>IF(AC706&lt;&gt;"Abierto","",IF(AB706="","Sin siguiente acción",IF(AB706&lt;TODAY(),"Vencido",IF(AB706=TODAY(),"Hoy","En tiempo"))))</f>
        <v/>
      </c>
      <c r="AH706" s="11" t="str">
        <f>IF(OR(B706="",V706=""),"",V706-B706)</f>
        <v/>
      </c>
      <c r="AI706" s="16" t="str">
        <f>IF(P706="","",P706-WEEKDAY(P706,3))</f>
        <v/>
      </c>
      <c r="AJ706" s="23" t="str">
        <f>IF(P706="","",DATE(YEAR(P706),MONTH(P706),1))</f>
        <v/>
      </c>
    </row>
    <row r="707">
      <c r="A707" s="21"/>
      <c r="B707" s="14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14"/>
      <c r="Q707" s="21"/>
      <c r="R707" s="21"/>
      <c r="S707" s="21"/>
      <c r="T707" s="21"/>
      <c r="U707" s="21"/>
      <c r="V707" s="14"/>
      <c r="W707" s="22"/>
      <c r="X707" s="14"/>
      <c r="Y707" s="11" t="str">
        <f>IF(V707="","",IF(X707&lt;&gt;"",IF(X707-V707&lt;30,"No","Sí"),IF(TODAY()-V707&gt;=30,"Sí","En curso")))</f>
        <v/>
      </c>
      <c r="Z707" s="14"/>
      <c r="AA707" s="21"/>
      <c r="AB707" s="14"/>
      <c r="AC707" s="21"/>
      <c r="AD707" s="21"/>
      <c r="AE707" s="7"/>
      <c r="AF707" s="11" t="str">
        <f>IF(OR(AC707&lt;&gt;"Abierto",Z707=""),"",TODAY()-Z707)</f>
        <v/>
      </c>
      <c r="AG707" s="11" t="str">
        <f>IF(AC707&lt;&gt;"Abierto","",IF(AB707="","Sin siguiente acción",IF(AB707&lt;TODAY(),"Vencido",IF(AB707=TODAY(),"Hoy","En tiempo"))))</f>
        <v/>
      </c>
      <c r="AH707" s="11" t="str">
        <f>IF(OR(B707="",V707=""),"",V707-B707)</f>
        <v/>
      </c>
      <c r="AI707" s="16" t="str">
        <f>IF(P707="","",P707-WEEKDAY(P707,3))</f>
        <v/>
      </c>
      <c r="AJ707" s="23" t="str">
        <f>IF(P707="","",DATE(YEAR(P707),MONTH(P707),1))</f>
        <v/>
      </c>
    </row>
    <row r="708">
      <c r="A708" s="21"/>
      <c r="B708" s="14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14"/>
      <c r="Q708" s="21"/>
      <c r="R708" s="21"/>
      <c r="S708" s="21"/>
      <c r="T708" s="21"/>
      <c r="U708" s="21"/>
      <c r="V708" s="14"/>
      <c r="W708" s="22"/>
      <c r="X708" s="14"/>
      <c r="Y708" s="11" t="str">
        <f>IF(V708="","",IF(X708&lt;&gt;"",IF(X708-V708&lt;30,"No","Sí"),IF(TODAY()-V708&gt;=30,"Sí","En curso")))</f>
        <v/>
      </c>
      <c r="Z708" s="14"/>
      <c r="AA708" s="21"/>
      <c r="AB708" s="14"/>
      <c r="AC708" s="21"/>
      <c r="AD708" s="21"/>
      <c r="AE708" s="7"/>
      <c r="AF708" s="11" t="str">
        <f>IF(OR(AC708&lt;&gt;"Abierto",Z708=""),"",TODAY()-Z708)</f>
        <v/>
      </c>
      <c r="AG708" s="11" t="str">
        <f>IF(AC708&lt;&gt;"Abierto","",IF(AB708="","Sin siguiente acción",IF(AB708&lt;TODAY(),"Vencido",IF(AB708=TODAY(),"Hoy","En tiempo"))))</f>
        <v/>
      </c>
      <c r="AH708" s="11" t="str">
        <f>IF(OR(B708="",V708=""),"",V708-B708)</f>
        <v/>
      </c>
      <c r="AI708" s="16" t="str">
        <f>IF(P708="","",P708-WEEKDAY(P708,3))</f>
        <v/>
      </c>
      <c r="AJ708" s="23" t="str">
        <f>IF(P708="","",DATE(YEAR(P708),MONTH(P708),1))</f>
        <v/>
      </c>
    </row>
    <row r="709">
      <c r="A709" s="21"/>
      <c r="B709" s="14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14"/>
      <c r="Q709" s="21"/>
      <c r="R709" s="21"/>
      <c r="S709" s="21"/>
      <c r="T709" s="21"/>
      <c r="U709" s="21"/>
      <c r="V709" s="14"/>
      <c r="W709" s="22"/>
      <c r="X709" s="14"/>
      <c r="Y709" s="11" t="str">
        <f>IF(V709="","",IF(X709&lt;&gt;"",IF(X709-V709&lt;30,"No","Sí"),IF(TODAY()-V709&gt;=30,"Sí","En curso")))</f>
        <v/>
      </c>
      <c r="Z709" s="14"/>
      <c r="AA709" s="21"/>
      <c r="AB709" s="14"/>
      <c r="AC709" s="21"/>
      <c r="AD709" s="21"/>
      <c r="AE709" s="7"/>
      <c r="AF709" s="11" t="str">
        <f>IF(OR(AC709&lt;&gt;"Abierto",Z709=""),"",TODAY()-Z709)</f>
        <v/>
      </c>
      <c r="AG709" s="11" t="str">
        <f>IF(AC709&lt;&gt;"Abierto","",IF(AB709="","Sin siguiente acción",IF(AB709&lt;TODAY(),"Vencido",IF(AB709=TODAY(),"Hoy","En tiempo"))))</f>
        <v/>
      </c>
      <c r="AH709" s="11" t="str">
        <f>IF(OR(B709="",V709=""),"",V709-B709)</f>
        <v/>
      </c>
      <c r="AI709" s="16" t="str">
        <f>IF(P709="","",P709-WEEKDAY(P709,3))</f>
        <v/>
      </c>
      <c r="AJ709" s="23" t="str">
        <f>IF(P709="","",DATE(YEAR(P709),MONTH(P709),1))</f>
        <v/>
      </c>
    </row>
    <row r="710">
      <c r="A710" s="21"/>
      <c r="B710" s="14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14"/>
      <c r="Q710" s="21"/>
      <c r="R710" s="21"/>
      <c r="S710" s="21"/>
      <c r="T710" s="21"/>
      <c r="U710" s="21"/>
      <c r="V710" s="14"/>
      <c r="W710" s="22"/>
      <c r="X710" s="14"/>
      <c r="Y710" s="11" t="str">
        <f>IF(V710="","",IF(X710&lt;&gt;"",IF(X710-V710&lt;30,"No","Sí"),IF(TODAY()-V710&gt;=30,"Sí","En curso")))</f>
        <v/>
      </c>
      <c r="Z710" s="14"/>
      <c r="AA710" s="21"/>
      <c r="AB710" s="14"/>
      <c r="AC710" s="21"/>
      <c r="AD710" s="21"/>
      <c r="AE710" s="7"/>
      <c r="AF710" s="11" t="str">
        <f>IF(OR(AC710&lt;&gt;"Abierto",Z710=""),"",TODAY()-Z710)</f>
        <v/>
      </c>
      <c r="AG710" s="11" t="str">
        <f>IF(AC710&lt;&gt;"Abierto","",IF(AB710="","Sin siguiente acción",IF(AB710&lt;TODAY(),"Vencido",IF(AB710=TODAY(),"Hoy","En tiempo"))))</f>
        <v/>
      </c>
      <c r="AH710" s="11" t="str">
        <f>IF(OR(B710="",V710=""),"",V710-B710)</f>
        <v/>
      </c>
      <c r="AI710" s="16" t="str">
        <f>IF(P710="","",P710-WEEKDAY(P710,3))</f>
        <v/>
      </c>
      <c r="AJ710" s="23" t="str">
        <f>IF(P710="","",DATE(YEAR(P710),MONTH(P710),1))</f>
        <v/>
      </c>
    </row>
    <row r="711">
      <c r="A711" s="21"/>
      <c r="B711" s="14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14"/>
      <c r="Q711" s="21"/>
      <c r="R711" s="21"/>
      <c r="S711" s="21"/>
      <c r="T711" s="21"/>
      <c r="U711" s="21"/>
      <c r="V711" s="14"/>
      <c r="W711" s="22"/>
      <c r="X711" s="14"/>
      <c r="Y711" s="11" t="str">
        <f>IF(V711="","",IF(X711&lt;&gt;"",IF(X711-V711&lt;30,"No","Sí"),IF(TODAY()-V711&gt;=30,"Sí","En curso")))</f>
        <v/>
      </c>
      <c r="Z711" s="14"/>
      <c r="AA711" s="21"/>
      <c r="AB711" s="14"/>
      <c r="AC711" s="21"/>
      <c r="AD711" s="21"/>
      <c r="AE711" s="7"/>
      <c r="AF711" s="11" t="str">
        <f>IF(OR(AC711&lt;&gt;"Abierto",Z711=""),"",TODAY()-Z711)</f>
        <v/>
      </c>
      <c r="AG711" s="11" t="str">
        <f>IF(AC711&lt;&gt;"Abierto","",IF(AB711="","Sin siguiente acción",IF(AB711&lt;TODAY(),"Vencido",IF(AB711=TODAY(),"Hoy","En tiempo"))))</f>
        <v/>
      </c>
      <c r="AH711" s="11" t="str">
        <f>IF(OR(B711="",V711=""),"",V711-B711)</f>
        <v/>
      </c>
      <c r="AI711" s="16" t="str">
        <f>IF(P711="","",P711-WEEKDAY(P711,3))</f>
        <v/>
      </c>
      <c r="AJ711" s="23" t="str">
        <f>IF(P711="","",DATE(YEAR(P711),MONTH(P711),1))</f>
        <v/>
      </c>
    </row>
    <row r="712">
      <c r="A712" s="21"/>
      <c r="B712" s="14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14"/>
      <c r="Q712" s="21"/>
      <c r="R712" s="21"/>
      <c r="S712" s="21"/>
      <c r="T712" s="21"/>
      <c r="U712" s="21"/>
      <c r="V712" s="14"/>
      <c r="W712" s="22"/>
      <c r="X712" s="14"/>
      <c r="Y712" s="11" t="str">
        <f>IF(V712="","",IF(X712&lt;&gt;"",IF(X712-V712&lt;30,"No","Sí"),IF(TODAY()-V712&gt;=30,"Sí","En curso")))</f>
        <v/>
      </c>
      <c r="Z712" s="14"/>
      <c r="AA712" s="21"/>
      <c r="AB712" s="14"/>
      <c r="AC712" s="21"/>
      <c r="AD712" s="21"/>
      <c r="AE712" s="7"/>
      <c r="AF712" s="11" t="str">
        <f>IF(OR(AC712&lt;&gt;"Abierto",Z712=""),"",TODAY()-Z712)</f>
        <v/>
      </c>
      <c r="AG712" s="11" t="str">
        <f>IF(AC712&lt;&gt;"Abierto","",IF(AB712="","Sin siguiente acción",IF(AB712&lt;TODAY(),"Vencido",IF(AB712=TODAY(),"Hoy","En tiempo"))))</f>
        <v/>
      </c>
      <c r="AH712" s="11" t="str">
        <f>IF(OR(B712="",V712=""),"",V712-B712)</f>
        <v/>
      </c>
      <c r="AI712" s="16" t="str">
        <f>IF(P712="","",P712-WEEKDAY(P712,3))</f>
        <v/>
      </c>
      <c r="AJ712" s="23" t="str">
        <f>IF(P712="","",DATE(YEAR(P712),MONTH(P712),1))</f>
        <v/>
      </c>
    </row>
    <row r="713">
      <c r="A713" s="21"/>
      <c r="B713" s="14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14"/>
      <c r="Q713" s="21"/>
      <c r="R713" s="21"/>
      <c r="S713" s="21"/>
      <c r="T713" s="21"/>
      <c r="U713" s="21"/>
      <c r="V713" s="14"/>
      <c r="W713" s="22"/>
      <c r="X713" s="14"/>
      <c r="Y713" s="11" t="str">
        <f>IF(V713="","",IF(X713&lt;&gt;"",IF(X713-V713&lt;30,"No","Sí"),IF(TODAY()-V713&gt;=30,"Sí","En curso")))</f>
        <v/>
      </c>
      <c r="Z713" s="14"/>
      <c r="AA713" s="21"/>
      <c r="AB713" s="14"/>
      <c r="AC713" s="21"/>
      <c r="AD713" s="21"/>
      <c r="AE713" s="7"/>
      <c r="AF713" s="11" t="str">
        <f>IF(OR(AC713&lt;&gt;"Abierto",Z713=""),"",TODAY()-Z713)</f>
        <v/>
      </c>
      <c r="AG713" s="11" t="str">
        <f>IF(AC713&lt;&gt;"Abierto","",IF(AB713="","Sin siguiente acción",IF(AB713&lt;TODAY(),"Vencido",IF(AB713=TODAY(),"Hoy","En tiempo"))))</f>
        <v/>
      </c>
      <c r="AH713" s="11" t="str">
        <f>IF(OR(B713="",V713=""),"",V713-B713)</f>
        <v/>
      </c>
      <c r="AI713" s="16" t="str">
        <f>IF(P713="","",P713-WEEKDAY(P713,3))</f>
        <v/>
      </c>
      <c r="AJ713" s="23" t="str">
        <f>IF(P713="","",DATE(YEAR(P713),MONTH(P713),1))</f>
        <v/>
      </c>
    </row>
    <row r="714">
      <c r="A714" s="21"/>
      <c r="B714" s="14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14"/>
      <c r="Q714" s="21"/>
      <c r="R714" s="21"/>
      <c r="S714" s="21"/>
      <c r="T714" s="21"/>
      <c r="U714" s="21"/>
      <c r="V714" s="14"/>
      <c r="W714" s="22"/>
      <c r="X714" s="14"/>
      <c r="Y714" s="11" t="str">
        <f>IF(V714="","",IF(X714&lt;&gt;"",IF(X714-V714&lt;30,"No","Sí"),IF(TODAY()-V714&gt;=30,"Sí","En curso")))</f>
        <v/>
      </c>
      <c r="Z714" s="14"/>
      <c r="AA714" s="21"/>
      <c r="AB714" s="14"/>
      <c r="AC714" s="21"/>
      <c r="AD714" s="21"/>
      <c r="AE714" s="7"/>
      <c r="AF714" s="11" t="str">
        <f>IF(OR(AC714&lt;&gt;"Abierto",Z714=""),"",TODAY()-Z714)</f>
        <v/>
      </c>
      <c r="AG714" s="11" t="str">
        <f>IF(AC714&lt;&gt;"Abierto","",IF(AB714="","Sin siguiente acción",IF(AB714&lt;TODAY(),"Vencido",IF(AB714=TODAY(),"Hoy","En tiempo"))))</f>
        <v/>
      </c>
      <c r="AH714" s="11" t="str">
        <f>IF(OR(B714="",V714=""),"",V714-B714)</f>
        <v/>
      </c>
      <c r="AI714" s="16" t="str">
        <f>IF(P714="","",P714-WEEKDAY(P714,3))</f>
        <v/>
      </c>
      <c r="AJ714" s="23" t="str">
        <f>IF(P714="","",DATE(YEAR(P714),MONTH(P714),1))</f>
        <v/>
      </c>
    </row>
    <row r="715">
      <c r="A715" s="21"/>
      <c r="B715" s="14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14"/>
      <c r="Q715" s="21"/>
      <c r="R715" s="21"/>
      <c r="S715" s="21"/>
      <c r="T715" s="21"/>
      <c r="U715" s="21"/>
      <c r="V715" s="14"/>
      <c r="W715" s="22"/>
      <c r="X715" s="14"/>
      <c r="Y715" s="11" t="str">
        <f>IF(V715="","",IF(X715&lt;&gt;"",IF(X715-V715&lt;30,"No","Sí"),IF(TODAY()-V715&gt;=30,"Sí","En curso")))</f>
        <v/>
      </c>
      <c r="Z715" s="14"/>
      <c r="AA715" s="21"/>
      <c r="AB715" s="14"/>
      <c r="AC715" s="21"/>
      <c r="AD715" s="21"/>
      <c r="AE715" s="7"/>
      <c r="AF715" s="11" t="str">
        <f>IF(OR(AC715&lt;&gt;"Abierto",Z715=""),"",TODAY()-Z715)</f>
        <v/>
      </c>
      <c r="AG715" s="11" t="str">
        <f>IF(AC715&lt;&gt;"Abierto","",IF(AB715="","Sin siguiente acción",IF(AB715&lt;TODAY(),"Vencido",IF(AB715=TODAY(),"Hoy","En tiempo"))))</f>
        <v/>
      </c>
      <c r="AH715" s="11" t="str">
        <f>IF(OR(B715="",V715=""),"",V715-B715)</f>
        <v/>
      </c>
      <c r="AI715" s="16" t="str">
        <f>IF(P715="","",P715-WEEKDAY(P715,3))</f>
        <v/>
      </c>
      <c r="AJ715" s="23" t="str">
        <f>IF(P715="","",DATE(YEAR(P715),MONTH(P715),1))</f>
        <v/>
      </c>
    </row>
    <row r="716">
      <c r="A716" s="21"/>
      <c r="B716" s="14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14"/>
      <c r="Q716" s="21"/>
      <c r="R716" s="21"/>
      <c r="S716" s="21"/>
      <c r="T716" s="21"/>
      <c r="U716" s="21"/>
      <c r="V716" s="14"/>
      <c r="W716" s="22"/>
      <c r="X716" s="14"/>
      <c r="Y716" s="11" t="str">
        <f>IF(V716="","",IF(X716&lt;&gt;"",IF(X716-V716&lt;30,"No","Sí"),IF(TODAY()-V716&gt;=30,"Sí","En curso")))</f>
        <v/>
      </c>
      <c r="Z716" s="14"/>
      <c r="AA716" s="21"/>
      <c r="AB716" s="14"/>
      <c r="AC716" s="21"/>
      <c r="AD716" s="21"/>
      <c r="AE716" s="7"/>
      <c r="AF716" s="11" t="str">
        <f>IF(OR(AC716&lt;&gt;"Abierto",Z716=""),"",TODAY()-Z716)</f>
        <v/>
      </c>
      <c r="AG716" s="11" t="str">
        <f>IF(AC716&lt;&gt;"Abierto","",IF(AB716="","Sin siguiente acción",IF(AB716&lt;TODAY(),"Vencido",IF(AB716=TODAY(),"Hoy","En tiempo"))))</f>
        <v/>
      </c>
      <c r="AH716" s="11" t="str">
        <f>IF(OR(B716="",V716=""),"",V716-B716)</f>
        <v/>
      </c>
      <c r="AI716" s="16" t="str">
        <f>IF(P716="","",P716-WEEKDAY(P716,3))</f>
        <v/>
      </c>
      <c r="AJ716" s="23" t="str">
        <f>IF(P716="","",DATE(YEAR(P716),MONTH(P716),1))</f>
        <v/>
      </c>
    </row>
    <row r="717">
      <c r="A717" s="21"/>
      <c r="B717" s="14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14"/>
      <c r="Q717" s="21"/>
      <c r="R717" s="21"/>
      <c r="S717" s="21"/>
      <c r="T717" s="21"/>
      <c r="U717" s="21"/>
      <c r="V717" s="14"/>
      <c r="W717" s="22"/>
      <c r="X717" s="14"/>
      <c r="Y717" s="11" t="str">
        <f>IF(V717="","",IF(X717&lt;&gt;"",IF(X717-V717&lt;30,"No","Sí"),IF(TODAY()-V717&gt;=30,"Sí","En curso")))</f>
        <v/>
      </c>
      <c r="Z717" s="14"/>
      <c r="AA717" s="21"/>
      <c r="AB717" s="14"/>
      <c r="AC717" s="21"/>
      <c r="AD717" s="21"/>
      <c r="AE717" s="7"/>
      <c r="AF717" s="11" t="str">
        <f>IF(OR(AC717&lt;&gt;"Abierto",Z717=""),"",TODAY()-Z717)</f>
        <v/>
      </c>
      <c r="AG717" s="11" t="str">
        <f>IF(AC717&lt;&gt;"Abierto","",IF(AB717="","Sin siguiente acción",IF(AB717&lt;TODAY(),"Vencido",IF(AB717=TODAY(),"Hoy","En tiempo"))))</f>
        <v/>
      </c>
      <c r="AH717" s="11" t="str">
        <f>IF(OR(B717="",V717=""),"",V717-B717)</f>
        <v/>
      </c>
      <c r="AI717" s="16" t="str">
        <f>IF(P717="","",P717-WEEKDAY(P717,3))</f>
        <v/>
      </c>
      <c r="AJ717" s="23" t="str">
        <f>IF(P717="","",DATE(YEAR(P717),MONTH(P717),1))</f>
        <v/>
      </c>
    </row>
    <row r="718">
      <c r="A718" s="21"/>
      <c r="B718" s="14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14"/>
      <c r="Q718" s="21"/>
      <c r="R718" s="21"/>
      <c r="S718" s="21"/>
      <c r="T718" s="21"/>
      <c r="U718" s="21"/>
      <c r="V718" s="14"/>
      <c r="W718" s="22"/>
      <c r="X718" s="14"/>
      <c r="Y718" s="11" t="str">
        <f>IF(V718="","",IF(X718&lt;&gt;"",IF(X718-V718&lt;30,"No","Sí"),IF(TODAY()-V718&gt;=30,"Sí","En curso")))</f>
        <v/>
      </c>
      <c r="Z718" s="14"/>
      <c r="AA718" s="21"/>
      <c r="AB718" s="14"/>
      <c r="AC718" s="21"/>
      <c r="AD718" s="21"/>
      <c r="AE718" s="7"/>
      <c r="AF718" s="11" t="str">
        <f>IF(OR(AC718&lt;&gt;"Abierto",Z718=""),"",TODAY()-Z718)</f>
        <v/>
      </c>
      <c r="AG718" s="11" t="str">
        <f>IF(AC718&lt;&gt;"Abierto","",IF(AB718="","Sin siguiente acción",IF(AB718&lt;TODAY(),"Vencido",IF(AB718=TODAY(),"Hoy","En tiempo"))))</f>
        <v/>
      </c>
      <c r="AH718" s="11" t="str">
        <f>IF(OR(B718="",V718=""),"",V718-B718)</f>
        <v/>
      </c>
      <c r="AI718" s="16" t="str">
        <f>IF(P718="","",P718-WEEKDAY(P718,3))</f>
        <v/>
      </c>
      <c r="AJ718" s="23" t="str">
        <f>IF(P718="","",DATE(YEAR(P718),MONTH(P718),1))</f>
        <v/>
      </c>
    </row>
    <row r="719">
      <c r="A719" s="21"/>
      <c r="B719" s="14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14"/>
      <c r="Q719" s="21"/>
      <c r="R719" s="21"/>
      <c r="S719" s="21"/>
      <c r="T719" s="21"/>
      <c r="U719" s="21"/>
      <c r="V719" s="14"/>
      <c r="W719" s="22"/>
      <c r="X719" s="14"/>
      <c r="Y719" s="11" t="str">
        <f>IF(V719="","",IF(X719&lt;&gt;"",IF(X719-V719&lt;30,"No","Sí"),IF(TODAY()-V719&gt;=30,"Sí","En curso")))</f>
        <v/>
      </c>
      <c r="Z719" s="14"/>
      <c r="AA719" s="21"/>
      <c r="AB719" s="14"/>
      <c r="AC719" s="21"/>
      <c r="AD719" s="21"/>
      <c r="AE719" s="7"/>
      <c r="AF719" s="11" t="str">
        <f>IF(OR(AC719&lt;&gt;"Abierto",Z719=""),"",TODAY()-Z719)</f>
        <v/>
      </c>
      <c r="AG719" s="11" t="str">
        <f>IF(AC719&lt;&gt;"Abierto","",IF(AB719="","Sin siguiente acción",IF(AB719&lt;TODAY(),"Vencido",IF(AB719=TODAY(),"Hoy","En tiempo"))))</f>
        <v/>
      </c>
      <c r="AH719" s="11" t="str">
        <f>IF(OR(B719="",V719=""),"",V719-B719)</f>
        <v/>
      </c>
      <c r="AI719" s="16" t="str">
        <f>IF(P719="","",P719-WEEKDAY(P719,3))</f>
        <v/>
      </c>
      <c r="AJ719" s="23" t="str">
        <f>IF(P719="","",DATE(YEAR(P719),MONTH(P719),1))</f>
        <v/>
      </c>
    </row>
    <row r="720">
      <c r="A720" s="21"/>
      <c r="B720" s="14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14"/>
      <c r="Q720" s="21"/>
      <c r="R720" s="21"/>
      <c r="S720" s="21"/>
      <c r="T720" s="21"/>
      <c r="U720" s="21"/>
      <c r="V720" s="14"/>
      <c r="W720" s="22"/>
      <c r="X720" s="14"/>
      <c r="Y720" s="11" t="str">
        <f>IF(V720="","",IF(X720&lt;&gt;"",IF(X720-V720&lt;30,"No","Sí"),IF(TODAY()-V720&gt;=30,"Sí","En curso")))</f>
        <v/>
      </c>
      <c r="Z720" s="14"/>
      <c r="AA720" s="21"/>
      <c r="AB720" s="14"/>
      <c r="AC720" s="21"/>
      <c r="AD720" s="21"/>
      <c r="AE720" s="7"/>
      <c r="AF720" s="11" t="str">
        <f>IF(OR(AC720&lt;&gt;"Abierto",Z720=""),"",TODAY()-Z720)</f>
        <v/>
      </c>
      <c r="AG720" s="11" t="str">
        <f>IF(AC720&lt;&gt;"Abierto","",IF(AB720="","Sin siguiente acción",IF(AB720&lt;TODAY(),"Vencido",IF(AB720=TODAY(),"Hoy","En tiempo"))))</f>
        <v/>
      </c>
      <c r="AH720" s="11" t="str">
        <f>IF(OR(B720="",V720=""),"",V720-B720)</f>
        <v/>
      </c>
      <c r="AI720" s="16" t="str">
        <f>IF(P720="","",P720-WEEKDAY(P720,3))</f>
        <v/>
      </c>
      <c r="AJ720" s="23" t="str">
        <f>IF(P720="","",DATE(YEAR(P720),MONTH(P720),1))</f>
        <v/>
      </c>
    </row>
    <row r="721">
      <c r="A721" s="21"/>
      <c r="B721" s="14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14"/>
      <c r="Q721" s="21"/>
      <c r="R721" s="21"/>
      <c r="S721" s="21"/>
      <c r="T721" s="21"/>
      <c r="U721" s="21"/>
      <c r="V721" s="14"/>
      <c r="W721" s="22"/>
      <c r="X721" s="14"/>
      <c r="Y721" s="11" t="str">
        <f>IF(V721="","",IF(X721&lt;&gt;"",IF(X721-V721&lt;30,"No","Sí"),IF(TODAY()-V721&gt;=30,"Sí","En curso")))</f>
        <v/>
      </c>
      <c r="Z721" s="14"/>
      <c r="AA721" s="21"/>
      <c r="AB721" s="14"/>
      <c r="AC721" s="21"/>
      <c r="AD721" s="21"/>
      <c r="AE721" s="7"/>
      <c r="AF721" s="11" t="str">
        <f>IF(OR(AC721&lt;&gt;"Abierto",Z721=""),"",TODAY()-Z721)</f>
        <v/>
      </c>
      <c r="AG721" s="11" t="str">
        <f>IF(AC721&lt;&gt;"Abierto","",IF(AB721="","Sin siguiente acción",IF(AB721&lt;TODAY(),"Vencido",IF(AB721=TODAY(),"Hoy","En tiempo"))))</f>
        <v/>
      </c>
      <c r="AH721" s="11" t="str">
        <f>IF(OR(B721="",V721=""),"",V721-B721)</f>
        <v/>
      </c>
      <c r="AI721" s="16" t="str">
        <f>IF(P721="","",P721-WEEKDAY(P721,3))</f>
        <v/>
      </c>
      <c r="AJ721" s="23" t="str">
        <f>IF(P721="","",DATE(YEAR(P721),MONTH(P721),1))</f>
        <v/>
      </c>
    </row>
    <row r="722">
      <c r="A722" s="21"/>
      <c r="B722" s="14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14"/>
      <c r="Q722" s="21"/>
      <c r="R722" s="21"/>
      <c r="S722" s="21"/>
      <c r="T722" s="21"/>
      <c r="U722" s="21"/>
      <c r="V722" s="14"/>
      <c r="W722" s="22"/>
      <c r="X722" s="14"/>
      <c r="Y722" s="11" t="str">
        <f>IF(V722="","",IF(X722&lt;&gt;"",IF(X722-V722&lt;30,"No","Sí"),IF(TODAY()-V722&gt;=30,"Sí","En curso")))</f>
        <v/>
      </c>
      <c r="Z722" s="14"/>
      <c r="AA722" s="21"/>
      <c r="AB722" s="14"/>
      <c r="AC722" s="21"/>
      <c r="AD722" s="21"/>
      <c r="AE722" s="7"/>
      <c r="AF722" s="11" t="str">
        <f>IF(OR(AC722&lt;&gt;"Abierto",Z722=""),"",TODAY()-Z722)</f>
        <v/>
      </c>
      <c r="AG722" s="11" t="str">
        <f>IF(AC722&lt;&gt;"Abierto","",IF(AB722="","Sin siguiente acción",IF(AB722&lt;TODAY(),"Vencido",IF(AB722=TODAY(),"Hoy","En tiempo"))))</f>
        <v/>
      </c>
      <c r="AH722" s="11" t="str">
        <f>IF(OR(B722="",V722=""),"",V722-B722)</f>
        <v/>
      </c>
      <c r="AI722" s="16" t="str">
        <f>IF(P722="","",P722-WEEKDAY(P722,3))</f>
        <v/>
      </c>
      <c r="AJ722" s="23" t="str">
        <f>IF(P722="","",DATE(YEAR(P722),MONTH(P722),1))</f>
        <v/>
      </c>
    </row>
    <row r="723">
      <c r="A723" s="21"/>
      <c r="B723" s="14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14"/>
      <c r="Q723" s="21"/>
      <c r="R723" s="21"/>
      <c r="S723" s="21"/>
      <c r="T723" s="21"/>
      <c r="U723" s="21"/>
      <c r="V723" s="14"/>
      <c r="W723" s="22"/>
      <c r="X723" s="14"/>
      <c r="Y723" s="11" t="str">
        <f>IF(V723="","",IF(X723&lt;&gt;"",IF(X723-V723&lt;30,"No","Sí"),IF(TODAY()-V723&gt;=30,"Sí","En curso")))</f>
        <v/>
      </c>
      <c r="Z723" s="14"/>
      <c r="AA723" s="21"/>
      <c r="AB723" s="14"/>
      <c r="AC723" s="21"/>
      <c r="AD723" s="21"/>
      <c r="AE723" s="7"/>
      <c r="AF723" s="11" t="str">
        <f>IF(OR(AC723&lt;&gt;"Abierto",Z723=""),"",TODAY()-Z723)</f>
        <v/>
      </c>
      <c r="AG723" s="11" t="str">
        <f>IF(AC723&lt;&gt;"Abierto","",IF(AB723="","Sin siguiente acción",IF(AB723&lt;TODAY(),"Vencido",IF(AB723=TODAY(),"Hoy","En tiempo"))))</f>
        <v/>
      </c>
      <c r="AH723" s="11" t="str">
        <f>IF(OR(B723="",V723=""),"",V723-B723)</f>
        <v/>
      </c>
      <c r="AI723" s="16" t="str">
        <f>IF(P723="","",P723-WEEKDAY(P723,3))</f>
        <v/>
      </c>
      <c r="AJ723" s="23" t="str">
        <f>IF(P723="","",DATE(YEAR(P723),MONTH(P723),1))</f>
        <v/>
      </c>
    </row>
    <row r="724">
      <c r="A724" s="21"/>
      <c r="B724" s="14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14"/>
      <c r="Q724" s="21"/>
      <c r="R724" s="21"/>
      <c r="S724" s="21"/>
      <c r="T724" s="21"/>
      <c r="U724" s="21"/>
      <c r="V724" s="14"/>
      <c r="W724" s="22"/>
      <c r="X724" s="14"/>
      <c r="Y724" s="11" t="str">
        <f>IF(V724="","",IF(X724&lt;&gt;"",IF(X724-V724&lt;30,"No","Sí"),IF(TODAY()-V724&gt;=30,"Sí","En curso")))</f>
        <v/>
      </c>
      <c r="Z724" s="14"/>
      <c r="AA724" s="21"/>
      <c r="AB724" s="14"/>
      <c r="AC724" s="21"/>
      <c r="AD724" s="21"/>
      <c r="AE724" s="7"/>
      <c r="AF724" s="11" t="str">
        <f>IF(OR(AC724&lt;&gt;"Abierto",Z724=""),"",TODAY()-Z724)</f>
        <v/>
      </c>
      <c r="AG724" s="11" t="str">
        <f>IF(AC724&lt;&gt;"Abierto","",IF(AB724="","Sin siguiente acción",IF(AB724&lt;TODAY(),"Vencido",IF(AB724=TODAY(),"Hoy","En tiempo"))))</f>
        <v/>
      </c>
      <c r="AH724" s="11" t="str">
        <f>IF(OR(B724="",V724=""),"",V724-B724)</f>
        <v/>
      </c>
      <c r="AI724" s="16" t="str">
        <f>IF(P724="","",P724-WEEKDAY(P724,3))</f>
        <v/>
      </c>
      <c r="AJ724" s="23" t="str">
        <f>IF(P724="","",DATE(YEAR(P724),MONTH(P724),1))</f>
        <v/>
      </c>
    </row>
    <row r="725">
      <c r="A725" s="21"/>
      <c r="B725" s="14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14"/>
      <c r="Q725" s="21"/>
      <c r="R725" s="21"/>
      <c r="S725" s="21"/>
      <c r="T725" s="21"/>
      <c r="U725" s="21"/>
      <c r="V725" s="14"/>
      <c r="W725" s="22"/>
      <c r="X725" s="14"/>
      <c r="Y725" s="11" t="str">
        <f>IF(V725="","",IF(X725&lt;&gt;"",IF(X725-V725&lt;30,"No","Sí"),IF(TODAY()-V725&gt;=30,"Sí","En curso")))</f>
        <v/>
      </c>
      <c r="Z725" s="14"/>
      <c r="AA725" s="21"/>
      <c r="AB725" s="14"/>
      <c r="AC725" s="21"/>
      <c r="AD725" s="21"/>
      <c r="AE725" s="7"/>
      <c r="AF725" s="11" t="str">
        <f>IF(OR(AC725&lt;&gt;"Abierto",Z725=""),"",TODAY()-Z725)</f>
        <v/>
      </c>
      <c r="AG725" s="11" t="str">
        <f>IF(AC725&lt;&gt;"Abierto","",IF(AB725="","Sin siguiente acción",IF(AB725&lt;TODAY(),"Vencido",IF(AB725=TODAY(),"Hoy","En tiempo"))))</f>
        <v/>
      </c>
      <c r="AH725" s="11" t="str">
        <f>IF(OR(B725="",V725=""),"",V725-B725)</f>
        <v/>
      </c>
      <c r="AI725" s="16" t="str">
        <f>IF(P725="","",P725-WEEKDAY(P725,3))</f>
        <v/>
      </c>
      <c r="AJ725" s="23" t="str">
        <f>IF(P725="","",DATE(YEAR(P725),MONTH(P725),1))</f>
        <v/>
      </c>
    </row>
    <row r="726">
      <c r="A726" s="21"/>
      <c r="B726" s="14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14"/>
      <c r="Q726" s="21"/>
      <c r="R726" s="21"/>
      <c r="S726" s="21"/>
      <c r="T726" s="21"/>
      <c r="U726" s="21"/>
      <c r="V726" s="14"/>
      <c r="W726" s="22"/>
      <c r="X726" s="14"/>
      <c r="Y726" s="11" t="str">
        <f>IF(V726="","",IF(X726&lt;&gt;"",IF(X726-V726&lt;30,"No","Sí"),IF(TODAY()-V726&gt;=30,"Sí","En curso")))</f>
        <v/>
      </c>
      <c r="Z726" s="14"/>
      <c r="AA726" s="21"/>
      <c r="AB726" s="14"/>
      <c r="AC726" s="21"/>
      <c r="AD726" s="21"/>
      <c r="AE726" s="7"/>
      <c r="AF726" s="11" t="str">
        <f>IF(OR(AC726&lt;&gt;"Abierto",Z726=""),"",TODAY()-Z726)</f>
        <v/>
      </c>
      <c r="AG726" s="11" t="str">
        <f>IF(AC726&lt;&gt;"Abierto","",IF(AB726="","Sin siguiente acción",IF(AB726&lt;TODAY(),"Vencido",IF(AB726=TODAY(),"Hoy","En tiempo"))))</f>
        <v/>
      </c>
      <c r="AH726" s="11" t="str">
        <f>IF(OR(B726="",V726=""),"",V726-B726)</f>
        <v/>
      </c>
      <c r="AI726" s="16" t="str">
        <f>IF(P726="","",P726-WEEKDAY(P726,3))</f>
        <v/>
      </c>
      <c r="AJ726" s="23" t="str">
        <f>IF(P726="","",DATE(YEAR(P726),MONTH(P726),1))</f>
        <v/>
      </c>
    </row>
    <row r="727">
      <c r="A727" s="21"/>
      <c r="B727" s="14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14"/>
      <c r="Q727" s="21"/>
      <c r="R727" s="21"/>
      <c r="S727" s="21"/>
      <c r="T727" s="21"/>
      <c r="U727" s="21"/>
      <c r="V727" s="14"/>
      <c r="W727" s="22"/>
      <c r="X727" s="14"/>
      <c r="Y727" s="11" t="str">
        <f>IF(V727="","",IF(X727&lt;&gt;"",IF(X727-V727&lt;30,"No","Sí"),IF(TODAY()-V727&gt;=30,"Sí","En curso")))</f>
        <v/>
      </c>
      <c r="Z727" s="14"/>
      <c r="AA727" s="21"/>
      <c r="AB727" s="14"/>
      <c r="AC727" s="21"/>
      <c r="AD727" s="21"/>
      <c r="AE727" s="7"/>
      <c r="AF727" s="11" t="str">
        <f>IF(OR(AC727&lt;&gt;"Abierto",Z727=""),"",TODAY()-Z727)</f>
        <v/>
      </c>
      <c r="AG727" s="11" t="str">
        <f>IF(AC727&lt;&gt;"Abierto","",IF(AB727="","Sin siguiente acción",IF(AB727&lt;TODAY(),"Vencido",IF(AB727=TODAY(),"Hoy","En tiempo"))))</f>
        <v/>
      </c>
      <c r="AH727" s="11" t="str">
        <f>IF(OR(B727="",V727=""),"",V727-B727)</f>
        <v/>
      </c>
      <c r="AI727" s="16" t="str">
        <f>IF(P727="","",P727-WEEKDAY(P727,3))</f>
        <v/>
      </c>
      <c r="AJ727" s="23" t="str">
        <f>IF(P727="","",DATE(YEAR(P727),MONTH(P727),1))</f>
        <v/>
      </c>
    </row>
    <row r="728">
      <c r="A728" s="21"/>
      <c r="B728" s="14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14"/>
      <c r="Q728" s="21"/>
      <c r="R728" s="21"/>
      <c r="S728" s="21"/>
      <c r="T728" s="21"/>
      <c r="U728" s="21"/>
      <c r="V728" s="14"/>
      <c r="W728" s="22"/>
      <c r="X728" s="14"/>
      <c r="Y728" s="11" t="str">
        <f>IF(V728="","",IF(X728&lt;&gt;"",IF(X728-V728&lt;30,"No","Sí"),IF(TODAY()-V728&gt;=30,"Sí","En curso")))</f>
        <v/>
      </c>
      <c r="Z728" s="14"/>
      <c r="AA728" s="21"/>
      <c r="AB728" s="14"/>
      <c r="AC728" s="21"/>
      <c r="AD728" s="21"/>
      <c r="AE728" s="7"/>
      <c r="AF728" s="11" t="str">
        <f>IF(OR(AC728&lt;&gt;"Abierto",Z728=""),"",TODAY()-Z728)</f>
        <v/>
      </c>
      <c r="AG728" s="11" t="str">
        <f>IF(AC728&lt;&gt;"Abierto","",IF(AB728="","Sin siguiente acción",IF(AB728&lt;TODAY(),"Vencido",IF(AB728=TODAY(),"Hoy","En tiempo"))))</f>
        <v/>
      </c>
      <c r="AH728" s="11" t="str">
        <f>IF(OR(B728="",V728=""),"",V728-B728)</f>
        <v/>
      </c>
      <c r="AI728" s="16" t="str">
        <f>IF(P728="","",P728-WEEKDAY(P728,3))</f>
        <v/>
      </c>
      <c r="AJ728" s="23" t="str">
        <f>IF(P728="","",DATE(YEAR(P728),MONTH(P728),1))</f>
        <v/>
      </c>
    </row>
    <row r="729">
      <c r="A729" s="21"/>
      <c r="B729" s="14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14"/>
      <c r="Q729" s="21"/>
      <c r="R729" s="21"/>
      <c r="S729" s="21"/>
      <c r="T729" s="21"/>
      <c r="U729" s="21"/>
      <c r="V729" s="14"/>
      <c r="W729" s="22"/>
      <c r="X729" s="14"/>
      <c r="Y729" s="11" t="str">
        <f>IF(V729="","",IF(X729&lt;&gt;"",IF(X729-V729&lt;30,"No","Sí"),IF(TODAY()-V729&gt;=30,"Sí","En curso")))</f>
        <v/>
      </c>
      <c r="Z729" s="14"/>
      <c r="AA729" s="21"/>
      <c r="AB729" s="14"/>
      <c r="AC729" s="21"/>
      <c r="AD729" s="21"/>
      <c r="AE729" s="7"/>
      <c r="AF729" s="11" t="str">
        <f>IF(OR(AC729&lt;&gt;"Abierto",Z729=""),"",TODAY()-Z729)</f>
        <v/>
      </c>
      <c r="AG729" s="11" t="str">
        <f>IF(AC729&lt;&gt;"Abierto","",IF(AB729="","Sin siguiente acción",IF(AB729&lt;TODAY(),"Vencido",IF(AB729=TODAY(),"Hoy","En tiempo"))))</f>
        <v/>
      </c>
      <c r="AH729" s="11" t="str">
        <f>IF(OR(B729="",V729=""),"",V729-B729)</f>
        <v/>
      </c>
      <c r="AI729" s="16" t="str">
        <f>IF(P729="","",P729-WEEKDAY(P729,3))</f>
        <v/>
      </c>
      <c r="AJ729" s="23" t="str">
        <f>IF(P729="","",DATE(YEAR(P729),MONTH(P729),1))</f>
        <v/>
      </c>
    </row>
    <row r="730">
      <c r="A730" s="21"/>
      <c r="B730" s="14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14"/>
      <c r="Q730" s="21"/>
      <c r="R730" s="21"/>
      <c r="S730" s="21"/>
      <c r="T730" s="21"/>
      <c r="U730" s="21"/>
      <c r="V730" s="14"/>
      <c r="W730" s="22"/>
      <c r="X730" s="14"/>
      <c r="Y730" s="11" t="str">
        <f>IF(V730="","",IF(X730&lt;&gt;"",IF(X730-V730&lt;30,"No","Sí"),IF(TODAY()-V730&gt;=30,"Sí","En curso")))</f>
        <v/>
      </c>
      <c r="Z730" s="14"/>
      <c r="AA730" s="21"/>
      <c r="AB730" s="14"/>
      <c r="AC730" s="21"/>
      <c r="AD730" s="21"/>
      <c r="AE730" s="7"/>
      <c r="AF730" s="11" t="str">
        <f>IF(OR(AC730&lt;&gt;"Abierto",Z730=""),"",TODAY()-Z730)</f>
        <v/>
      </c>
      <c r="AG730" s="11" t="str">
        <f>IF(AC730&lt;&gt;"Abierto","",IF(AB730="","Sin siguiente acción",IF(AB730&lt;TODAY(),"Vencido",IF(AB730=TODAY(),"Hoy","En tiempo"))))</f>
        <v/>
      </c>
      <c r="AH730" s="11" t="str">
        <f>IF(OR(B730="",V730=""),"",V730-B730)</f>
        <v/>
      </c>
      <c r="AI730" s="16" t="str">
        <f>IF(P730="","",P730-WEEKDAY(P730,3))</f>
        <v/>
      </c>
      <c r="AJ730" s="23" t="str">
        <f>IF(P730="","",DATE(YEAR(P730),MONTH(P730),1))</f>
        <v/>
      </c>
    </row>
    <row r="731">
      <c r="A731" s="21"/>
      <c r="B731" s="14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14"/>
      <c r="Q731" s="21"/>
      <c r="R731" s="21"/>
      <c r="S731" s="21"/>
      <c r="T731" s="21"/>
      <c r="U731" s="21"/>
      <c r="V731" s="14"/>
      <c r="W731" s="22"/>
      <c r="X731" s="14"/>
      <c r="Y731" s="11" t="str">
        <f>IF(V731="","",IF(X731&lt;&gt;"",IF(X731-V731&lt;30,"No","Sí"),IF(TODAY()-V731&gt;=30,"Sí","En curso")))</f>
        <v/>
      </c>
      <c r="Z731" s="14"/>
      <c r="AA731" s="21"/>
      <c r="AB731" s="14"/>
      <c r="AC731" s="21"/>
      <c r="AD731" s="21"/>
      <c r="AE731" s="7"/>
      <c r="AF731" s="11" t="str">
        <f>IF(OR(AC731&lt;&gt;"Abierto",Z731=""),"",TODAY()-Z731)</f>
        <v/>
      </c>
      <c r="AG731" s="11" t="str">
        <f>IF(AC731&lt;&gt;"Abierto","",IF(AB731="","Sin siguiente acción",IF(AB731&lt;TODAY(),"Vencido",IF(AB731=TODAY(),"Hoy","En tiempo"))))</f>
        <v/>
      </c>
      <c r="AH731" s="11" t="str">
        <f>IF(OR(B731="",V731=""),"",V731-B731)</f>
        <v/>
      </c>
      <c r="AI731" s="16" t="str">
        <f>IF(P731="","",P731-WEEKDAY(P731,3))</f>
        <v/>
      </c>
      <c r="AJ731" s="23" t="str">
        <f>IF(P731="","",DATE(YEAR(P731),MONTH(P731),1))</f>
        <v/>
      </c>
    </row>
    <row r="732">
      <c r="A732" s="21"/>
      <c r="B732" s="14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14"/>
      <c r="Q732" s="21"/>
      <c r="R732" s="21"/>
      <c r="S732" s="21"/>
      <c r="T732" s="21"/>
      <c r="U732" s="21"/>
      <c r="V732" s="14"/>
      <c r="W732" s="22"/>
      <c r="X732" s="14"/>
      <c r="Y732" s="11" t="str">
        <f>IF(V732="","",IF(X732&lt;&gt;"",IF(X732-V732&lt;30,"No","Sí"),IF(TODAY()-V732&gt;=30,"Sí","En curso")))</f>
        <v/>
      </c>
      <c r="Z732" s="14"/>
      <c r="AA732" s="21"/>
      <c r="AB732" s="14"/>
      <c r="AC732" s="21"/>
      <c r="AD732" s="21"/>
      <c r="AE732" s="7"/>
      <c r="AF732" s="11" t="str">
        <f>IF(OR(AC732&lt;&gt;"Abierto",Z732=""),"",TODAY()-Z732)</f>
        <v/>
      </c>
      <c r="AG732" s="11" t="str">
        <f>IF(AC732&lt;&gt;"Abierto","",IF(AB732="","Sin siguiente acción",IF(AB732&lt;TODAY(),"Vencido",IF(AB732=TODAY(),"Hoy","En tiempo"))))</f>
        <v/>
      </c>
      <c r="AH732" s="11" t="str">
        <f>IF(OR(B732="",V732=""),"",V732-B732)</f>
        <v/>
      </c>
      <c r="AI732" s="16" t="str">
        <f>IF(P732="","",P732-WEEKDAY(P732,3))</f>
        <v/>
      </c>
      <c r="AJ732" s="23" t="str">
        <f>IF(P732="","",DATE(YEAR(P732),MONTH(P732),1))</f>
        <v/>
      </c>
    </row>
    <row r="733">
      <c r="A733" s="21"/>
      <c r="B733" s="14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14"/>
      <c r="Q733" s="21"/>
      <c r="R733" s="21"/>
      <c r="S733" s="21"/>
      <c r="T733" s="21"/>
      <c r="U733" s="21"/>
      <c r="V733" s="14"/>
      <c r="W733" s="22"/>
      <c r="X733" s="14"/>
      <c r="Y733" s="11" t="str">
        <f>IF(V733="","",IF(X733&lt;&gt;"",IF(X733-V733&lt;30,"No","Sí"),IF(TODAY()-V733&gt;=30,"Sí","En curso")))</f>
        <v/>
      </c>
      <c r="Z733" s="14"/>
      <c r="AA733" s="21"/>
      <c r="AB733" s="14"/>
      <c r="AC733" s="21"/>
      <c r="AD733" s="21"/>
      <c r="AE733" s="7"/>
      <c r="AF733" s="11" t="str">
        <f>IF(OR(AC733&lt;&gt;"Abierto",Z733=""),"",TODAY()-Z733)</f>
        <v/>
      </c>
      <c r="AG733" s="11" t="str">
        <f>IF(AC733&lt;&gt;"Abierto","",IF(AB733="","Sin siguiente acción",IF(AB733&lt;TODAY(),"Vencido",IF(AB733=TODAY(),"Hoy","En tiempo"))))</f>
        <v/>
      </c>
      <c r="AH733" s="11" t="str">
        <f>IF(OR(B733="",V733=""),"",V733-B733)</f>
        <v/>
      </c>
      <c r="AI733" s="16" t="str">
        <f>IF(P733="","",P733-WEEKDAY(P733,3))</f>
        <v/>
      </c>
      <c r="AJ733" s="23" t="str">
        <f>IF(P733="","",DATE(YEAR(P733),MONTH(P733),1))</f>
        <v/>
      </c>
    </row>
    <row r="734">
      <c r="A734" s="21"/>
      <c r="B734" s="14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14"/>
      <c r="Q734" s="21"/>
      <c r="R734" s="21"/>
      <c r="S734" s="21"/>
      <c r="T734" s="21"/>
      <c r="U734" s="21"/>
      <c r="V734" s="14"/>
      <c r="W734" s="22"/>
      <c r="X734" s="14"/>
      <c r="Y734" s="11" t="str">
        <f>IF(V734="","",IF(X734&lt;&gt;"",IF(X734-V734&lt;30,"No","Sí"),IF(TODAY()-V734&gt;=30,"Sí","En curso")))</f>
        <v/>
      </c>
      <c r="Z734" s="14"/>
      <c r="AA734" s="21"/>
      <c r="AB734" s="14"/>
      <c r="AC734" s="21"/>
      <c r="AD734" s="21"/>
      <c r="AE734" s="7"/>
      <c r="AF734" s="11" t="str">
        <f>IF(OR(AC734&lt;&gt;"Abierto",Z734=""),"",TODAY()-Z734)</f>
        <v/>
      </c>
      <c r="AG734" s="11" t="str">
        <f>IF(AC734&lt;&gt;"Abierto","",IF(AB734="","Sin siguiente acción",IF(AB734&lt;TODAY(),"Vencido",IF(AB734=TODAY(),"Hoy","En tiempo"))))</f>
        <v/>
      </c>
      <c r="AH734" s="11" t="str">
        <f>IF(OR(B734="",V734=""),"",V734-B734)</f>
        <v/>
      </c>
      <c r="AI734" s="16" t="str">
        <f>IF(P734="","",P734-WEEKDAY(P734,3))</f>
        <v/>
      </c>
      <c r="AJ734" s="23" t="str">
        <f>IF(P734="","",DATE(YEAR(P734),MONTH(P734),1))</f>
        <v/>
      </c>
    </row>
    <row r="735">
      <c r="A735" s="21"/>
      <c r="B735" s="14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14"/>
      <c r="Q735" s="21"/>
      <c r="R735" s="21"/>
      <c r="S735" s="21"/>
      <c r="T735" s="21"/>
      <c r="U735" s="21"/>
      <c r="V735" s="14"/>
      <c r="W735" s="22"/>
      <c r="X735" s="14"/>
      <c r="Y735" s="11" t="str">
        <f>IF(V735="","",IF(X735&lt;&gt;"",IF(X735-V735&lt;30,"No","Sí"),IF(TODAY()-V735&gt;=30,"Sí","En curso")))</f>
        <v/>
      </c>
      <c r="Z735" s="14"/>
      <c r="AA735" s="21"/>
      <c r="AB735" s="14"/>
      <c r="AC735" s="21"/>
      <c r="AD735" s="21"/>
      <c r="AE735" s="7"/>
      <c r="AF735" s="11" t="str">
        <f>IF(OR(AC735&lt;&gt;"Abierto",Z735=""),"",TODAY()-Z735)</f>
        <v/>
      </c>
      <c r="AG735" s="11" t="str">
        <f>IF(AC735&lt;&gt;"Abierto","",IF(AB735="","Sin siguiente acción",IF(AB735&lt;TODAY(),"Vencido",IF(AB735=TODAY(),"Hoy","En tiempo"))))</f>
        <v/>
      </c>
      <c r="AH735" s="11" t="str">
        <f>IF(OR(B735="",V735=""),"",V735-B735)</f>
        <v/>
      </c>
      <c r="AI735" s="16" t="str">
        <f>IF(P735="","",P735-WEEKDAY(P735,3))</f>
        <v/>
      </c>
      <c r="AJ735" s="23" t="str">
        <f>IF(P735="","",DATE(YEAR(P735),MONTH(P735),1))</f>
        <v/>
      </c>
    </row>
    <row r="736">
      <c r="A736" s="21"/>
      <c r="B736" s="14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14"/>
      <c r="Q736" s="21"/>
      <c r="R736" s="21"/>
      <c r="S736" s="21"/>
      <c r="T736" s="21"/>
      <c r="U736" s="21"/>
      <c r="V736" s="14"/>
      <c r="W736" s="22"/>
      <c r="X736" s="14"/>
      <c r="Y736" s="11" t="str">
        <f>IF(V736="","",IF(X736&lt;&gt;"",IF(X736-V736&lt;30,"No","Sí"),IF(TODAY()-V736&gt;=30,"Sí","En curso")))</f>
        <v/>
      </c>
      <c r="Z736" s="14"/>
      <c r="AA736" s="21"/>
      <c r="AB736" s="14"/>
      <c r="AC736" s="21"/>
      <c r="AD736" s="21"/>
      <c r="AE736" s="7"/>
      <c r="AF736" s="11" t="str">
        <f>IF(OR(AC736&lt;&gt;"Abierto",Z736=""),"",TODAY()-Z736)</f>
        <v/>
      </c>
      <c r="AG736" s="11" t="str">
        <f>IF(AC736&lt;&gt;"Abierto","",IF(AB736="","Sin siguiente acción",IF(AB736&lt;TODAY(),"Vencido",IF(AB736=TODAY(),"Hoy","En tiempo"))))</f>
        <v/>
      </c>
      <c r="AH736" s="11" t="str">
        <f>IF(OR(B736="",V736=""),"",V736-B736)</f>
        <v/>
      </c>
      <c r="AI736" s="16" t="str">
        <f>IF(P736="","",P736-WEEKDAY(P736,3))</f>
        <v/>
      </c>
      <c r="AJ736" s="23" t="str">
        <f>IF(P736="","",DATE(YEAR(P736),MONTH(P736),1))</f>
        <v/>
      </c>
    </row>
    <row r="737">
      <c r="A737" s="21"/>
      <c r="B737" s="14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14"/>
      <c r="Q737" s="21"/>
      <c r="R737" s="21"/>
      <c r="S737" s="21"/>
      <c r="T737" s="21"/>
      <c r="U737" s="21"/>
      <c r="V737" s="14"/>
      <c r="W737" s="22"/>
      <c r="X737" s="14"/>
      <c r="Y737" s="11" t="str">
        <f>IF(V737="","",IF(X737&lt;&gt;"",IF(X737-V737&lt;30,"No","Sí"),IF(TODAY()-V737&gt;=30,"Sí","En curso")))</f>
        <v/>
      </c>
      <c r="Z737" s="14"/>
      <c r="AA737" s="21"/>
      <c r="AB737" s="14"/>
      <c r="AC737" s="21"/>
      <c r="AD737" s="21"/>
      <c r="AE737" s="7"/>
      <c r="AF737" s="11" t="str">
        <f>IF(OR(AC737&lt;&gt;"Abierto",Z737=""),"",TODAY()-Z737)</f>
        <v/>
      </c>
      <c r="AG737" s="11" t="str">
        <f>IF(AC737&lt;&gt;"Abierto","",IF(AB737="","Sin siguiente acción",IF(AB737&lt;TODAY(),"Vencido",IF(AB737=TODAY(),"Hoy","En tiempo"))))</f>
        <v/>
      </c>
      <c r="AH737" s="11" t="str">
        <f>IF(OR(B737="",V737=""),"",V737-B737)</f>
        <v/>
      </c>
      <c r="AI737" s="16" t="str">
        <f>IF(P737="","",P737-WEEKDAY(P737,3))</f>
        <v/>
      </c>
      <c r="AJ737" s="23" t="str">
        <f>IF(P737="","",DATE(YEAR(P737),MONTH(P737),1))</f>
        <v/>
      </c>
    </row>
    <row r="738">
      <c r="A738" s="21"/>
      <c r="B738" s="14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14"/>
      <c r="Q738" s="21"/>
      <c r="R738" s="21"/>
      <c r="S738" s="21"/>
      <c r="T738" s="21"/>
      <c r="U738" s="21"/>
      <c r="V738" s="14"/>
      <c r="W738" s="22"/>
      <c r="X738" s="14"/>
      <c r="Y738" s="11" t="str">
        <f>IF(V738="","",IF(X738&lt;&gt;"",IF(X738-V738&lt;30,"No","Sí"),IF(TODAY()-V738&gt;=30,"Sí","En curso")))</f>
        <v/>
      </c>
      <c r="Z738" s="14"/>
      <c r="AA738" s="21"/>
      <c r="AB738" s="14"/>
      <c r="AC738" s="21"/>
      <c r="AD738" s="21"/>
      <c r="AE738" s="7"/>
      <c r="AF738" s="11" t="str">
        <f>IF(OR(AC738&lt;&gt;"Abierto",Z738=""),"",TODAY()-Z738)</f>
        <v/>
      </c>
      <c r="AG738" s="11" t="str">
        <f>IF(AC738&lt;&gt;"Abierto","",IF(AB738="","Sin siguiente acción",IF(AB738&lt;TODAY(),"Vencido",IF(AB738=TODAY(),"Hoy","En tiempo"))))</f>
        <v/>
      </c>
      <c r="AH738" s="11" t="str">
        <f>IF(OR(B738="",V738=""),"",V738-B738)</f>
        <v/>
      </c>
      <c r="AI738" s="16" t="str">
        <f>IF(P738="","",P738-WEEKDAY(P738,3))</f>
        <v/>
      </c>
      <c r="AJ738" s="23" t="str">
        <f>IF(P738="","",DATE(YEAR(P738),MONTH(P738),1))</f>
        <v/>
      </c>
    </row>
    <row r="739">
      <c r="A739" s="21"/>
      <c r="B739" s="14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14"/>
      <c r="Q739" s="21"/>
      <c r="R739" s="21"/>
      <c r="S739" s="21"/>
      <c r="T739" s="21"/>
      <c r="U739" s="21"/>
      <c r="V739" s="14"/>
      <c r="W739" s="22"/>
      <c r="X739" s="14"/>
      <c r="Y739" s="11" t="str">
        <f>IF(V739="","",IF(X739&lt;&gt;"",IF(X739-V739&lt;30,"No","Sí"),IF(TODAY()-V739&gt;=30,"Sí","En curso")))</f>
        <v/>
      </c>
      <c r="Z739" s="14"/>
      <c r="AA739" s="21"/>
      <c r="AB739" s="14"/>
      <c r="AC739" s="21"/>
      <c r="AD739" s="21"/>
      <c r="AE739" s="7"/>
      <c r="AF739" s="11" t="str">
        <f>IF(OR(AC739&lt;&gt;"Abierto",Z739=""),"",TODAY()-Z739)</f>
        <v/>
      </c>
      <c r="AG739" s="11" t="str">
        <f>IF(AC739&lt;&gt;"Abierto","",IF(AB739="","Sin siguiente acción",IF(AB739&lt;TODAY(),"Vencido",IF(AB739=TODAY(),"Hoy","En tiempo"))))</f>
        <v/>
      </c>
      <c r="AH739" s="11" t="str">
        <f>IF(OR(B739="",V739=""),"",V739-B739)</f>
        <v/>
      </c>
      <c r="AI739" s="16" t="str">
        <f>IF(P739="","",P739-WEEKDAY(P739,3))</f>
        <v/>
      </c>
      <c r="AJ739" s="23" t="str">
        <f>IF(P739="","",DATE(YEAR(P739),MONTH(P739),1))</f>
        <v/>
      </c>
    </row>
    <row r="740">
      <c r="A740" s="21"/>
      <c r="B740" s="14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14"/>
      <c r="Q740" s="21"/>
      <c r="R740" s="21"/>
      <c r="S740" s="21"/>
      <c r="T740" s="21"/>
      <c r="U740" s="21"/>
      <c r="V740" s="14"/>
      <c r="W740" s="22"/>
      <c r="X740" s="14"/>
      <c r="Y740" s="11" t="str">
        <f>IF(V740="","",IF(X740&lt;&gt;"",IF(X740-V740&lt;30,"No","Sí"),IF(TODAY()-V740&gt;=30,"Sí","En curso")))</f>
        <v/>
      </c>
      <c r="Z740" s="14"/>
      <c r="AA740" s="21"/>
      <c r="AB740" s="14"/>
      <c r="AC740" s="21"/>
      <c r="AD740" s="21"/>
      <c r="AE740" s="7"/>
      <c r="AF740" s="11" t="str">
        <f>IF(OR(AC740&lt;&gt;"Abierto",Z740=""),"",TODAY()-Z740)</f>
        <v/>
      </c>
      <c r="AG740" s="11" t="str">
        <f>IF(AC740&lt;&gt;"Abierto","",IF(AB740="","Sin siguiente acción",IF(AB740&lt;TODAY(),"Vencido",IF(AB740=TODAY(),"Hoy","En tiempo"))))</f>
        <v/>
      </c>
      <c r="AH740" s="11" t="str">
        <f>IF(OR(B740="",V740=""),"",V740-B740)</f>
        <v/>
      </c>
      <c r="AI740" s="16" t="str">
        <f>IF(P740="","",P740-WEEKDAY(P740,3))</f>
        <v/>
      </c>
      <c r="AJ740" s="23" t="str">
        <f>IF(P740="","",DATE(YEAR(P740),MONTH(P740),1))</f>
        <v/>
      </c>
    </row>
    <row r="741">
      <c r="A741" s="21"/>
      <c r="B741" s="14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14"/>
      <c r="Q741" s="21"/>
      <c r="R741" s="21"/>
      <c r="S741" s="21"/>
      <c r="T741" s="21"/>
      <c r="U741" s="21"/>
      <c r="V741" s="14"/>
      <c r="W741" s="22"/>
      <c r="X741" s="14"/>
      <c r="Y741" s="11" t="str">
        <f>IF(V741="","",IF(X741&lt;&gt;"",IF(X741-V741&lt;30,"No","Sí"),IF(TODAY()-V741&gt;=30,"Sí","En curso")))</f>
        <v/>
      </c>
      <c r="Z741" s="14"/>
      <c r="AA741" s="21"/>
      <c r="AB741" s="14"/>
      <c r="AC741" s="21"/>
      <c r="AD741" s="21"/>
      <c r="AE741" s="7"/>
      <c r="AF741" s="11" t="str">
        <f>IF(OR(AC741&lt;&gt;"Abierto",Z741=""),"",TODAY()-Z741)</f>
        <v/>
      </c>
      <c r="AG741" s="11" t="str">
        <f>IF(AC741&lt;&gt;"Abierto","",IF(AB741="","Sin siguiente acción",IF(AB741&lt;TODAY(),"Vencido",IF(AB741=TODAY(),"Hoy","En tiempo"))))</f>
        <v/>
      </c>
      <c r="AH741" s="11" t="str">
        <f>IF(OR(B741="",V741=""),"",V741-B741)</f>
        <v/>
      </c>
      <c r="AI741" s="16" t="str">
        <f>IF(P741="","",P741-WEEKDAY(P741,3))</f>
        <v/>
      </c>
      <c r="AJ741" s="23" t="str">
        <f>IF(P741="","",DATE(YEAR(P741),MONTH(P741),1))</f>
        <v/>
      </c>
    </row>
    <row r="742">
      <c r="A742" s="21"/>
      <c r="B742" s="14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14"/>
      <c r="Q742" s="21"/>
      <c r="R742" s="21"/>
      <c r="S742" s="21"/>
      <c r="T742" s="21"/>
      <c r="U742" s="21"/>
      <c r="V742" s="14"/>
      <c r="W742" s="22"/>
      <c r="X742" s="14"/>
      <c r="Y742" s="11" t="str">
        <f>IF(V742="","",IF(X742&lt;&gt;"",IF(X742-V742&lt;30,"No","Sí"),IF(TODAY()-V742&gt;=30,"Sí","En curso")))</f>
        <v/>
      </c>
      <c r="Z742" s="14"/>
      <c r="AA742" s="21"/>
      <c r="AB742" s="14"/>
      <c r="AC742" s="21"/>
      <c r="AD742" s="21"/>
      <c r="AE742" s="7"/>
      <c r="AF742" s="11" t="str">
        <f>IF(OR(AC742&lt;&gt;"Abierto",Z742=""),"",TODAY()-Z742)</f>
        <v/>
      </c>
      <c r="AG742" s="11" t="str">
        <f>IF(AC742&lt;&gt;"Abierto","",IF(AB742="","Sin siguiente acción",IF(AB742&lt;TODAY(),"Vencido",IF(AB742=TODAY(),"Hoy","En tiempo"))))</f>
        <v/>
      </c>
      <c r="AH742" s="11" t="str">
        <f>IF(OR(B742="",V742=""),"",V742-B742)</f>
        <v/>
      </c>
      <c r="AI742" s="16" t="str">
        <f>IF(P742="","",P742-WEEKDAY(P742,3))</f>
        <v/>
      </c>
      <c r="AJ742" s="23" t="str">
        <f>IF(P742="","",DATE(YEAR(P742),MONTH(P742),1))</f>
        <v/>
      </c>
    </row>
    <row r="743">
      <c r="A743" s="21"/>
      <c r="B743" s="14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14"/>
      <c r="Q743" s="21"/>
      <c r="R743" s="21"/>
      <c r="S743" s="21"/>
      <c r="T743" s="21"/>
      <c r="U743" s="21"/>
      <c r="V743" s="14"/>
      <c r="W743" s="22"/>
      <c r="X743" s="14"/>
      <c r="Y743" s="11" t="str">
        <f>IF(V743="","",IF(X743&lt;&gt;"",IF(X743-V743&lt;30,"No","Sí"),IF(TODAY()-V743&gt;=30,"Sí","En curso")))</f>
        <v/>
      </c>
      <c r="Z743" s="14"/>
      <c r="AA743" s="21"/>
      <c r="AB743" s="14"/>
      <c r="AC743" s="21"/>
      <c r="AD743" s="21"/>
      <c r="AE743" s="7"/>
      <c r="AF743" s="11" t="str">
        <f>IF(OR(AC743&lt;&gt;"Abierto",Z743=""),"",TODAY()-Z743)</f>
        <v/>
      </c>
      <c r="AG743" s="11" t="str">
        <f>IF(AC743&lt;&gt;"Abierto","",IF(AB743="","Sin siguiente acción",IF(AB743&lt;TODAY(),"Vencido",IF(AB743=TODAY(),"Hoy","En tiempo"))))</f>
        <v/>
      </c>
      <c r="AH743" s="11" t="str">
        <f>IF(OR(B743="",V743=""),"",V743-B743)</f>
        <v/>
      </c>
      <c r="AI743" s="16" t="str">
        <f>IF(P743="","",P743-WEEKDAY(P743,3))</f>
        <v/>
      </c>
      <c r="AJ743" s="23" t="str">
        <f>IF(P743="","",DATE(YEAR(P743),MONTH(P743),1))</f>
        <v/>
      </c>
    </row>
    <row r="744">
      <c r="A744" s="21"/>
      <c r="B744" s="14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14"/>
      <c r="Q744" s="21"/>
      <c r="R744" s="21"/>
      <c r="S744" s="21"/>
      <c r="T744" s="21"/>
      <c r="U744" s="21"/>
      <c r="V744" s="14"/>
      <c r="W744" s="22"/>
      <c r="X744" s="14"/>
      <c r="Y744" s="11" t="str">
        <f>IF(V744="","",IF(X744&lt;&gt;"",IF(X744-V744&lt;30,"No","Sí"),IF(TODAY()-V744&gt;=30,"Sí","En curso")))</f>
        <v/>
      </c>
      <c r="Z744" s="14"/>
      <c r="AA744" s="21"/>
      <c r="AB744" s="14"/>
      <c r="AC744" s="21"/>
      <c r="AD744" s="21"/>
      <c r="AE744" s="7"/>
      <c r="AF744" s="11" t="str">
        <f>IF(OR(AC744&lt;&gt;"Abierto",Z744=""),"",TODAY()-Z744)</f>
        <v/>
      </c>
      <c r="AG744" s="11" t="str">
        <f>IF(AC744&lt;&gt;"Abierto","",IF(AB744="","Sin siguiente acción",IF(AB744&lt;TODAY(),"Vencido",IF(AB744=TODAY(),"Hoy","En tiempo"))))</f>
        <v/>
      </c>
      <c r="AH744" s="11" t="str">
        <f>IF(OR(B744="",V744=""),"",V744-B744)</f>
        <v/>
      </c>
      <c r="AI744" s="16" t="str">
        <f>IF(P744="","",P744-WEEKDAY(P744,3))</f>
        <v/>
      </c>
      <c r="AJ744" s="23" t="str">
        <f>IF(P744="","",DATE(YEAR(P744),MONTH(P744),1))</f>
        <v/>
      </c>
    </row>
    <row r="745">
      <c r="A745" s="21"/>
      <c r="B745" s="14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14"/>
      <c r="Q745" s="21"/>
      <c r="R745" s="21"/>
      <c r="S745" s="21"/>
      <c r="T745" s="21"/>
      <c r="U745" s="21"/>
      <c r="V745" s="14"/>
      <c r="W745" s="22"/>
      <c r="X745" s="14"/>
      <c r="Y745" s="11" t="str">
        <f>IF(V745="","",IF(X745&lt;&gt;"",IF(X745-V745&lt;30,"No","Sí"),IF(TODAY()-V745&gt;=30,"Sí","En curso")))</f>
        <v/>
      </c>
      <c r="Z745" s="14"/>
      <c r="AA745" s="21"/>
      <c r="AB745" s="14"/>
      <c r="AC745" s="21"/>
      <c r="AD745" s="21"/>
      <c r="AE745" s="7"/>
      <c r="AF745" s="11" t="str">
        <f>IF(OR(AC745&lt;&gt;"Abierto",Z745=""),"",TODAY()-Z745)</f>
        <v/>
      </c>
      <c r="AG745" s="11" t="str">
        <f>IF(AC745&lt;&gt;"Abierto","",IF(AB745="","Sin siguiente acción",IF(AB745&lt;TODAY(),"Vencido",IF(AB745=TODAY(),"Hoy","En tiempo"))))</f>
        <v/>
      </c>
      <c r="AH745" s="11" t="str">
        <f>IF(OR(B745="",V745=""),"",V745-B745)</f>
        <v/>
      </c>
      <c r="AI745" s="16" t="str">
        <f>IF(P745="","",P745-WEEKDAY(P745,3))</f>
        <v/>
      </c>
      <c r="AJ745" s="23" t="str">
        <f>IF(P745="","",DATE(YEAR(P745),MONTH(P745),1))</f>
        <v/>
      </c>
    </row>
    <row r="746">
      <c r="A746" s="21"/>
      <c r="B746" s="14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14"/>
      <c r="Q746" s="21"/>
      <c r="R746" s="21"/>
      <c r="S746" s="21"/>
      <c r="T746" s="21"/>
      <c r="U746" s="21"/>
      <c r="V746" s="14"/>
      <c r="W746" s="22"/>
      <c r="X746" s="14"/>
      <c r="Y746" s="11" t="str">
        <f>IF(V746="","",IF(X746&lt;&gt;"",IF(X746-V746&lt;30,"No","Sí"),IF(TODAY()-V746&gt;=30,"Sí","En curso")))</f>
        <v/>
      </c>
      <c r="Z746" s="14"/>
      <c r="AA746" s="21"/>
      <c r="AB746" s="14"/>
      <c r="AC746" s="21"/>
      <c r="AD746" s="21"/>
      <c r="AE746" s="7"/>
      <c r="AF746" s="11" t="str">
        <f>IF(OR(AC746&lt;&gt;"Abierto",Z746=""),"",TODAY()-Z746)</f>
        <v/>
      </c>
      <c r="AG746" s="11" t="str">
        <f>IF(AC746&lt;&gt;"Abierto","",IF(AB746="","Sin siguiente acción",IF(AB746&lt;TODAY(),"Vencido",IF(AB746=TODAY(),"Hoy","En tiempo"))))</f>
        <v/>
      </c>
      <c r="AH746" s="11" t="str">
        <f>IF(OR(B746="",V746=""),"",V746-B746)</f>
        <v/>
      </c>
      <c r="AI746" s="16" t="str">
        <f>IF(P746="","",P746-WEEKDAY(P746,3))</f>
        <v/>
      </c>
      <c r="AJ746" s="23" t="str">
        <f>IF(P746="","",DATE(YEAR(P746),MONTH(P746),1))</f>
        <v/>
      </c>
    </row>
    <row r="747">
      <c r="A747" s="21"/>
      <c r="B747" s="14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14"/>
      <c r="Q747" s="21"/>
      <c r="R747" s="21"/>
      <c r="S747" s="21"/>
      <c r="T747" s="21"/>
      <c r="U747" s="21"/>
      <c r="V747" s="14"/>
      <c r="W747" s="22"/>
      <c r="X747" s="14"/>
      <c r="Y747" s="11" t="str">
        <f>IF(V747="","",IF(X747&lt;&gt;"",IF(X747-V747&lt;30,"No","Sí"),IF(TODAY()-V747&gt;=30,"Sí","En curso")))</f>
        <v/>
      </c>
      <c r="Z747" s="14"/>
      <c r="AA747" s="21"/>
      <c r="AB747" s="14"/>
      <c r="AC747" s="21"/>
      <c r="AD747" s="21"/>
      <c r="AE747" s="7"/>
      <c r="AF747" s="11" t="str">
        <f>IF(OR(AC747&lt;&gt;"Abierto",Z747=""),"",TODAY()-Z747)</f>
        <v/>
      </c>
      <c r="AG747" s="11" t="str">
        <f>IF(AC747&lt;&gt;"Abierto","",IF(AB747="","Sin siguiente acción",IF(AB747&lt;TODAY(),"Vencido",IF(AB747=TODAY(),"Hoy","En tiempo"))))</f>
        <v/>
      </c>
      <c r="AH747" s="11" t="str">
        <f>IF(OR(B747="",V747=""),"",V747-B747)</f>
        <v/>
      </c>
      <c r="AI747" s="16" t="str">
        <f>IF(P747="","",P747-WEEKDAY(P747,3))</f>
        <v/>
      </c>
      <c r="AJ747" s="23" t="str">
        <f>IF(P747="","",DATE(YEAR(P747),MONTH(P747),1))</f>
        <v/>
      </c>
    </row>
    <row r="748">
      <c r="A748" s="21"/>
      <c r="B748" s="14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14"/>
      <c r="Q748" s="21"/>
      <c r="R748" s="21"/>
      <c r="S748" s="21"/>
      <c r="T748" s="21"/>
      <c r="U748" s="21"/>
      <c r="V748" s="14"/>
      <c r="W748" s="22"/>
      <c r="X748" s="14"/>
      <c r="Y748" s="11" t="str">
        <f>IF(V748="","",IF(X748&lt;&gt;"",IF(X748-V748&lt;30,"No","Sí"),IF(TODAY()-V748&gt;=30,"Sí","En curso")))</f>
        <v/>
      </c>
      <c r="Z748" s="14"/>
      <c r="AA748" s="21"/>
      <c r="AB748" s="14"/>
      <c r="AC748" s="21"/>
      <c r="AD748" s="21"/>
      <c r="AE748" s="7"/>
      <c r="AF748" s="11" t="str">
        <f>IF(OR(AC748&lt;&gt;"Abierto",Z748=""),"",TODAY()-Z748)</f>
        <v/>
      </c>
      <c r="AG748" s="11" t="str">
        <f>IF(AC748&lt;&gt;"Abierto","",IF(AB748="","Sin siguiente acción",IF(AB748&lt;TODAY(),"Vencido",IF(AB748=TODAY(),"Hoy","En tiempo"))))</f>
        <v/>
      </c>
      <c r="AH748" s="11" t="str">
        <f>IF(OR(B748="",V748=""),"",V748-B748)</f>
        <v/>
      </c>
      <c r="AI748" s="16" t="str">
        <f>IF(P748="","",P748-WEEKDAY(P748,3))</f>
        <v/>
      </c>
      <c r="AJ748" s="23" t="str">
        <f>IF(P748="","",DATE(YEAR(P748),MONTH(P748),1))</f>
        <v/>
      </c>
    </row>
    <row r="749">
      <c r="A749" s="21"/>
      <c r="B749" s="14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14"/>
      <c r="Q749" s="21"/>
      <c r="R749" s="21"/>
      <c r="S749" s="21"/>
      <c r="T749" s="21"/>
      <c r="U749" s="21"/>
      <c r="V749" s="14"/>
      <c r="W749" s="22"/>
      <c r="X749" s="14"/>
      <c r="Y749" s="11" t="str">
        <f>IF(V749="","",IF(X749&lt;&gt;"",IF(X749-V749&lt;30,"No","Sí"),IF(TODAY()-V749&gt;=30,"Sí","En curso")))</f>
        <v/>
      </c>
      <c r="Z749" s="14"/>
      <c r="AA749" s="21"/>
      <c r="AB749" s="14"/>
      <c r="AC749" s="21"/>
      <c r="AD749" s="21"/>
      <c r="AE749" s="7"/>
      <c r="AF749" s="11" t="str">
        <f>IF(OR(AC749&lt;&gt;"Abierto",Z749=""),"",TODAY()-Z749)</f>
        <v/>
      </c>
      <c r="AG749" s="11" t="str">
        <f>IF(AC749&lt;&gt;"Abierto","",IF(AB749="","Sin siguiente acción",IF(AB749&lt;TODAY(),"Vencido",IF(AB749=TODAY(),"Hoy","En tiempo"))))</f>
        <v/>
      </c>
      <c r="AH749" s="11" t="str">
        <f>IF(OR(B749="",V749=""),"",V749-B749)</f>
        <v/>
      </c>
      <c r="AI749" s="16" t="str">
        <f>IF(P749="","",P749-WEEKDAY(P749,3))</f>
        <v/>
      </c>
      <c r="AJ749" s="23" t="str">
        <f>IF(P749="","",DATE(YEAR(P749),MONTH(P749),1))</f>
        <v/>
      </c>
    </row>
    <row r="750">
      <c r="A750" s="21"/>
      <c r="B750" s="14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14"/>
      <c r="Q750" s="21"/>
      <c r="R750" s="21"/>
      <c r="S750" s="21"/>
      <c r="T750" s="21"/>
      <c r="U750" s="21"/>
      <c r="V750" s="14"/>
      <c r="W750" s="22"/>
      <c r="X750" s="14"/>
      <c r="Y750" s="11" t="str">
        <f>IF(V750="","",IF(X750&lt;&gt;"",IF(X750-V750&lt;30,"No","Sí"),IF(TODAY()-V750&gt;=30,"Sí","En curso")))</f>
        <v/>
      </c>
      <c r="Z750" s="14"/>
      <c r="AA750" s="21"/>
      <c r="AB750" s="14"/>
      <c r="AC750" s="21"/>
      <c r="AD750" s="21"/>
      <c r="AE750" s="7"/>
      <c r="AF750" s="11" t="str">
        <f>IF(OR(AC750&lt;&gt;"Abierto",Z750=""),"",TODAY()-Z750)</f>
        <v/>
      </c>
      <c r="AG750" s="11" t="str">
        <f>IF(AC750&lt;&gt;"Abierto","",IF(AB750="","Sin siguiente acción",IF(AB750&lt;TODAY(),"Vencido",IF(AB750=TODAY(),"Hoy","En tiempo"))))</f>
        <v/>
      </c>
      <c r="AH750" s="11" t="str">
        <f>IF(OR(B750="",V750=""),"",V750-B750)</f>
        <v/>
      </c>
      <c r="AI750" s="16" t="str">
        <f>IF(P750="","",P750-WEEKDAY(P750,3))</f>
        <v/>
      </c>
      <c r="AJ750" s="23" t="str">
        <f>IF(P750="","",DATE(YEAR(P750),MONTH(P750),1))</f>
        <v/>
      </c>
    </row>
    <row r="751">
      <c r="A751" s="21"/>
      <c r="B751" s="14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14"/>
      <c r="Q751" s="21"/>
      <c r="R751" s="21"/>
      <c r="S751" s="21"/>
      <c r="T751" s="21"/>
      <c r="U751" s="21"/>
      <c r="V751" s="14"/>
      <c r="W751" s="22"/>
      <c r="X751" s="14"/>
      <c r="Y751" s="11" t="str">
        <f>IF(V751="","",IF(X751&lt;&gt;"",IF(X751-V751&lt;30,"No","Sí"),IF(TODAY()-V751&gt;=30,"Sí","En curso")))</f>
        <v/>
      </c>
      <c r="Z751" s="14"/>
      <c r="AA751" s="21"/>
      <c r="AB751" s="14"/>
      <c r="AC751" s="21"/>
      <c r="AD751" s="21"/>
      <c r="AE751" s="7"/>
      <c r="AF751" s="11" t="str">
        <f>IF(OR(AC751&lt;&gt;"Abierto",Z751=""),"",TODAY()-Z751)</f>
        <v/>
      </c>
      <c r="AG751" s="11" t="str">
        <f>IF(AC751&lt;&gt;"Abierto","",IF(AB751="","Sin siguiente acción",IF(AB751&lt;TODAY(),"Vencido",IF(AB751=TODAY(),"Hoy","En tiempo"))))</f>
        <v/>
      </c>
      <c r="AH751" s="11" t="str">
        <f>IF(OR(B751="",V751=""),"",V751-B751)</f>
        <v/>
      </c>
      <c r="AI751" s="16" t="str">
        <f>IF(P751="","",P751-WEEKDAY(P751,3))</f>
        <v/>
      </c>
      <c r="AJ751" s="23" t="str">
        <f>IF(P751="","",DATE(YEAR(P751),MONTH(P751),1))</f>
        <v/>
      </c>
    </row>
    <row r="752">
      <c r="A752" s="21"/>
      <c r="B752" s="14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14"/>
      <c r="Q752" s="21"/>
      <c r="R752" s="21"/>
      <c r="S752" s="21"/>
      <c r="T752" s="21"/>
      <c r="U752" s="21"/>
      <c r="V752" s="14"/>
      <c r="W752" s="22"/>
      <c r="X752" s="14"/>
      <c r="Y752" s="11" t="str">
        <f>IF(V752="","",IF(X752&lt;&gt;"",IF(X752-V752&lt;30,"No","Sí"),IF(TODAY()-V752&gt;=30,"Sí","En curso")))</f>
        <v/>
      </c>
      <c r="Z752" s="14"/>
      <c r="AA752" s="21"/>
      <c r="AB752" s="14"/>
      <c r="AC752" s="21"/>
      <c r="AD752" s="21"/>
      <c r="AE752" s="7"/>
      <c r="AF752" s="11" t="str">
        <f>IF(OR(AC752&lt;&gt;"Abierto",Z752=""),"",TODAY()-Z752)</f>
        <v/>
      </c>
      <c r="AG752" s="11" t="str">
        <f>IF(AC752&lt;&gt;"Abierto","",IF(AB752="","Sin siguiente acción",IF(AB752&lt;TODAY(),"Vencido",IF(AB752=TODAY(),"Hoy","En tiempo"))))</f>
        <v/>
      </c>
      <c r="AH752" s="11" t="str">
        <f>IF(OR(B752="",V752=""),"",V752-B752)</f>
        <v/>
      </c>
      <c r="AI752" s="16" t="str">
        <f>IF(P752="","",P752-WEEKDAY(P752,3))</f>
        <v/>
      </c>
      <c r="AJ752" s="23" t="str">
        <f>IF(P752="","",DATE(YEAR(P752),MONTH(P752),1))</f>
        <v/>
      </c>
    </row>
    <row r="753">
      <c r="A753" s="21"/>
      <c r="B753" s="14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14"/>
      <c r="Q753" s="21"/>
      <c r="R753" s="21"/>
      <c r="S753" s="21"/>
      <c r="T753" s="21"/>
      <c r="U753" s="21"/>
      <c r="V753" s="14"/>
      <c r="W753" s="22"/>
      <c r="X753" s="14"/>
      <c r="Y753" s="11" t="str">
        <f>IF(V753="","",IF(X753&lt;&gt;"",IF(X753-V753&lt;30,"No","Sí"),IF(TODAY()-V753&gt;=30,"Sí","En curso")))</f>
        <v/>
      </c>
      <c r="Z753" s="14"/>
      <c r="AA753" s="21"/>
      <c r="AB753" s="14"/>
      <c r="AC753" s="21"/>
      <c r="AD753" s="21"/>
      <c r="AE753" s="7"/>
      <c r="AF753" s="11" t="str">
        <f>IF(OR(AC753&lt;&gt;"Abierto",Z753=""),"",TODAY()-Z753)</f>
        <v/>
      </c>
      <c r="AG753" s="11" t="str">
        <f>IF(AC753&lt;&gt;"Abierto","",IF(AB753="","Sin siguiente acción",IF(AB753&lt;TODAY(),"Vencido",IF(AB753=TODAY(),"Hoy","En tiempo"))))</f>
        <v/>
      </c>
      <c r="AH753" s="11" t="str">
        <f>IF(OR(B753="",V753=""),"",V753-B753)</f>
        <v/>
      </c>
      <c r="AI753" s="16" t="str">
        <f>IF(P753="","",P753-WEEKDAY(P753,3))</f>
        <v/>
      </c>
      <c r="AJ753" s="23" t="str">
        <f>IF(P753="","",DATE(YEAR(P753),MONTH(P753),1))</f>
        <v/>
      </c>
    </row>
    <row r="754">
      <c r="A754" s="21"/>
      <c r="B754" s="14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14"/>
      <c r="Q754" s="21"/>
      <c r="R754" s="21"/>
      <c r="S754" s="21"/>
      <c r="T754" s="21"/>
      <c r="U754" s="21"/>
      <c r="V754" s="14"/>
      <c r="W754" s="22"/>
      <c r="X754" s="14"/>
      <c r="Y754" s="11" t="str">
        <f>IF(V754="","",IF(X754&lt;&gt;"",IF(X754-V754&lt;30,"No","Sí"),IF(TODAY()-V754&gt;=30,"Sí","En curso")))</f>
        <v/>
      </c>
      <c r="Z754" s="14"/>
      <c r="AA754" s="21"/>
      <c r="AB754" s="14"/>
      <c r="AC754" s="21"/>
      <c r="AD754" s="21"/>
      <c r="AE754" s="7"/>
      <c r="AF754" s="11" t="str">
        <f>IF(OR(AC754&lt;&gt;"Abierto",Z754=""),"",TODAY()-Z754)</f>
        <v/>
      </c>
      <c r="AG754" s="11" t="str">
        <f>IF(AC754&lt;&gt;"Abierto","",IF(AB754="","Sin siguiente acción",IF(AB754&lt;TODAY(),"Vencido",IF(AB754=TODAY(),"Hoy","En tiempo"))))</f>
        <v/>
      </c>
      <c r="AH754" s="11" t="str">
        <f>IF(OR(B754="",V754=""),"",V754-B754)</f>
        <v/>
      </c>
      <c r="AI754" s="16" t="str">
        <f>IF(P754="","",P754-WEEKDAY(P754,3))</f>
        <v/>
      </c>
      <c r="AJ754" s="23" t="str">
        <f>IF(P754="","",DATE(YEAR(P754),MONTH(P754),1))</f>
        <v/>
      </c>
    </row>
    <row r="755">
      <c r="A755" s="21"/>
      <c r="B755" s="14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14"/>
      <c r="Q755" s="21"/>
      <c r="R755" s="21"/>
      <c r="S755" s="21"/>
      <c r="T755" s="21"/>
      <c r="U755" s="21"/>
      <c r="V755" s="14"/>
      <c r="W755" s="22"/>
      <c r="X755" s="14"/>
      <c r="Y755" s="11" t="str">
        <f>IF(V755="","",IF(X755&lt;&gt;"",IF(X755-V755&lt;30,"No","Sí"),IF(TODAY()-V755&gt;=30,"Sí","En curso")))</f>
        <v/>
      </c>
      <c r="Z755" s="14"/>
      <c r="AA755" s="21"/>
      <c r="AB755" s="14"/>
      <c r="AC755" s="21"/>
      <c r="AD755" s="21"/>
      <c r="AE755" s="7"/>
      <c r="AF755" s="11" t="str">
        <f>IF(OR(AC755&lt;&gt;"Abierto",Z755=""),"",TODAY()-Z755)</f>
        <v/>
      </c>
      <c r="AG755" s="11" t="str">
        <f>IF(AC755&lt;&gt;"Abierto","",IF(AB755="","Sin siguiente acción",IF(AB755&lt;TODAY(),"Vencido",IF(AB755=TODAY(),"Hoy","En tiempo"))))</f>
        <v/>
      </c>
      <c r="AH755" s="11" t="str">
        <f>IF(OR(B755="",V755=""),"",V755-B755)</f>
        <v/>
      </c>
      <c r="AI755" s="16" t="str">
        <f>IF(P755="","",P755-WEEKDAY(P755,3))</f>
        <v/>
      </c>
      <c r="AJ755" s="23" t="str">
        <f>IF(P755="","",DATE(YEAR(P755),MONTH(P755),1))</f>
        <v/>
      </c>
    </row>
    <row r="756">
      <c r="A756" s="21"/>
      <c r="B756" s="14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14"/>
      <c r="Q756" s="21"/>
      <c r="R756" s="21"/>
      <c r="S756" s="21"/>
      <c r="T756" s="21"/>
      <c r="U756" s="21"/>
      <c r="V756" s="14"/>
      <c r="W756" s="22"/>
      <c r="X756" s="14"/>
      <c r="Y756" s="11" t="str">
        <f>IF(V756="","",IF(X756&lt;&gt;"",IF(X756-V756&lt;30,"No","Sí"),IF(TODAY()-V756&gt;=30,"Sí","En curso")))</f>
        <v/>
      </c>
      <c r="Z756" s="14"/>
      <c r="AA756" s="21"/>
      <c r="AB756" s="14"/>
      <c r="AC756" s="21"/>
      <c r="AD756" s="21"/>
      <c r="AE756" s="7"/>
      <c r="AF756" s="11" t="str">
        <f>IF(OR(AC756&lt;&gt;"Abierto",Z756=""),"",TODAY()-Z756)</f>
        <v/>
      </c>
      <c r="AG756" s="11" t="str">
        <f>IF(AC756&lt;&gt;"Abierto","",IF(AB756="","Sin siguiente acción",IF(AB756&lt;TODAY(),"Vencido",IF(AB756=TODAY(),"Hoy","En tiempo"))))</f>
        <v/>
      </c>
      <c r="AH756" s="11" t="str">
        <f>IF(OR(B756="",V756=""),"",V756-B756)</f>
        <v/>
      </c>
      <c r="AI756" s="16" t="str">
        <f>IF(P756="","",P756-WEEKDAY(P756,3))</f>
        <v/>
      </c>
      <c r="AJ756" s="23" t="str">
        <f>IF(P756="","",DATE(YEAR(P756),MONTH(P756),1))</f>
        <v/>
      </c>
    </row>
    <row r="757">
      <c r="A757" s="21"/>
      <c r="B757" s="14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14"/>
      <c r="Q757" s="21"/>
      <c r="R757" s="21"/>
      <c r="S757" s="21"/>
      <c r="T757" s="21"/>
      <c r="U757" s="21"/>
      <c r="V757" s="14"/>
      <c r="W757" s="22"/>
      <c r="X757" s="14"/>
      <c r="Y757" s="11" t="str">
        <f>IF(V757="","",IF(X757&lt;&gt;"",IF(X757-V757&lt;30,"No","Sí"),IF(TODAY()-V757&gt;=30,"Sí","En curso")))</f>
        <v/>
      </c>
      <c r="Z757" s="14"/>
      <c r="AA757" s="21"/>
      <c r="AB757" s="14"/>
      <c r="AC757" s="21"/>
      <c r="AD757" s="21"/>
      <c r="AE757" s="7"/>
      <c r="AF757" s="11" t="str">
        <f>IF(OR(AC757&lt;&gt;"Abierto",Z757=""),"",TODAY()-Z757)</f>
        <v/>
      </c>
      <c r="AG757" s="11" t="str">
        <f>IF(AC757&lt;&gt;"Abierto","",IF(AB757="","Sin siguiente acción",IF(AB757&lt;TODAY(),"Vencido",IF(AB757=TODAY(),"Hoy","En tiempo"))))</f>
        <v/>
      </c>
      <c r="AH757" s="11" t="str">
        <f>IF(OR(B757="",V757=""),"",V757-B757)</f>
        <v/>
      </c>
      <c r="AI757" s="16" t="str">
        <f>IF(P757="","",P757-WEEKDAY(P757,3))</f>
        <v/>
      </c>
      <c r="AJ757" s="23" t="str">
        <f>IF(P757="","",DATE(YEAR(P757),MONTH(P757),1))</f>
        <v/>
      </c>
    </row>
    <row r="758">
      <c r="A758" s="21"/>
      <c r="B758" s="14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14"/>
      <c r="Q758" s="21"/>
      <c r="R758" s="21"/>
      <c r="S758" s="21"/>
      <c r="T758" s="21"/>
      <c r="U758" s="21"/>
      <c r="V758" s="14"/>
      <c r="W758" s="22"/>
      <c r="X758" s="14"/>
      <c r="Y758" s="11" t="str">
        <f>IF(V758="","",IF(X758&lt;&gt;"",IF(X758-V758&lt;30,"No","Sí"),IF(TODAY()-V758&gt;=30,"Sí","En curso")))</f>
        <v/>
      </c>
      <c r="Z758" s="14"/>
      <c r="AA758" s="21"/>
      <c r="AB758" s="14"/>
      <c r="AC758" s="21"/>
      <c r="AD758" s="21"/>
      <c r="AE758" s="7"/>
      <c r="AF758" s="11" t="str">
        <f>IF(OR(AC758&lt;&gt;"Abierto",Z758=""),"",TODAY()-Z758)</f>
        <v/>
      </c>
      <c r="AG758" s="11" t="str">
        <f>IF(AC758&lt;&gt;"Abierto","",IF(AB758="","Sin siguiente acción",IF(AB758&lt;TODAY(),"Vencido",IF(AB758=TODAY(),"Hoy","En tiempo"))))</f>
        <v/>
      </c>
      <c r="AH758" s="11" t="str">
        <f>IF(OR(B758="",V758=""),"",V758-B758)</f>
        <v/>
      </c>
      <c r="AI758" s="16" t="str">
        <f>IF(P758="","",P758-WEEKDAY(P758,3))</f>
        <v/>
      </c>
      <c r="AJ758" s="23" t="str">
        <f>IF(P758="","",DATE(YEAR(P758),MONTH(P758),1))</f>
        <v/>
      </c>
    </row>
    <row r="759">
      <c r="A759" s="21"/>
      <c r="B759" s="14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14"/>
      <c r="Q759" s="21"/>
      <c r="R759" s="21"/>
      <c r="S759" s="21"/>
      <c r="T759" s="21"/>
      <c r="U759" s="21"/>
      <c r="V759" s="14"/>
      <c r="W759" s="22"/>
      <c r="X759" s="14"/>
      <c r="Y759" s="11" t="str">
        <f>IF(V759="","",IF(X759&lt;&gt;"",IF(X759-V759&lt;30,"No","Sí"),IF(TODAY()-V759&gt;=30,"Sí","En curso")))</f>
        <v/>
      </c>
      <c r="Z759" s="14"/>
      <c r="AA759" s="21"/>
      <c r="AB759" s="14"/>
      <c r="AC759" s="21"/>
      <c r="AD759" s="21"/>
      <c r="AE759" s="7"/>
      <c r="AF759" s="11" t="str">
        <f>IF(OR(AC759&lt;&gt;"Abierto",Z759=""),"",TODAY()-Z759)</f>
        <v/>
      </c>
      <c r="AG759" s="11" t="str">
        <f>IF(AC759&lt;&gt;"Abierto","",IF(AB759="","Sin siguiente acción",IF(AB759&lt;TODAY(),"Vencido",IF(AB759=TODAY(),"Hoy","En tiempo"))))</f>
        <v/>
      </c>
      <c r="AH759" s="11" t="str">
        <f>IF(OR(B759="",V759=""),"",V759-B759)</f>
        <v/>
      </c>
      <c r="AI759" s="16" t="str">
        <f>IF(P759="","",P759-WEEKDAY(P759,3))</f>
        <v/>
      </c>
      <c r="AJ759" s="23" t="str">
        <f>IF(P759="","",DATE(YEAR(P759),MONTH(P759),1))</f>
        <v/>
      </c>
    </row>
    <row r="760">
      <c r="A760" s="21"/>
      <c r="B760" s="14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14"/>
      <c r="Q760" s="21"/>
      <c r="R760" s="21"/>
      <c r="S760" s="21"/>
      <c r="T760" s="21"/>
      <c r="U760" s="21"/>
      <c r="V760" s="14"/>
      <c r="W760" s="22"/>
      <c r="X760" s="14"/>
      <c r="Y760" s="11" t="str">
        <f>IF(V760="","",IF(X760&lt;&gt;"",IF(X760-V760&lt;30,"No","Sí"),IF(TODAY()-V760&gt;=30,"Sí","En curso")))</f>
        <v/>
      </c>
      <c r="Z760" s="14"/>
      <c r="AA760" s="21"/>
      <c r="AB760" s="14"/>
      <c r="AC760" s="21"/>
      <c r="AD760" s="21"/>
      <c r="AE760" s="7"/>
      <c r="AF760" s="11" t="str">
        <f>IF(OR(AC760&lt;&gt;"Abierto",Z760=""),"",TODAY()-Z760)</f>
        <v/>
      </c>
      <c r="AG760" s="11" t="str">
        <f>IF(AC760&lt;&gt;"Abierto","",IF(AB760="","Sin siguiente acción",IF(AB760&lt;TODAY(),"Vencido",IF(AB760=TODAY(),"Hoy","En tiempo"))))</f>
        <v/>
      </c>
      <c r="AH760" s="11" t="str">
        <f>IF(OR(B760="",V760=""),"",V760-B760)</f>
        <v/>
      </c>
      <c r="AI760" s="16" t="str">
        <f>IF(P760="","",P760-WEEKDAY(P760,3))</f>
        <v/>
      </c>
      <c r="AJ760" s="23" t="str">
        <f>IF(P760="","",DATE(YEAR(P760),MONTH(P760),1))</f>
        <v/>
      </c>
    </row>
    <row r="761">
      <c r="A761" s="21"/>
      <c r="B761" s="14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14"/>
      <c r="Q761" s="21"/>
      <c r="R761" s="21"/>
      <c r="S761" s="21"/>
      <c r="T761" s="21"/>
      <c r="U761" s="21"/>
      <c r="V761" s="14"/>
      <c r="W761" s="22"/>
      <c r="X761" s="14"/>
      <c r="Y761" s="11" t="str">
        <f>IF(V761="","",IF(X761&lt;&gt;"",IF(X761-V761&lt;30,"No","Sí"),IF(TODAY()-V761&gt;=30,"Sí","En curso")))</f>
        <v/>
      </c>
      <c r="Z761" s="14"/>
      <c r="AA761" s="21"/>
      <c r="AB761" s="14"/>
      <c r="AC761" s="21"/>
      <c r="AD761" s="21"/>
      <c r="AE761" s="7"/>
      <c r="AF761" s="11" t="str">
        <f>IF(OR(AC761&lt;&gt;"Abierto",Z761=""),"",TODAY()-Z761)</f>
        <v/>
      </c>
      <c r="AG761" s="11" t="str">
        <f>IF(AC761&lt;&gt;"Abierto","",IF(AB761="","Sin siguiente acción",IF(AB761&lt;TODAY(),"Vencido",IF(AB761=TODAY(),"Hoy","En tiempo"))))</f>
        <v/>
      </c>
      <c r="AH761" s="11" t="str">
        <f>IF(OR(B761="",V761=""),"",V761-B761)</f>
        <v/>
      </c>
      <c r="AI761" s="16" t="str">
        <f>IF(P761="","",P761-WEEKDAY(P761,3))</f>
        <v/>
      </c>
      <c r="AJ761" s="23" t="str">
        <f>IF(P761="","",DATE(YEAR(P761),MONTH(P761),1))</f>
        <v/>
      </c>
    </row>
    <row r="762">
      <c r="A762" s="21"/>
      <c r="B762" s="14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14"/>
      <c r="Q762" s="21"/>
      <c r="R762" s="21"/>
      <c r="S762" s="21"/>
      <c r="T762" s="21"/>
      <c r="U762" s="21"/>
      <c r="V762" s="14"/>
      <c r="W762" s="22"/>
      <c r="X762" s="14"/>
      <c r="Y762" s="11" t="str">
        <f>IF(V762="","",IF(X762&lt;&gt;"",IF(X762-V762&lt;30,"No","Sí"),IF(TODAY()-V762&gt;=30,"Sí","En curso")))</f>
        <v/>
      </c>
      <c r="Z762" s="14"/>
      <c r="AA762" s="21"/>
      <c r="AB762" s="14"/>
      <c r="AC762" s="21"/>
      <c r="AD762" s="21"/>
      <c r="AE762" s="7"/>
      <c r="AF762" s="11" t="str">
        <f>IF(OR(AC762&lt;&gt;"Abierto",Z762=""),"",TODAY()-Z762)</f>
        <v/>
      </c>
      <c r="AG762" s="11" t="str">
        <f>IF(AC762&lt;&gt;"Abierto","",IF(AB762="","Sin siguiente acción",IF(AB762&lt;TODAY(),"Vencido",IF(AB762=TODAY(),"Hoy","En tiempo"))))</f>
        <v/>
      </c>
      <c r="AH762" s="11" t="str">
        <f>IF(OR(B762="",V762=""),"",V762-B762)</f>
        <v/>
      </c>
      <c r="AI762" s="16" t="str">
        <f>IF(P762="","",P762-WEEKDAY(P762,3))</f>
        <v/>
      </c>
      <c r="AJ762" s="23" t="str">
        <f>IF(P762="","",DATE(YEAR(P762),MONTH(P762),1))</f>
        <v/>
      </c>
    </row>
    <row r="763">
      <c r="A763" s="21"/>
      <c r="B763" s="14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14"/>
      <c r="Q763" s="21"/>
      <c r="R763" s="21"/>
      <c r="S763" s="21"/>
      <c r="T763" s="21"/>
      <c r="U763" s="21"/>
      <c r="V763" s="14"/>
      <c r="W763" s="22"/>
      <c r="X763" s="14"/>
      <c r="Y763" s="11" t="str">
        <f>IF(V763="","",IF(X763&lt;&gt;"",IF(X763-V763&lt;30,"No","Sí"),IF(TODAY()-V763&gt;=30,"Sí","En curso")))</f>
        <v/>
      </c>
      <c r="Z763" s="14"/>
      <c r="AA763" s="21"/>
      <c r="AB763" s="14"/>
      <c r="AC763" s="21"/>
      <c r="AD763" s="21"/>
      <c r="AE763" s="7"/>
      <c r="AF763" s="11" t="str">
        <f>IF(OR(AC763&lt;&gt;"Abierto",Z763=""),"",TODAY()-Z763)</f>
        <v/>
      </c>
      <c r="AG763" s="11" t="str">
        <f>IF(AC763&lt;&gt;"Abierto","",IF(AB763="","Sin siguiente acción",IF(AB763&lt;TODAY(),"Vencido",IF(AB763=TODAY(),"Hoy","En tiempo"))))</f>
        <v/>
      </c>
      <c r="AH763" s="11" t="str">
        <f>IF(OR(B763="",V763=""),"",V763-B763)</f>
        <v/>
      </c>
      <c r="AI763" s="16" t="str">
        <f>IF(P763="","",P763-WEEKDAY(P763,3))</f>
        <v/>
      </c>
      <c r="AJ763" s="23" t="str">
        <f>IF(P763="","",DATE(YEAR(P763),MONTH(P763),1))</f>
        <v/>
      </c>
    </row>
    <row r="764">
      <c r="A764" s="21"/>
      <c r="B764" s="14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14"/>
      <c r="Q764" s="21"/>
      <c r="R764" s="21"/>
      <c r="S764" s="21"/>
      <c r="T764" s="21"/>
      <c r="U764" s="21"/>
      <c r="V764" s="14"/>
      <c r="W764" s="22"/>
      <c r="X764" s="14"/>
      <c r="Y764" s="11" t="str">
        <f>IF(V764="","",IF(X764&lt;&gt;"",IF(X764-V764&lt;30,"No","Sí"),IF(TODAY()-V764&gt;=30,"Sí","En curso")))</f>
        <v/>
      </c>
      <c r="Z764" s="14"/>
      <c r="AA764" s="21"/>
      <c r="AB764" s="14"/>
      <c r="AC764" s="21"/>
      <c r="AD764" s="21"/>
      <c r="AE764" s="7"/>
      <c r="AF764" s="11" t="str">
        <f>IF(OR(AC764&lt;&gt;"Abierto",Z764=""),"",TODAY()-Z764)</f>
        <v/>
      </c>
      <c r="AG764" s="11" t="str">
        <f>IF(AC764&lt;&gt;"Abierto","",IF(AB764="","Sin siguiente acción",IF(AB764&lt;TODAY(),"Vencido",IF(AB764=TODAY(),"Hoy","En tiempo"))))</f>
        <v/>
      </c>
      <c r="AH764" s="11" t="str">
        <f>IF(OR(B764="",V764=""),"",V764-B764)</f>
        <v/>
      </c>
      <c r="AI764" s="16" t="str">
        <f>IF(P764="","",P764-WEEKDAY(P764,3))</f>
        <v/>
      </c>
      <c r="AJ764" s="23" t="str">
        <f>IF(P764="","",DATE(YEAR(P764),MONTH(P764),1))</f>
        <v/>
      </c>
    </row>
    <row r="765">
      <c r="A765" s="21"/>
      <c r="B765" s="14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14"/>
      <c r="Q765" s="21"/>
      <c r="R765" s="21"/>
      <c r="S765" s="21"/>
      <c r="T765" s="21"/>
      <c r="U765" s="21"/>
      <c r="V765" s="14"/>
      <c r="W765" s="22"/>
      <c r="X765" s="14"/>
      <c r="Y765" s="11" t="str">
        <f>IF(V765="","",IF(X765&lt;&gt;"",IF(X765-V765&lt;30,"No","Sí"),IF(TODAY()-V765&gt;=30,"Sí","En curso")))</f>
        <v/>
      </c>
      <c r="Z765" s="14"/>
      <c r="AA765" s="21"/>
      <c r="AB765" s="14"/>
      <c r="AC765" s="21"/>
      <c r="AD765" s="21"/>
      <c r="AE765" s="7"/>
      <c r="AF765" s="11" t="str">
        <f>IF(OR(AC765&lt;&gt;"Abierto",Z765=""),"",TODAY()-Z765)</f>
        <v/>
      </c>
      <c r="AG765" s="11" t="str">
        <f>IF(AC765&lt;&gt;"Abierto","",IF(AB765="","Sin siguiente acción",IF(AB765&lt;TODAY(),"Vencido",IF(AB765=TODAY(),"Hoy","En tiempo"))))</f>
        <v/>
      </c>
      <c r="AH765" s="11" t="str">
        <f>IF(OR(B765="",V765=""),"",V765-B765)</f>
        <v/>
      </c>
      <c r="AI765" s="16" t="str">
        <f>IF(P765="","",P765-WEEKDAY(P765,3))</f>
        <v/>
      </c>
      <c r="AJ765" s="23" t="str">
        <f>IF(P765="","",DATE(YEAR(P765),MONTH(P765),1))</f>
        <v/>
      </c>
    </row>
    <row r="766">
      <c r="A766" s="21"/>
      <c r="B766" s="14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14"/>
      <c r="Q766" s="21"/>
      <c r="R766" s="21"/>
      <c r="S766" s="21"/>
      <c r="T766" s="21"/>
      <c r="U766" s="21"/>
      <c r="V766" s="14"/>
      <c r="W766" s="22"/>
      <c r="X766" s="14"/>
      <c r="Y766" s="11" t="str">
        <f>IF(V766="","",IF(X766&lt;&gt;"",IF(X766-V766&lt;30,"No","Sí"),IF(TODAY()-V766&gt;=30,"Sí","En curso")))</f>
        <v/>
      </c>
      <c r="Z766" s="14"/>
      <c r="AA766" s="21"/>
      <c r="AB766" s="14"/>
      <c r="AC766" s="21"/>
      <c r="AD766" s="21"/>
      <c r="AE766" s="7"/>
      <c r="AF766" s="11" t="str">
        <f>IF(OR(AC766&lt;&gt;"Abierto",Z766=""),"",TODAY()-Z766)</f>
        <v/>
      </c>
      <c r="AG766" s="11" t="str">
        <f>IF(AC766&lt;&gt;"Abierto","",IF(AB766="","Sin siguiente acción",IF(AB766&lt;TODAY(),"Vencido",IF(AB766=TODAY(),"Hoy","En tiempo"))))</f>
        <v/>
      </c>
      <c r="AH766" s="11" t="str">
        <f>IF(OR(B766="",V766=""),"",V766-B766)</f>
        <v/>
      </c>
      <c r="AI766" s="16" t="str">
        <f>IF(P766="","",P766-WEEKDAY(P766,3))</f>
        <v/>
      </c>
      <c r="AJ766" s="23" t="str">
        <f>IF(P766="","",DATE(YEAR(P766),MONTH(P766),1))</f>
        <v/>
      </c>
    </row>
    <row r="767">
      <c r="A767" s="21"/>
      <c r="B767" s="14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14"/>
      <c r="Q767" s="21"/>
      <c r="R767" s="21"/>
      <c r="S767" s="21"/>
      <c r="T767" s="21"/>
      <c r="U767" s="21"/>
      <c r="V767" s="14"/>
      <c r="W767" s="22"/>
      <c r="X767" s="14"/>
      <c r="Y767" s="11" t="str">
        <f>IF(V767="","",IF(X767&lt;&gt;"",IF(X767-V767&lt;30,"No","Sí"),IF(TODAY()-V767&gt;=30,"Sí","En curso")))</f>
        <v/>
      </c>
      <c r="Z767" s="14"/>
      <c r="AA767" s="21"/>
      <c r="AB767" s="14"/>
      <c r="AC767" s="21"/>
      <c r="AD767" s="21"/>
      <c r="AE767" s="7"/>
      <c r="AF767" s="11" t="str">
        <f>IF(OR(AC767&lt;&gt;"Abierto",Z767=""),"",TODAY()-Z767)</f>
        <v/>
      </c>
      <c r="AG767" s="11" t="str">
        <f>IF(AC767&lt;&gt;"Abierto","",IF(AB767="","Sin siguiente acción",IF(AB767&lt;TODAY(),"Vencido",IF(AB767=TODAY(),"Hoy","En tiempo"))))</f>
        <v/>
      </c>
      <c r="AH767" s="11" t="str">
        <f>IF(OR(B767="",V767=""),"",V767-B767)</f>
        <v/>
      </c>
      <c r="AI767" s="16" t="str">
        <f>IF(P767="","",P767-WEEKDAY(P767,3))</f>
        <v/>
      </c>
      <c r="AJ767" s="23" t="str">
        <f>IF(P767="","",DATE(YEAR(P767),MONTH(P767),1))</f>
        <v/>
      </c>
    </row>
    <row r="768">
      <c r="A768" s="21"/>
      <c r="B768" s="14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14"/>
      <c r="Q768" s="21"/>
      <c r="R768" s="21"/>
      <c r="S768" s="21"/>
      <c r="T768" s="21"/>
      <c r="U768" s="21"/>
      <c r="V768" s="14"/>
      <c r="W768" s="22"/>
      <c r="X768" s="14"/>
      <c r="Y768" s="11" t="str">
        <f>IF(V768="","",IF(X768&lt;&gt;"",IF(X768-V768&lt;30,"No","Sí"),IF(TODAY()-V768&gt;=30,"Sí","En curso")))</f>
        <v/>
      </c>
      <c r="Z768" s="14"/>
      <c r="AA768" s="21"/>
      <c r="AB768" s="14"/>
      <c r="AC768" s="21"/>
      <c r="AD768" s="21"/>
      <c r="AE768" s="7"/>
      <c r="AF768" s="11" t="str">
        <f>IF(OR(AC768&lt;&gt;"Abierto",Z768=""),"",TODAY()-Z768)</f>
        <v/>
      </c>
      <c r="AG768" s="11" t="str">
        <f>IF(AC768&lt;&gt;"Abierto","",IF(AB768="","Sin siguiente acción",IF(AB768&lt;TODAY(),"Vencido",IF(AB768=TODAY(),"Hoy","En tiempo"))))</f>
        <v/>
      </c>
      <c r="AH768" s="11" t="str">
        <f>IF(OR(B768="",V768=""),"",V768-B768)</f>
        <v/>
      </c>
      <c r="AI768" s="16" t="str">
        <f>IF(P768="","",P768-WEEKDAY(P768,3))</f>
        <v/>
      </c>
      <c r="AJ768" s="23" t="str">
        <f>IF(P768="","",DATE(YEAR(P768),MONTH(P768),1))</f>
        <v/>
      </c>
    </row>
    <row r="769">
      <c r="A769" s="21"/>
      <c r="B769" s="14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14"/>
      <c r="Q769" s="21"/>
      <c r="R769" s="21"/>
      <c r="S769" s="21"/>
      <c r="T769" s="21"/>
      <c r="U769" s="21"/>
      <c r="V769" s="14"/>
      <c r="W769" s="22"/>
      <c r="X769" s="14"/>
      <c r="Y769" s="11" t="str">
        <f>IF(V769="","",IF(X769&lt;&gt;"",IF(X769-V769&lt;30,"No","Sí"),IF(TODAY()-V769&gt;=30,"Sí","En curso")))</f>
        <v/>
      </c>
      <c r="Z769" s="14"/>
      <c r="AA769" s="21"/>
      <c r="AB769" s="14"/>
      <c r="AC769" s="21"/>
      <c r="AD769" s="21"/>
      <c r="AE769" s="7"/>
      <c r="AF769" s="11" t="str">
        <f>IF(OR(AC769&lt;&gt;"Abierto",Z769=""),"",TODAY()-Z769)</f>
        <v/>
      </c>
      <c r="AG769" s="11" t="str">
        <f>IF(AC769&lt;&gt;"Abierto","",IF(AB769="","Sin siguiente acción",IF(AB769&lt;TODAY(),"Vencido",IF(AB769=TODAY(),"Hoy","En tiempo"))))</f>
        <v/>
      </c>
      <c r="AH769" s="11" t="str">
        <f>IF(OR(B769="",V769=""),"",V769-B769)</f>
        <v/>
      </c>
      <c r="AI769" s="16" t="str">
        <f>IF(P769="","",P769-WEEKDAY(P769,3))</f>
        <v/>
      </c>
      <c r="AJ769" s="23" t="str">
        <f>IF(P769="","",DATE(YEAR(P769),MONTH(P769),1))</f>
        <v/>
      </c>
    </row>
    <row r="770">
      <c r="A770" s="21"/>
      <c r="B770" s="14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14"/>
      <c r="Q770" s="21"/>
      <c r="R770" s="21"/>
      <c r="S770" s="21"/>
      <c r="T770" s="21"/>
      <c r="U770" s="21"/>
      <c r="V770" s="14"/>
      <c r="W770" s="22"/>
      <c r="X770" s="14"/>
      <c r="Y770" s="11" t="str">
        <f>IF(V770="","",IF(X770&lt;&gt;"",IF(X770-V770&lt;30,"No","Sí"),IF(TODAY()-V770&gt;=30,"Sí","En curso")))</f>
        <v/>
      </c>
      <c r="Z770" s="14"/>
      <c r="AA770" s="21"/>
      <c r="AB770" s="14"/>
      <c r="AC770" s="21"/>
      <c r="AD770" s="21"/>
      <c r="AE770" s="7"/>
      <c r="AF770" s="11" t="str">
        <f>IF(OR(AC770&lt;&gt;"Abierto",Z770=""),"",TODAY()-Z770)</f>
        <v/>
      </c>
      <c r="AG770" s="11" t="str">
        <f>IF(AC770&lt;&gt;"Abierto","",IF(AB770="","Sin siguiente acción",IF(AB770&lt;TODAY(),"Vencido",IF(AB770=TODAY(),"Hoy","En tiempo"))))</f>
        <v/>
      </c>
      <c r="AH770" s="11" t="str">
        <f>IF(OR(B770="",V770=""),"",V770-B770)</f>
        <v/>
      </c>
      <c r="AI770" s="16" t="str">
        <f>IF(P770="","",P770-WEEKDAY(P770,3))</f>
        <v/>
      </c>
      <c r="AJ770" s="23" t="str">
        <f>IF(P770="","",DATE(YEAR(P770),MONTH(P770),1))</f>
        <v/>
      </c>
    </row>
    <row r="771">
      <c r="A771" s="21"/>
      <c r="B771" s="14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14"/>
      <c r="Q771" s="21"/>
      <c r="R771" s="21"/>
      <c r="S771" s="21"/>
      <c r="T771" s="21"/>
      <c r="U771" s="21"/>
      <c r="V771" s="14"/>
      <c r="W771" s="22"/>
      <c r="X771" s="14"/>
      <c r="Y771" s="11" t="str">
        <f>IF(V771="","",IF(X771&lt;&gt;"",IF(X771-V771&lt;30,"No","Sí"),IF(TODAY()-V771&gt;=30,"Sí","En curso")))</f>
        <v/>
      </c>
      <c r="Z771" s="14"/>
      <c r="AA771" s="21"/>
      <c r="AB771" s="14"/>
      <c r="AC771" s="21"/>
      <c r="AD771" s="21"/>
      <c r="AE771" s="7"/>
      <c r="AF771" s="11" t="str">
        <f>IF(OR(AC771&lt;&gt;"Abierto",Z771=""),"",TODAY()-Z771)</f>
        <v/>
      </c>
      <c r="AG771" s="11" t="str">
        <f>IF(AC771&lt;&gt;"Abierto","",IF(AB771="","Sin siguiente acción",IF(AB771&lt;TODAY(),"Vencido",IF(AB771=TODAY(),"Hoy","En tiempo"))))</f>
        <v/>
      </c>
      <c r="AH771" s="11" t="str">
        <f>IF(OR(B771="",V771=""),"",V771-B771)</f>
        <v/>
      </c>
      <c r="AI771" s="16" t="str">
        <f>IF(P771="","",P771-WEEKDAY(P771,3))</f>
        <v/>
      </c>
      <c r="AJ771" s="23" t="str">
        <f>IF(P771="","",DATE(YEAR(P771),MONTH(P771),1))</f>
        <v/>
      </c>
    </row>
    <row r="772">
      <c r="A772" s="21"/>
      <c r="B772" s="14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14"/>
      <c r="Q772" s="21"/>
      <c r="R772" s="21"/>
      <c r="S772" s="21"/>
      <c r="T772" s="21"/>
      <c r="U772" s="21"/>
      <c r="V772" s="14"/>
      <c r="W772" s="22"/>
      <c r="X772" s="14"/>
      <c r="Y772" s="11" t="str">
        <f>IF(V772="","",IF(X772&lt;&gt;"",IF(X772-V772&lt;30,"No","Sí"),IF(TODAY()-V772&gt;=30,"Sí","En curso")))</f>
        <v/>
      </c>
      <c r="Z772" s="14"/>
      <c r="AA772" s="21"/>
      <c r="AB772" s="14"/>
      <c r="AC772" s="21"/>
      <c r="AD772" s="21"/>
      <c r="AE772" s="7"/>
      <c r="AF772" s="11" t="str">
        <f>IF(OR(AC772&lt;&gt;"Abierto",Z772=""),"",TODAY()-Z772)</f>
        <v/>
      </c>
      <c r="AG772" s="11" t="str">
        <f>IF(AC772&lt;&gt;"Abierto","",IF(AB772="","Sin siguiente acción",IF(AB772&lt;TODAY(),"Vencido",IF(AB772=TODAY(),"Hoy","En tiempo"))))</f>
        <v/>
      </c>
      <c r="AH772" s="11" t="str">
        <f>IF(OR(B772="",V772=""),"",V772-B772)</f>
        <v/>
      </c>
      <c r="AI772" s="16" t="str">
        <f>IF(P772="","",P772-WEEKDAY(P772,3))</f>
        <v/>
      </c>
      <c r="AJ772" s="23" t="str">
        <f>IF(P772="","",DATE(YEAR(P772),MONTH(P772),1))</f>
        <v/>
      </c>
    </row>
    <row r="773">
      <c r="A773" s="21"/>
      <c r="B773" s="14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14"/>
      <c r="Q773" s="21"/>
      <c r="R773" s="21"/>
      <c r="S773" s="21"/>
      <c r="T773" s="21"/>
      <c r="U773" s="21"/>
      <c r="V773" s="14"/>
      <c r="W773" s="22"/>
      <c r="X773" s="14"/>
      <c r="Y773" s="11" t="str">
        <f>IF(V773="","",IF(X773&lt;&gt;"",IF(X773-V773&lt;30,"No","Sí"),IF(TODAY()-V773&gt;=30,"Sí","En curso")))</f>
        <v/>
      </c>
      <c r="Z773" s="14"/>
      <c r="AA773" s="21"/>
      <c r="AB773" s="14"/>
      <c r="AC773" s="21"/>
      <c r="AD773" s="21"/>
      <c r="AE773" s="7"/>
      <c r="AF773" s="11" t="str">
        <f>IF(OR(AC773&lt;&gt;"Abierto",Z773=""),"",TODAY()-Z773)</f>
        <v/>
      </c>
      <c r="AG773" s="11" t="str">
        <f>IF(AC773&lt;&gt;"Abierto","",IF(AB773="","Sin siguiente acción",IF(AB773&lt;TODAY(),"Vencido",IF(AB773=TODAY(),"Hoy","En tiempo"))))</f>
        <v/>
      </c>
      <c r="AH773" s="11" t="str">
        <f>IF(OR(B773="",V773=""),"",V773-B773)</f>
        <v/>
      </c>
      <c r="AI773" s="16" t="str">
        <f>IF(P773="","",P773-WEEKDAY(P773,3))</f>
        <v/>
      </c>
      <c r="AJ773" s="23" t="str">
        <f>IF(P773="","",DATE(YEAR(P773),MONTH(P773),1))</f>
        <v/>
      </c>
    </row>
    <row r="774">
      <c r="A774" s="21"/>
      <c r="B774" s="14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14"/>
      <c r="Q774" s="21"/>
      <c r="R774" s="21"/>
      <c r="S774" s="21"/>
      <c r="T774" s="21"/>
      <c r="U774" s="21"/>
      <c r="V774" s="14"/>
      <c r="W774" s="22"/>
      <c r="X774" s="14"/>
      <c r="Y774" s="11" t="str">
        <f>IF(V774="","",IF(X774&lt;&gt;"",IF(X774-V774&lt;30,"No","Sí"),IF(TODAY()-V774&gt;=30,"Sí","En curso")))</f>
        <v/>
      </c>
      <c r="Z774" s="14"/>
      <c r="AA774" s="21"/>
      <c r="AB774" s="14"/>
      <c r="AC774" s="21"/>
      <c r="AD774" s="21"/>
      <c r="AE774" s="7"/>
      <c r="AF774" s="11" t="str">
        <f>IF(OR(AC774&lt;&gt;"Abierto",Z774=""),"",TODAY()-Z774)</f>
        <v/>
      </c>
      <c r="AG774" s="11" t="str">
        <f>IF(AC774&lt;&gt;"Abierto","",IF(AB774="","Sin siguiente acción",IF(AB774&lt;TODAY(),"Vencido",IF(AB774=TODAY(),"Hoy","En tiempo"))))</f>
        <v/>
      </c>
      <c r="AH774" s="11" t="str">
        <f>IF(OR(B774="",V774=""),"",V774-B774)</f>
        <v/>
      </c>
      <c r="AI774" s="16" t="str">
        <f>IF(P774="","",P774-WEEKDAY(P774,3))</f>
        <v/>
      </c>
      <c r="AJ774" s="23" t="str">
        <f>IF(P774="","",DATE(YEAR(P774),MONTH(P774),1))</f>
        <v/>
      </c>
    </row>
    <row r="775">
      <c r="A775" s="21"/>
      <c r="B775" s="14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14"/>
      <c r="Q775" s="21"/>
      <c r="R775" s="21"/>
      <c r="S775" s="21"/>
      <c r="T775" s="21"/>
      <c r="U775" s="21"/>
      <c r="V775" s="14"/>
      <c r="W775" s="22"/>
      <c r="X775" s="14"/>
      <c r="Y775" s="11" t="str">
        <f>IF(V775="","",IF(X775&lt;&gt;"",IF(X775-V775&lt;30,"No","Sí"),IF(TODAY()-V775&gt;=30,"Sí","En curso")))</f>
        <v/>
      </c>
      <c r="Z775" s="14"/>
      <c r="AA775" s="21"/>
      <c r="AB775" s="14"/>
      <c r="AC775" s="21"/>
      <c r="AD775" s="21"/>
      <c r="AE775" s="7"/>
      <c r="AF775" s="11" t="str">
        <f>IF(OR(AC775&lt;&gt;"Abierto",Z775=""),"",TODAY()-Z775)</f>
        <v/>
      </c>
      <c r="AG775" s="11" t="str">
        <f>IF(AC775&lt;&gt;"Abierto","",IF(AB775="","Sin siguiente acción",IF(AB775&lt;TODAY(),"Vencido",IF(AB775=TODAY(),"Hoy","En tiempo"))))</f>
        <v/>
      </c>
      <c r="AH775" s="11" t="str">
        <f>IF(OR(B775="",V775=""),"",V775-B775)</f>
        <v/>
      </c>
      <c r="AI775" s="16" t="str">
        <f>IF(P775="","",P775-WEEKDAY(P775,3))</f>
        <v/>
      </c>
      <c r="AJ775" s="23" t="str">
        <f>IF(P775="","",DATE(YEAR(P775),MONTH(P775),1))</f>
        <v/>
      </c>
    </row>
    <row r="776">
      <c r="A776" s="21"/>
      <c r="B776" s="14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14"/>
      <c r="Q776" s="21"/>
      <c r="R776" s="21"/>
      <c r="S776" s="21"/>
      <c r="T776" s="21"/>
      <c r="U776" s="21"/>
      <c r="V776" s="14"/>
      <c r="W776" s="22"/>
      <c r="X776" s="14"/>
      <c r="Y776" s="11" t="str">
        <f>IF(V776="","",IF(X776&lt;&gt;"",IF(X776-V776&lt;30,"No","Sí"),IF(TODAY()-V776&gt;=30,"Sí","En curso")))</f>
        <v/>
      </c>
      <c r="Z776" s="14"/>
      <c r="AA776" s="21"/>
      <c r="AB776" s="14"/>
      <c r="AC776" s="21"/>
      <c r="AD776" s="21"/>
      <c r="AE776" s="7"/>
      <c r="AF776" s="11" t="str">
        <f>IF(OR(AC776&lt;&gt;"Abierto",Z776=""),"",TODAY()-Z776)</f>
        <v/>
      </c>
      <c r="AG776" s="11" t="str">
        <f>IF(AC776&lt;&gt;"Abierto","",IF(AB776="","Sin siguiente acción",IF(AB776&lt;TODAY(),"Vencido",IF(AB776=TODAY(),"Hoy","En tiempo"))))</f>
        <v/>
      </c>
      <c r="AH776" s="11" t="str">
        <f>IF(OR(B776="",V776=""),"",V776-B776)</f>
        <v/>
      </c>
      <c r="AI776" s="16" t="str">
        <f>IF(P776="","",P776-WEEKDAY(P776,3))</f>
        <v/>
      </c>
      <c r="AJ776" s="23" t="str">
        <f>IF(P776="","",DATE(YEAR(P776),MONTH(P776),1))</f>
        <v/>
      </c>
    </row>
    <row r="777">
      <c r="A777" s="21"/>
      <c r="B777" s="14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14"/>
      <c r="Q777" s="21"/>
      <c r="R777" s="21"/>
      <c r="S777" s="21"/>
      <c r="T777" s="21"/>
      <c r="U777" s="21"/>
      <c r="V777" s="14"/>
      <c r="W777" s="22"/>
      <c r="X777" s="14"/>
      <c r="Y777" s="11" t="str">
        <f>IF(V777="","",IF(X777&lt;&gt;"",IF(X777-V777&lt;30,"No","Sí"),IF(TODAY()-V777&gt;=30,"Sí","En curso")))</f>
        <v/>
      </c>
      <c r="Z777" s="14"/>
      <c r="AA777" s="21"/>
      <c r="AB777" s="14"/>
      <c r="AC777" s="21"/>
      <c r="AD777" s="21"/>
      <c r="AE777" s="7"/>
      <c r="AF777" s="11" t="str">
        <f>IF(OR(AC777&lt;&gt;"Abierto",Z777=""),"",TODAY()-Z777)</f>
        <v/>
      </c>
      <c r="AG777" s="11" t="str">
        <f>IF(AC777&lt;&gt;"Abierto","",IF(AB777="","Sin siguiente acción",IF(AB777&lt;TODAY(),"Vencido",IF(AB777=TODAY(),"Hoy","En tiempo"))))</f>
        <v/>
      </c>
      <c r="AH777" s="11" t="str">
        <f>IF(OR(B777="",V777=""),"",V777-B777)</f>
        <v/>
      </c>
      <c r="AI777" s="16" t="str">
        <f>IF(P777="","",P777-WEEKDAY(P777,3))</f>
        <v/>
      </c>
      <c r="AJ777" s="23" t="str">
        <f>IF(P777="","",DATE(YEAR(P777),MONTH(P777),1))</f>
        <v/>
      </c>
    </row>
    <row r="778">
      <c r="A778" s="21"/>
      <c r="B778" s="14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14"/>
      <c r="Q778" s="21"/>
      <c r="R778" s="21"/>
      <c r="S778" s="21"/>
      <c r="T778" s="21"/>
      <c r="U778" s="21"/>
      <c r="V778" s="14"/>
      <c r="W778" s="22"/>
      <c r="X778" s="14"/>
      <c r="Y778" s="11" t="str">
        <f>IF(V778="","",IF(X778&lt;&gt;"",IF(X778-V778&lt;30,"No","Sí"),IF(TODAY()-V778&gt;=30,"Sí","En curso")))</f>
        <v/>
      </c>
      <c r="Z778" s="14"/>
      <c r="AA778" s="21"/>
      <c r="AB778" s="14"/>
      <c r="AC778" s="21"/>
      <c r="AD778" s="21"/>
      <c r="AE778" s="7"/>
      <c r="AF778" s="11" t="str">
        <f>IF(OR(AC778&lt;&gt;"Abierto",Z778=""),"",TODAY()-Z778)</f>
        <v/>
      </c>
      <c r="AG778" s="11" t="str">
        <f>IF(AC778&lt;&gt;"Abierto","",IF(AB778="","Sin siguiente acción",IF(AB778&lt;TODAY(),"Vencido",IF(AB778=TODAY(),"Hoy","En tiempo"))))</f>
        <v/>
      </c>
      <c r="AH778" s="11" t="str">
        <f>IF(OR(B778="",V778=""),"",V778-B778)</f>
        <v/>
      </c>
      <c r="AI778" s="16" t="str">
        <f>IF(P778="","",P778-WEEKDAY(P778,3))</f>
        <v/>
      </c>
      <c r="AJ778" s="23" t="str">
        <f>IF(P778="","",DATE(YEAR(P778),MONTH(P778),1))</f>
        <v/>
      </c>
    </row>
    <row r="779">
      <c r="A779" s="21"/>
      <c r="B779" s="14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14"/>
      <c r="Q779" s="21"/>
      <c r="R779" s="21"/>
      <c r="S779" s="21"/>
      <c r="T779" s="21"/>
      <c r="U779" s="21"/>
      <c r="V779" s="14"/>
      <c r="W779" s="22"/>
      <c r="X779" s="14"/>
      <c r="Y779" s="11" t="str">
        <f>IF(V779="","",IF(X779&lt;&gt;"",IF(X779-V779&lt;30,"No","Sí"),IF(TODAY()-V779&gt;=30,"Sí","En curso")))</f>
        <v/>
      </c>
      <c r="Z779" s="14"/>
      <c r="AA779" s="21"/>
      <c r="AB779" s="14"/>
      <c r="AC779" s="21"/>
      <c r="AD779" s="21"/>
      <c r="AE779" s="7"/>
      <c r="AF779" s="11" t="str">
        <f>IF(OR(AC779&lt;&gt;"Abierto",Z779=""),"",TODAY()-Z779)</f>
        <v/>
      </c>
      <c r="AG779" s="11" t="str">
        <f>IF(AC779&lt;&gt;"Abierto","",IF(AB779="","Sin siguiente acción",IF(AB779&lt;TODAY(),"Vencido",IF(AB779=TODAY(),"Hoy","En tiempo"))))</f>
        <v/>
      </c>
      <c r="AH779" s="11" t="str">
        <f>IF(OR(B779="",V779=""),"",V779-B779)</f>
        <v/>
      </c>
      <c r="AI779" s="16" t="str">
        <f>IF(P779="","",P779-WEEKDAY(P779,3))</f>
        <v/>
      </c>
      <c r="AJ779" s="23" t="str">
        <f>IF(P779="","",DATE(YEAR(P779),MONTH(P779),1))</f>
        <v/>
      </c>
    </row>
    <row r="780">
      <c r="A780" s="21"/>
      <c r="B780" s="14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14"/>
      <c r="Q780" s="21"/>
      <c r="R780" s="21"/>
      <c r="S780" s="21"/>
      <c r="T780" s="21"/>
      <c r="U780" s="21"/>
      <c r="V780" s="14"/>
      <c r="W780" s="22"/>
      <c r="X780" s="14"/>
      <c r="Y780" s="11" t="str">
        <f>IF(V780="","",IF(X780&lt;&gt;"",IF(X780-V780&lt;30,"No","Sí"),IF(TODAY()-V780&gt;=30,"Sí","En curso")))</f>
        <v/>
      </c>
      <c r="Z780" s="14"/>
      <c r="AA780" s="21"/>
      <c r="AB780" s="14"/>
      <c r="AC780" s="21"/>
      <c r="AD780" s="21"/>
      <c r="AE780" s="7"/>
      <c r="AF780" s="11" t="str">
        <f>IF(OR(AC780&lt;&gt;"Abierto",Z780=""),"",TODAY()-Z780)</f>
        <v/>
      </c>
      <c r="AG780" s="11" t="str">
        <f>IF(AC780&lt;&gt;"Abierto","",IF(AB780="","Sin siguiente acción",IF(AB780&lt;TODAY(),"Vencido",IF(AB780=TODAY(),"Hoy","En tiempo"))))</f>
        <v/>
      </c>
      <c r="AH780" s="11" t="str">
        <f>IF(OR(B780="",V780=""),"",V780-B780)</f>
        <v/>
      </c>
      <c r="AI780" s="16" t="str">
        <f>IF(P780="","",P780-WEEKDAY(P780,3))</f>
        <v/>
      </c>
      <c r="AJ780" s="23" t="str">
        <f>IF(P780="","",DATE(YEAR(P780),MONTH(P780),1))</f>
        <v/>
      </c>
    </row>
    <row r="781">
      <c r="A781" s="21"/>
      <c r="B781" s="14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14"/>
      <c r="Q781" s="21"/>
      <c r="R781" s="21"/>
      <c r="S781" s="21"/>
      <c r="T781" s="21"/>
      <c r="U781" s="21"/>
      <c r="V781" s="14"/>
      <c r="W781" s="22"/>
      <c r="X781" s="14"/>
      <c r="Y781" s="11" t="str">
        <f>IF(V781="","",IF(X781&lt;&gt;"",IF(X781-V781&lt;30,"No","Sí"),IF(TODAY()-V781&gt;=30,"Sí","En curso")))</f>
        <v/>
      </c>
      <c r="Z781" s="14"/>
      <c r="AA781" s="21"/>
      <c r="AB781" s="14"/>
      <c r="AC781" s="21"/>
      <c r="AD781" s="21"/>
      <c r="AE781" s="7"/>
      <c r="AF781" s="11" t="str">
        <f>IF(OR(AC781&lt;&gt;"Abierto",Z781=""),"",TODAY()-Z781)</f>
        <v/>
      </c>
      <c r="AG781" s="11" t="str">
        <f>IF(AC781&lt;&gt;"Abierto","",IF(AB781="","Sin siguiente acción",IF(AB781&lt;TODAY(),"Vencido",IF(AB781=TODAY(),"Hoy","En tiempo"))))</f>
        <v/>
      </c>
      <c r="AH781" s="11" t="str">
        <f>IF(OR(B781="",V781=""),"",V781-B781)</f>
        <v/>
      </c>
      <c r="AI781" s="16" t="str">
        <f>IF(P781="","",P781-WEEKDAY(P781,3))</f>
        <v/>
      </c>
      <c r="AJ781" s="23" t="str">
        <f>IF(P781="","",DATE(YEAR(P781),MONTH(P781),1))</f>
        <v/>
      </c>
    </row>
    <row r="782">
      <c r="A782" s="21"/>
      <c r="B782" s="14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14"/>
      <c r="Q782" s="21"/>
      <c r="R782" s="21"/>
      <c r="S782" s="21"/>
      <c r="T782" s="21"/>
      <c r="U782" s="21"/>
      <c r="V782" s="14"/>
      <c r="W782" s="22"/>
      <c r="X782" s="14"/>
      <c r="Y782" s="11" t="str">
        <f>IF(V782="","",IF(X782&lt;&gt;"",IF(X782-V782&lt;30,"No","Sí"),IF(TODAY()-V782&gt;=30,"Sí","En curso")))</f>
        <v/>
      </c>
      <c r="Z782" s="14"/>
      <c r="AA782" s="21"/>
      <c r="AB782" s="14"/>
      <c r="AC782" s="21"/>
      <c r="AD782" s="21"/>
      <c r="AE782" s="7"/>
      <c r="AF782" s="11" t="str">
        <f>IF(OR(AC782&lt;&gt;"Abierto",Z782=""),"",TODAY()-Z782)</f>
        <v/>
      </c>
      <c r="AG782" s="11" t="str">
        <f>IF(AC782&lt;&gt;"Abierto","",IF(AB782="","Sin siguiente acción",IF(AB782&lt;TODAY(),"Vencido",IF(AB782=TODAY(),"Hoy","En tiempo"))))</f>
        <v/>
      </c>
      <c r="AH782" s="11" t="str">
        <f>IF(OR(B782="",V782=""),"",V782-B782)</f>
        <v/>
      </c>
      <c r="AI782" s="16" t="str">
        <f>IF(P782="","",P782-WEEKDAY(P782,3))</f>
        <v/>
      </c>
      <c r="AJ782" s="23" t="str">
        <f>IF(P782="","",DATE(YEAR(P782),MONTH(P782),1))</f>
        <v/>
      </c>
    </row>
    <row r="783">
      <c r="A783" s="21"/>
      <c r="B783" s="14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14"/>
      <c r="Q783" s="21"/>
      <c r="R783" s="21"/>
      <c r="S783" s="21"/>
      <c r="T783" s="21"/>
      <c r="U783" s="21"/>
      <c r="V783" s="14"/>
      <c r="W783" s="22"/>
      <c r="X783" s="14"/>
      <c r="Y783" s="11" t="str">
        <f>IF(V783="","",IF(X783&lt;&gt;"",IF(X783-V783&lt;30,"No","Sí"),IF(TODAY()-V783&gt;=30,"Sí","En curso")))</f>
        <v/>
      </c>
      <c r="Z783" s="14"/>
      <c r="AA783" s="21"/>
      <c r="AB783" s="14"/>
      <c r="AC783" s="21"/>
      <c r="AD783" s="21"/>
      <c r="AE783" s="7"/>
      <c r="AF783" s="11" t="str">
        <f>IF(OR(AC783&lt;&gt;"Abierto",Z783=""),"",TODAY()-Z783)</f>
        <v/>
      </c>
      <c r="AG783" s="11" t="str">
        <f>IF(AC783&lt;&gt;"Abierto","",IF(AB783="","Sin siguiente acción",IF(AB783&lt;TODAY(),"Vencido",IF(AB783=TODAY(),"Hoy","En tiempo"))))</f>
        <v/>
      </c>
      <c r="AH783" s="11" t="str">
        <f>IF(OR(B783="",V783=""),"",V783-B783)</f>
        <v/>
      </c>
      <c r="AI783" s="16" t="str">
        <f>IF(P783="","",P783-WEEKDAY(P783,3))</f>
        <v/>
      </c>
      <c r="AJ783" s="23" t="str">
        <f>IF(P783="","",DATE(YEAR(P783),MONTH(P783),1))</f>
        <v/>
      </c>
    </row>
    <row r="784">
      <c r="A784" s="21"/>
      <c r="B784" s="14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14"/>
      <c r="Q784" s="21"/>
      <c r="R784" s="21"/>
      <c r="S784" s="21"/>
      <c r="T784" s="21"/>
      <c r="U784" s="21"/>
      <c r="V784" s="14"/>
      <c r="W784" s="22"/>
      <c r="X784" s="14"/>
      <c r="Y784" s="11" t="str">
        <f>IF(V784="","",IF(X784&lt;&gt;"",IF(X784-V784&lt;30,"No","Sí"),IF(TODAY()-V784&gt;=30,"Sí","En curso")))</f>
        <v/>
      </c>
      <c r="Z784" s="14"/>
      <c r="AA784" s="21"/>
      <c r="AB784" s="14"/>
      <c r="AC784" s="21"/>
      <c r="AD784" s="21"/>
      <c r="AE784" s="7"/>
      <c r="AF784" s="11" t="str">
        <f>IF(OR(AC784&lt;&gt;"Abierto",Z784=""),"",TODAY()-Z784)</f>
        <v/>
      </c>
      <c r="AG784" s="11" t="str">
        <f>IF(AC784&lt;&gt;"Abierto","",IF(AB784="","Sin siguiente acción",IF(AB784&lt;TODAY(),"Vencido",IF(AB784=TODAY(),"Hoy","En tiempo"))))</f>
        <v/>
      </c>
      <c r="AH784" s="11" t="str">
        <f>IF(OR(B784="",V784=""),"",V784-B784)</f>
        <v/>
      </c>
      <c r="AI784" s="16" t="str">
        <f>IF(P784="","",P784-WEEKDAY(P784,3))</f>
        <v/>
      </c>
      <c r="AJ784" s="23" t="str">
        <f>IF(P784="","",DATE(YEAR(P784),MONTH(P784),1))</f>
        <v/>
      </c>
    </row>
    <row r="785">
      <c r="A785" s="21"/>
      <c r="B785" s="14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14"/>
      <c r="Q785" s="21"/>
      <c r="R785" s="21"/>
      <c r="S785" s="21"/>
      <c r="T785" s="21"/>
      <c r="U785" s="21"/>
      <c r="V785" s="14"/>
      <c r="W785" s="22"/>
      <c r="X785" s="14"/>
      <c r="Y785" s="11" t="str">
        <f>IF(V785="","",IF(X785&lt;&gt;"",IF(X785-V785&lt;30,"No","Sí"),IF(TODAY()-V785&gt;=30,"Sí","En curso")))</f>
        <v/>
      </c>
      <c r="Z785" s="14"/>
      <c r="AA785" s="21"/>
      <c r="AB785" s="14"/>
      <c r="AC785" s="21"/>
      <c r="AD785" s="21"/>
      <c r="AE785" s="7"/>
      <c r="AF785" s="11" t="str">
        <f>IF(OR(AC785&lt;&gt;"Abierto",Z785=""),"",TODAY()-Z785)</f>
        <v/>
      </c>
      <c r="AG785" s="11" t="str">
        <f>IF(AC785&lt;&gt;"Abierto","",IF(AB785="","Sin siguiente acción",IF(AB785&lt;TODAY(),"Vencido",IF(AB785=TODAY(),"Hoy","En tiempo"))))</f>
        <v/>
      </c>
      <c r="AH785" s="11" t="str">
        <f>IF(OR(B785="",V785=""),"",V785-B785)</f>
        <v/>
      </c>
      <c r="AI785" s="16" t="str">
        <f>IF(P785="","",P785-WEEKDAY(P785,3))</f>
        <v/>
      </c>
      <c r="AJ785" s="23" t="str">
        <f>IF(P785="","",DATE(YEAR(P785),MONTH(P785),1))</f>
        <v/>
      </c>
    </row>
    <row r="786">
      <c r="A786" s="21"/>
      <c r="B786" s="14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14"/>
      <c r="Q786" s="21"/>
      <c r="R786" s="21"/>
      <c r="S786" s="21"/>
      <c r="T786" s="21"/>
      <c r="U786" s="21"/>
      <c r="V786" s="14"/>
      <c r="W786" s="22"/>
      <c r="X786" s="14"/>
      <c r="Y786" s="11" t="str">
        <f>IF(V786="","",IF(X786&lt;&gt;"",IF(X786-V786&lt;30,"No","Sí"),IF(TODAY()-V786&gt;=30,"Sí","En curso")))</f>
        <v/>
      </c>
      <c r="Z786" s="14"/>
      <c r="AA786" s="21"/>
      <c r="AB786" s="14"/>
      <c r="AC786" s="21"/>
      <c r="AD786" s="21"/>
      <c r="AE786" s="7"/>
      <c r="AF786" s="11" t="str">
        <f>IF(OR(AC786&lt;&gt;"Abierto",Z786=""),"",TODAY()-Z786)</f>
        <v/>
      </c>
      <c r="AG786" s="11" t="str">
        <f>IF(AC786&lt;&gt;"Abierto","",IF(AB786="","Sin siguiente acción",IF(AB786&lt;TODAY(),"Vencido",IF(AB786=TODAY(),"Hoy","En tiempo"))))</f>
        <v/>
      </c>
      <c r="AH786" s="11" t="str">
        <f>IF(OR(B786="",V786=""),"",V786-B786)</f>
        <v/>
      </c>
      <c r="AI786" s="16" t="str">
        <f>IF(P786="","",P786-WEEKDAY(P786,3))</f>
        <v/>
      </c>
      <c r="AJ786" s="23" t="str">
        <f>IF(P786="","",DATE(YEAR(P786),MONTH(P786),1))</f>
        <v/>
      </c>
    </row>
    <row r="787">
      <c r="A787" s="21"/>
      <c r="B787" s="14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14"/>
      <c r="Q787" s="21"/>
      <c r="R787" s="21"/>
      <c r="S787" s="21"/>
      <c r="T787" s="21"/>
      <c r="U787" s="21"/>
      <c r="V787" s="14"/>
      <c r="W787" s="22"/>
      <c r="X787" s="14"/>
      <c r="Y787" s="11" t="str">
        <f>IF(V787="","",IF(X787&lt;&gt;"",IF(X787-V787&lt;30,"No","Sí"),IF(TODAY()-V787&gt;=30,"Sí","En curso")))</f>
        <v/>
      </c>
      <c r="Z787" s="14"/>
      <c r="AA787" s="21"/>
      <c r="AB787" s="14"/>
      <c r="AC787" s="21"/>
      <c r="AD787" s="21"/>
      <c r="AE787" s="7"/>
      <c r="AF787" s="11" t="str">
        <f>IF(OR(AC787&lt;&gt;"Abierto",Z787=""),"",TODAY()-Z787)</f>
        <v/>
      </c>
      <c r="AG787" s="11" t="str">
        <f>IF(AC787&lt;&gt;"Abierto","",IF(AB787="","Sin siguiente acción",IF(AB787&lt;TODAY(),"Vencido",IF(AB787=TODAY(),"Hoy","En tiempo"))))</f>
        <v/>
      </c>
      <c r="AH787" s="11" t="str">
        <f>IF(OR(B787="",V787=""),"",V787-B787)</f>
        <v/>
      </c>
      <c r="AI787" s="16" t="str">
        <f>IF(P787="","",P787-WEEKDAY(P787,3))</f>
        <v/>
      </c>
      <c r="AJ787" s="23" t="str">
        <f>IF(P787="","",DATE(YEAR(P787),MONTH(P787),1))</f>
        <v/>
      </c>
    </row>
    <row r="788">
      <c r="A788" s="21"/>
      <c r="B788" s="14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14"/>
      <c r="Q788" s="21"/>
      <c r="R788" s="21"/>
      <c r="S788" s="21"/>
      <c r="T788" s="21"/>
      <c r="U788" s="21"/>
      <c r="V788" s="14"/>
      <c r="W788" s="22"/>
      <c r="X788" s="14"/>
      <c r="Y788" s="11" t="str">
        <f>IF(V788="","",IF(X788&lt;&gt;"",IF(X788-V788&lt;30,"No","Sí"),IF(TODAY()-V788&gt;=30,"Sí","En curso")))</f>
        <v/>
      </c>
      <c r="Z788" s="14"/>
      <c r="AA788" s="21"/>
      <c r="AB788" s="14"/>
      <c r="AC788" s="21"/>
      <c r="AD788" s="21"/>
      <c r="AE788" s="7"/>
      <c r="AF788" s="11" t="str">
        <f>IF(OR(AC788&lt;&gt;"Abierto",Z788=""),"",TODAY()-Z788)</f>
        <v/>
      </c>
      <c r="AG788" s="11" t="str">
        <f>IF(AC788&lt;&gt;"Abierto","",IF(AB788="","Sin siguiente acción",IF(AB788&lt;TODAY(),"Vencido",IF(AB788=TODAY(),"Hoy","En tiempo"))))</f>
        <v/>
      </c>
      <c r="AH788" s="11" t="str">
        <f>IF(OR(B788="",V788=""),"",V788-B788)</f>
        <v/>
      </c>
      <c r="AI788" s="16" t="str">
        <f>IF(P788="","",P788-WEEKDAY(P788,3))</f>
        <v/>
      </c>
      <c r="AJ788" s="23" t="str">
        <f>IF(P788="","",DATE(YEAR(P788),MONTH(P788),1))</f>
        <v/>
      </c>
    </row>
    <row r="789">
      <c r="A789" s="21"/>
      <c r="B789" s="14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14"/>
      <c r="Q789" s="21"/>
      <c r="R789" s="21"/>
      <c r="S789" s="21"/>
      <c r="T789" s="21"/>
      <c r="U789" s="21"/>
      <c r="V789" s="14"/>
      <c r="W789" s="22"/>
      <c r="X789" s="14"/>
      <c r="Y789" s="11" t="str">
        <f>IF(V789="","",IF(X789&lt;&gt;"",IF(X789-V789&lt;30,"No","Sí"),IF(TODAY()-V789&gt;=30,"Sí","En curso")))</f>
        <v/>
      </c>
      <c r="Z789" s="14"/>
      <c r="AA789" s="21"/>
      <c r="AB789" s="14"/>
      <c r="AC789" s="21"/>
      <c r="AD789" s="21"/>
      <c r="AE789" s="7"/>
      <c r="AF789" s="11" t="str">
        <f>IF(OR(AC789&lt;&gt;"Abierto",Z789=""),"",TODAY()-Z789)</f>
        <v/>
      </c>
      <c r="AG789" s="11" t="str">
        <f>IF(AC789&lt;&gt;"Abierto","",IF(AB789="","Sin siguiente acción",IF(AB789&lt;TODAY(),"Vencido",IF(AB789=TODAY(),"Hoy","En tiempo"))))</f>
        <v/>
      </c>
      <c r="AH789" s="11" t="str">
        <f>IF(OR(B789="",V789=""),"",V789-B789)</f>
        <v/>
      </c>
      <c r="AI789" s="16" t="str">
        <f>IF(P789="","",P789-WEEKDAY(P789,3))</f>
        <v/>
      </c>
      <c r="AJ789" s="23" t="str">
        <f>IF(P789="","",DATE(YEAR(P789),MONTH(P789),1))</f>
        <v/>
      </c>
    </row>
    <row r="790">
      <c r="A790" s="21"/>
      <c r="B790" s="14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14"/>
      <c r="Q790" s="21"/>
      <c r="R790" s="21"/>
      <c r="S790" s="21"/>
      <c r="T790" s="21"/>
      <c r="U790" s="21"/>
      <c r="V790" s="14"/>
      <c r="W790" s="22"/>
      <c r="X790" s="14"/>
      <c r="Y790" s="11" t="str">
        <f>IF(V790="","",IF(X790&lt;&gt;"",IF(X790-V790&lt;30,"No","Sí"),IF(TODAY()-V790&gt;=30,"Sí","En curso")))</f>
        <v/>
      </c>
      <c r="Z790" s="14"/>
      <c r="AA790" s="21"/>
      <c r="AB790" s="14"/>
      <c r="AC790" s="21"/>
      <c r="AD790" s="21"/>
      <c r="AE790" s="7"/>
      <c r="AF790" s="11" t="str">
        <f>IF(OR(AC790&lt;&gt;"Abierto",Z790=""),"",TODAY()-Z790)</f>
        <v/>
      </c>
      <c r="AG790" s="11" t="str">
        <f>IF(AC790&lt;&gt;"Abierto","",IF(AB790="","Sin siguiente acción",IF(AB790&lt;TODAY(),"Vencido",IF(AB790=TODAY(),"Hoy","En tiempo"))))</f>
        <v/>
      </c>
      <c r="AH790" s="11" t="str">
        <f>IF(OR(B790="",V790=""),"",V790-B790)</f>
        <v/>
      </c>
      <c r="AI790" s="16" t="str">
        <f>IF(P790="","",P790-WEEKDAY(P790,3))</f>
        <v/>
      </c>
      <c r="AJ790" s="23" t="str">
        <f>IF(P790="","",DATE(YEAR(P790),MONTH(P790),1))</f>
        <v/>
      </c>
    </row>
    <row r="791">
      <c r="A791" s="21"/>
      <c r="B791" s="14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14"/>
      <c r="Q791" s="21"/>
      <c r="R791" s="21"/>
      <c r="S791" s="21"/>
      <c r="T791" s="21"/>
      <c r="U791" s="21"/>
      <c r="V791" s="14"/>
      <c r="W791" s="22"/>
      <c r="X791" s="14"/>
      <c r="Y791" s="11" t="str">
        <f>IF(V791="","",IF(X791&lt;&gt;"",IF(X791-V791&lt;30,"No","Sí"),IF(TODAY()-V791&gt;=30,"Sí","En curso")))</f>
        <v/>
      </c>
      <c r="Z791" s="14"/>
      <c r="AA791" s="21"/>
      <c r="AB791" s="14"/>
      <c r="AC791" s="21"/>
      <c r="AD791" s="21"/>
      <c r="AE791" s="7"/>
      <c r="AF791" s="11" t="str">
        <f>IF(OR(AC791&lt;&gt;"Abierto",Z791=""),"",TODAY()-Z791)</f>
        <v/>
      </c>
      <c r="AG791" s="11" t="str">
        <f>IF(AC791&lt;&gt;"Abierto","",IF(AB791="","Sin siguiente acción",IF(AB791&lt;TODAY(),"Vencido",IF(AB791=TODAY(),"Hoy","En tiempo"))))</f>
        <v/>
      </c>
      <c r="AH791" s="11" t="str">
        <f>IF(OR(B791="",V791=""),"",V791-B791)</f>
        <v/>
      </c>
      <c r="AI791" s="16" t="str">
        <f>IF(P791="","",P791-WEEKDAY(P791,3))</f>
        <v/>
      </c>
      <c r="AJ791" s="23" t="str">
        <f>IF(P791="","",DATE(YEAR(P791),MONTH(P791),1))</f>
        <v/>
      </c>
    </row>
    <row r="792">
      <c r="A792" s="21"/>
      <c r="B792" s="14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14"/>
      <c r="Q792" s="21"/>
      <c r="R792" s="21"/>
      <c r="S792" s="21"/>
      <c r="T792" s="21"/>
      <c r="U792" s="21"/>
      <c r="V792" s="14"/>
      <c r="W792" s="22"/>
      <c r="X792" s="14"/>
      <c r="Y792" s="11" t="str">
        <f>IF(V792="","",IF(X792&lt;&gt;"",IF(X792-V792&lt;30,"No","Sí"),IF(TODAY()-V792&gt;=30,"Sí","En curso")))</f>
        <v/>
      </c>
      <c r="Z792" s="14"/>
      <c r="AA792" s="21"/>
      <c r="AB792" s="14"/>
      <c r="AC792" s="21"/>
      <c r="AD792" s="21"/>
      <c r="AE792" s="7"/>
      <c r="AF792" s="11" t="str">
        <f>IF(OR(AC792&lt;&gt;"Abierto",Z792=""),"",TODAY()-Z792)</f>
        <v/>
      </c>
      <c r="AG792" s="11" t="str">
        <f>IF(AC792&lt;&gt;"Abierto","",IF(AB792="","Sin siguiente acción",IF(AB792&lt;TODAY(),"Vencido",IF(AB792=TODAY(),"Hoy","En tiempo"))))</f>
        <v/>
      </c>
      <c r="AH792" s="11" t="str">
        <f>IF(OR(B792="",V792=""),"",V792-B792)</f>
        <v/>
      </c>
      <c r="AI792" s="16" t="str">
        <f>IF(P792="","",P792-WEEKDAY(P792,3))</f>
        <v/>
      </c>
      <c r="AJ792" s="23" t="str">
        <f>IF(P792="","",DATE(YEAR(P792),MONTH(P792),1))</f>
        <v/>
      </c>
    </row>
    <row r="793">
      <c r="A793" s="21"/>
      <c r="B793" s="14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14"/>
      <c r="Q793" s="21"/>
      <c r="R793" s="21"/>
      <c r="S793" s="21"/>
      <c r="T793" s="21"/>
      <c r="U793" s="21"/>
      <c r="V793" s="14"/>
      <c r="W793" s="22"/>
      <c r="X793" s="14"/>
      <c r="Y793" s="11" t="str">
        <f>IF(V793="","",IF(X793&lt;&gt;"",IF(X793-V793&lt;30,"No","Sí"),IF(TODAY()-V793&gt;=30,"Sí","En curso")))</f>
        <v/>
      </c>
      <c r="Z793" s="14"/>
      <c r="AA793" s="21"/>
      <c r="AB793" s="14"/>
      <c r="AC793" s="21"/>
      <c r="AD793" s="21"/>
      <c r="AE793" s="7"/>
      <c r="AF793" s="11" t="str">
        <f>IF(OR(AC793&lt;&gt;"Abierto",Z793=""),"",TODAY()-Z793)</f>
        <v/>
      </c>
      <c r="AG793" s="11" t="str">
        <f>IF(AC793&lt;&gt;"Abierto","",IF(AB793="","Sin siguiente acción",IF(AB793&lt;TODAY(),"Vencido",IF(AB793=TODAY(),"Hoy","En tiempo"))))</f>
        <v/>
      </c>
      <c r="AH793" s="11" t="str">
        <f>IF(OR(B793="",V793=""),"",V793-B793)</f>
        <v/>
      </c>
      <c r="AI793" s="16" t="str">
        <f>IF(P793="","",P793-WEEKDAY(P793,3))</f>
        <v/>
      </c>
      <c r="AJ793" s="23" t="str">
        <f>IF(P793="","",DATE(YEAR(P793),MONTH(P793),1))</f>
        <v/>
      </c>
    </row>
    <row r="794">
      <c r="A794" s="21"/>
      <c r="B794" s="14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14"/>
      <c r="Q794" s="21"/>
      <c r="R794" s="21"/>
      <c r="S794" s="21"/>
      <c r="T794" s="21"/>
      <c r="U794" s="21"/>
      <c r="V794" s="14"/>
      <c r="W794" s="22"/>
      <c r="X794" s="14"/>
      <c r="Y794" s="11" t="str">
        <f>IF(V794="","",IF(X794&lt;&gt;"",IF(X794-V794&lt;30,"No","Sí"),IF(TODAY()-V794&gt;=30,"Sí","En curso")))</f>
        <v/>
      </c>
      <c r="Z794" s="14"/>
      <c r="AA794" s="21"/>
      <c r="AB794" s="14"/>
      <c r="AC794" s="21"/>
      <c r="AD794" s="21"/>
      <c r="AE794" s="7"/>
      <c r="AF794" s="11" t="str">
        <f>IF(OR(AC794&lt;&gt;"Abierto",Z794=""),"",TODAY()-Z794)</f>
        <v/>
      </c>
      <c r="AG794" s="11" t="str">
        <f>IF(AC794&lt;&gt;"Abierto","",IF(AB794="","Sin siguiente acción",IF(AB794&lt;TODAY(),"Vencido",IF(AB794=TODAY(),"Hoy","En tiempo"))))</f>
        <v/>
      </c>
      <c r="AH794" s="11" t="str">
        <f>IF(OR(B794="",V794=""),"",V794-B794)</f>
        <v/>
      </c>
      <c r="AI794" s="16" t="str">
        <f>IF(P794="","",P794-WEEKDAY(P794,3))</f>
        <v/>
      </c>
      <c r="AJ794" s="23" t="str">
        <f>IF(P794="","",DATE(YEAR(P794),MONTH(P794),1))</f>
        <v/>
      </c>
    </row>
    <row r="795">
      <c r="A795" s="21"/>
      <c r="B795" s="14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14"/>
      <c r="Q795" s="21"/>
      <c r="R795" s="21"/>
      <c r="S795" s="21"/>
      <c r="T795" s="21"/>
      <c r="U795" s="21"/>
      <c r="V795" s="14"/>
      <c r="W795" s="22"/>
      <c r="X795" s="14"/>
      <c r="Y795" s="11" t="str">
        <f>IF(V795="","",IF(X795&lt;&gt;"",IF(X795-V795&lt;30,"No","Sí"),IF(TODAY()-V795&gt;=30,"Sí","En curso")))</f>
        <v/>
      </c>
      <c r="Z795" s="14"/>
      <c r="AA795" s="21"/>
      <c r="AB795" s="14"/>
      <c r="AC795" s="21"/>
      <c r="AD795" s="21"/>
      <c r="AE795" s="7"/>
      <c r="AF795" s="11" t="str">
        <f>IF(OR(AC795&lt;&gt;"Abierto",Z795=""),"",TODAY()-Z795)</f>
        <v/>
      </c>
      <c r="AG795" s="11" t="str">
        <f>IF(AC795&lt;&gt;"Abierto","",IF(AB795="","Sin siguiente acción",IF(AB795&lt;TODAY(),"Vencido",IF(AB795=TODAY(),"Hoy","En tiempo"))))</f>
        <v/>
      </c>
      <c r="AH795" s="11" t="str">
        <f>IF(OR(B795="",V795=""),"",V795-B795)</f>
        <v/>
      </c>
      <c r="AI795" s="16" t="str">
        <f>IF(P795="","",P795-WEEKDAY(P795,3))</f>
        <v/>
      </c>
      <c r="AJ795" s="23" t="str">
        <f>IF(P795="","",DATE(YEAR(P795),MONTH(P795),1))</f>
        <v/>
      </c>
    </row>
    <row r="796">
      <c r="A796" s="21"/>
      <c r="B796" s="14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14"/>
      <c r="Q796" s="21"/>
      <c r="R796" s="21"/>
      <c r="S796" s="21"/>
      <c r="T796" s="21"/>
      <c r="U796" s="21"/>
      <c r="V796" s="14"/>
      <c r="W796" s="22"/>
      <c r="X796" s="14"/>
      <c r="Y796" s="11" t="str">
        <f>IF(V796="","",IF(X796&lt;&gt;"",IF(X796-V796&lt;30,"No","Sí"),IF(TODAY()-V796&gt;=30,"Sí","En curso")))</f>
        <v/>
      </c>
      <c r="Z796" s="14"/>
      <c r="AA796" s="21"/>
      <c r="AB796" s="14"/>
      <c r="AC796" s="21"/>
      <c r="AD796" s="21"/>
      <c r="AE796" s="7"/>
      <c r="AF796" s="11" t="str">
        <f>IF(OR(AC796&lt;&gt;"Abierto",Z796=""),"",TODAY()-Z796)</f>
        <v/>
      </c>
      <c r="AG796" s="11" t="str">
        <f>IF(AC796&lt;&gt;"Abierto","",IF(AB796="","Sin siguiente acción",IF(AB796&lt;TODAY(),"Vencido",IF(AB796=TODAY(),"Hoy","En tiempo"))))</f>
        <v/>
      </c>
      <c r="AH796" s="11" t="str">
        <f>IF(OR(B796="",V796=""),"",V796-B796)</f>
        <v/>
      </c>
      <c r="AI796" s="16" t="str">
        <f>IF(P796="","",P796-WEEKDAY(P796,3))</f>
        <v/>
      </c>
      <c r="AJ796" s="23" t="str">
        <f>IF(P796="","",DATE(YEAR(P796),MONTH(P796),1))</f>
        <v/>
      </c>
    </row>
    <row r="797">
      <c r="A797" s="21"/>
      <c r="B797" s="14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14"/>
      <c r="Q797" s="21"/>
      <c r="R797" s="21"/>
      <c r="S797" s="21"/>
      <c r="T797" s="21"/>
      <c r="U797" s="21"/>
      <c r="V797" s="14"/>
      <c r="W797" s="22"/>
      <c r="X797" s="14"/>
      <c r="Y797" s="11" t="str">
        <f>IF(V797="","",IF(X797&lt;&gt;"",IF(X797-V797&lt;30,"No","Sí"),IF(TODAY()-V797&gt;=30,"Sí","En curso")))</f>
        <v/>
      </c>
      <c r="Z797" s="14"/>
      <c r="AA797" s="21"/>
      <c r="AB797" s="14"/>
      <c r="AC797" s="21"/>
      <c r="AD797" s="21"/>
      <c r="AE797" s="7"/>
      <c r="AF797" s="11" t="str">
        <f>IF(OR(AC797&lt;&gt;"Abierto",Z797=""),"",TODAY()-Z797)</f>
        <v/>
      </c>
      <c r="AG797" s="11" t="str">
        <f>IF(AC797&lt;&gt;"Abierto","",IF(AB797="","Sin siguiente acción",IF(AB797&lt;TODAY(),"Vencido",IF(AB797=TODAY(),"Hoy","En tiempo"))))</f>
        <v/>
      </c>
      <c r="AH797" s="11" t="str">
        <f>IF(OR(B797="",V797=""),"",V797-B797)</f>
        <v/>
      </c>
      <c r="AI797" s="16" t="str">
        <f>IF(P797="","",P797-WEEKDAY(P797,3))</f>
        <v/>
      </c>
      <c r="AJ797" s="23" t="str">
        <f>IF(P797="","",DATE(YEAR(P797),MONTH(P797),1))</f>
        <v/>
      </c>
    </row>
    <row r="798">
      <c r="A798" s="21"/>
      <c r="B798" s="14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14"/>
      <c r="Q798" s="21"/>
      <c r="R798" s="21"/>
      <c r="S798" s="21"/>
      <c r="T798" s="21"/>
      <c r="U798" s="21"/>
      <c r="V798" s="14"/>
      <c r="W798" s="22"/>
      <c r="X798" s="14"/>
      <c r="Y798" s="11" t="str">
        <f>IF(V798="","",IF(X798&lt;&gt;"",IF(X798-V798&lt;30,"No","Sí"),IF(TODAY()-V798&gt;=30,"Sí","En curso")))</f>
        <v/>
      </c>
      <c r="Z798" s="14"/>
      <c r="AA798" s="21"/>
      <c r="AB798" s="14"/>
      <c r="AC798" s="21"/>
      <c r="AD798" s="21"/>
      <c r="AE798" s="7"/>
      <c r="AF798" s="11" t="str">
        <f>IF(OR(AC798&lt;&gt;"Abierto",Z798=""),"",TODAY()-Z798)</f>
        <v/>
      </c>
      <c r="AG798" s="11" t="str">
        <f>IF(AC798&lt;&gt;"Abierto","",IF(AB798="","Sin siguiente acción",IF(AB798&lt;TODAY(),"Vencido",IF(AB798=TODAY(),"Hoy","En tiempo"))))</f>
        <v/>
      </c>
      <c r="AH798" s="11" t="str">
        <f>IF(OR(B798="",V798=""),"",V798-B798)</f>
        <v/>
      </c>
      <c r="AI798" s="16" t="str">
        <f>IF(P798="","",P798-WEEKDAY(P798,3))</f>
        <v/>
      </c>
      <c r="AJ798" s="23" t="str">
        <f>IF(P798="","",DATE(YEAR(P798),MONTH(P798),1))</f>
        <v/>
      </c>
    </row>
    <row r="799">
      <c r="A799" s="21"/>
      <c r="B799" s="14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14"/>
      <c r="Q799" s="21"/>
      <c r="R799" s="21"/>
      <c r="S799" s="21"/>
      <c r="T799" s="21"/>
      <c r="U799" s="21"/>
      <c r="V799" s="14"/>
      <c r="W799" s="22"/>
      <c r="X799" s="14"/>
      <c r="Y799" s="11" t="str">
        <f>IF(V799="","",IF(X799&lt;&gt;"",IF(X799-V799&lt;30,"No","Sí"),IF(TODAY()-V799&gt;=30,"Sí","En curso")))</f>
        <v/>
      </c>
      <c r="Z799" s="14"/>
      <c r="AA799" s="21"/>
      <c r="AB799" s="14"/>
      <c r="AC799" s="21"/>
      <c r="AD799" s="21"/>
      <c r="AE799" s="7"/>
      <c r="AF799" s="11" t="str">
        <f>IF(OR(AC799&lt;&gt;"Abierto",Z799=""),"",TODAY()-Z799)</f>
        <v/>
      </c>
      <c r="AG799" s="11" t="str">
        <f>IF(AC799&lt;&gt;"Abierto","",IF(AB799="","Sin siguiente acción",IF(AB799&lt;TODAY(),"Vencido",IF(AB799=TODAY(),"Hoy","En tiempo"))))</f>
        <v/>
      </c>
      <c r="AH799" s="11" t="str">
        <f>IF(OR(B799="",V799=""),"",V799-B799)</f>
        <v/>
      </c>
      <c r="AI799" s="16" t="str">
        <f>IF(P799="","",P799-WEEKDAY(P799,3))</f>
        <v/>
      </c>
      <c r="AJ799" s="23" t="str">
        <f>IF(P799="","",DATE(YEAR(P799),MONTH(P799),1))</f>
        <v/>
      </c>
    </row>
    <row r="800">
      <c r="A800" s="21"/>
      <c r="B800" s="14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14"/>
      <c r="Q800" s="21"/>
      <c r="R800" s="21"/>
      <c r="S800" s="21"/>
      <c r="T800" s="21"/>
      <c r="U800" s="21"/>
      <c r="V800" s="14"/>
      <c r="W800" s="22"/>
      <c r="X800" s="14"/>
      <c r="Y800" s="11" t="str">
        <f>IF(V800="","",IF(X800&lt;&gt;"",IF(X800-V800&lt;30,"No","Sí"),IF(TODAY()-V800&gt;=30,"Sí","En curso")))</f>
        <v/>
      </c>
      <c r="Z800" s="14"/>
      <c r="AA800" s="21"/>
      <c r="AB800" s="14"/>
      <c r="AC800" s="21"/>
      <c r="AD800" s="21"/>
      <c r="AE800" s="7"/>
      <c r="AF800" s="11" t="str">
        <f>IF(OR(AC800&lt;&gt;"Abierto",Z800=""),"",TODAY()-Z800)</f>
        <v/>
      </c>
      <c r="AG800" s="11" t="str">
        <f>IF(AC800&lt;&gt;"Abierto","",IF(AB800="","Sin siguiente acción",IF(AB800&lt;TODAY(),"Vencido",IF(AB800=TODAY(),"Hoy","En tiempo"))))</f>
        <v/>
      </c>
      <c r="AH800" s="11" t="str">
        <f>IF(OR(B800="",V800=""),"",V800-B800)</f>
        <v/>
      </c>
      <c r="AI800" s="16" t="str">
        <f>IF(P800="","",P800-WEEKDAY(P800,3))</f>
        <v/>
      </c>
      <c r="AJ800" s="23" t="str">
        <f>IF(P800="","",DATE(YEAR(P800),MONTH(P800),1))</f>
        <v/>
      </c>
    </row>
    <row r="801">
      <c r="A801" s="21"/>
      <c r="B801" s="14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14"/>
      <c r="Q801" s="21"/>
      <c r="R801" s="21"/>
      <c r="S801" s="21"/>
      <c r="T801" s="21"/>
      <c r="U801" s="21"/>
      <c r="V801" s="14"/>
      <c r="W801" s="22"/>
      <c r="X801" s="14"/>
      <c r="Y801" s="11" t="str">
        <f>IF(V801="","",IF(X801&lt;&gt;"",IF(X801-V801&lt;30,"No","Sí"),IF(TODAY()-V801&gt;=30,"Sí","En curso")))</f>
        <v/>
      </c>
      <c r="Z801" s="14"/>
      <c r="AA801" s="21"/>
      <c r="AB801" s="14"/>
      <c r="AC801" s="21"/>
      <c r="AD801" s="21"/>
      <c r="AE801" s="7"/>
      <c r="AF801" s="11" t="str">
        <f>IF(OR(AC801&lt;&gt;"Abierto",Z801=""),"",TODAY()-Z801)</f>
        <v/>
      </c>
      <c r="AG801" s="11" t="str">
        <f>IF(AC801&lt;&gt;"Abierto","",IF(AB801="","Sin siguiente acción",IF(AB801&lt;TODAY(),"Vencido",IF(AB801=TODAY(),"Hoy","En tiempo"))))</f>
        <v/>
      </c>
      <c r="AH801" s="11" t="str">
        <f>IF(OR(B801="",V801=""),"",V801-B801)</f>
        <v/>
      </c>
      <c r="AI801" s="16" t="str">
        <f>IF(P801="","",P801-WEEKDAY(P801,3))</f>
        <v/>
      </c>
      <c r="AJ801" s="23" t="str">
        <f>IF(P801="","",DATE(YEAR(P801),MONTH(P801),1))</f>
        <v/>
      </c>
    </row>
    <row r="802">
      <c r="A802" s="21"/>
      <c r="B802" s="14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14"/>
      <c r="Q802" s="21"/>
      <c r="R802" s="21"/>
      <c r="S802" s="21"/>
      <c r="T802" s="21"/>
      <c r="U802" s="21"/>
      <c r="V802" s="14"/>
      <c r="W802" s="22"/>
      <c r="X802" s="14"/>
      <c r="Y802" s="11" t="str">
        <f>IF(V802="","",IF(X802&lt;&gt;"",IF(X802-V802&lt;30,"No","Sí"),IF(TODAY()-V802&gt;=30,"Sí","En curso")))</f>
        <v/>
      </c>
      <c r="Z802" s="14"/>
      <c r="AA802" s="21"/>
      <c r="AB802" s="14"/>
      <c r="AC802" s="21"/>
      <c r="AD802" s="21"/>
      <c r="AE802" s="7"/>
      <c r="AF802" s="11" t="str">
        <f>IF(OR(AC802&lt;&gt;"Abierto",Z802=""),"",TODAY()-Z802)</f>
        <v/>
      </c>
      <c r="AG802" s="11" t="str">
        <f>IF(AC802&lt;&gt;"Abierto","",IF(AB802="","Sin siguiente acción",IF(AB802&lt;TODAY(),"Vencido",IF(AB802=TODAY(),"Hoy","En tiempo"))))</f>
        <v/>
      </c>
      <c r="AH802" s="11" t="str">
        <f>IF(OR(B802="",V802=""),"",V802-B802)</f>
        <v/>
      </c>
      <c r="AI802" s="16" t="str">
        <f>IF(P802="","",P802-WEEKDAY(P802,3))</f>
        <v/>
      </c>
      <c r="AJ802" s="23" t="str">
        <f>IF(P802="","",DATE(YEAR(P802),MONTH(P802),1))</f>
        <v/>
      </c>
    </row>
    <row r="803">
      <c r="A803" s="21"/>
      <c r="B803" s="14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14"/>
      <c r="Q803" s="21"/>
      <c r="R803" s="21"/>
      <c r="S803" s="21"/>
      <c r="T803" s="21"/>
      <c r="U803" s="21"/>
      <c r="V803" s="14"/>
      <c r="W803" s="22"/>
      <c r="X803" s="14"/>
      <c r="Y803" s="11" t="str">
        <f>IF(V803="","",IF(X803&lt;&gt;"",IF(X803-V803&lt;30,"No","Sí"),IF(TODAY()-V803&gt;=30,"Sí","En curso")))</f>
        <v/>
      </c>
      <c r="Z803" s="14"/>
      <c r="AA803" s="21"/>
      <c r="AB803" s="14"/>
      <c r="AC803" s="21"/>
      <c r="AD803" s="21"/>
      <c r="AE803" s="7"/>
      <c r="AF803" s="11" t="str">
        <f>IF(OR(AC803&lt;&gt;"Abierto",Z803=""),"",TODAY()-Z803)</f>
        <v/>
      </c>
      <c r="AG803" s="11" t="str">
        <f>IF(AC803&lt;&gt;"Abierto","",IF(AB803="","Sin siguiente acción",IF(AB803&lt;TODAY(),"Vencido",IF(AB803=TODAY(),"Hoy","En tiempo"))))</f>
        <v/>
      </c>
      <c r="AH803" s="11" t="str">
        <f>IF(OR(B803="",V803=""),"",V803-B803)</f>
        <v/>
      </c>
      <c r="AI803" s="16" t="str">
        <f>IF(P803="","",P803-WEEKDAY(P803,3))</f>
        <v/>
      </c>
      <c r="AJ803" s="23" t="str">
        <f>IF(P803="","",DATE(YEAR(P803),MONTH(P803),1))</f>
        <v/>
      </c>
    </row>
    <row r="804">
      <c r="A804" s="21"/>
      <c r="B804" s="14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14"/>
      <c r="Q804" s="21"/>
      <c r="R804" s="21"/>
      <c r="S804" s="21"/>
      <c r="T804" s="21"/>
      <c r="U804" s="21"/>
      <c r="V804" s="14"/>
      <c r="W804" s="22"/>
      <c r="X804" s="14"/>
      <c r="Y804" s="11" t="str">
        <f>IF(V804="","",IF(X804&lt;&gt;"",IF(X804-V804&lt;30,"No","Sí"),IF(TODAY()-V804&gt;=30,"Sí","En curso")))</f>
        <v/>
      </c>
      <c r="Z804" s="14"/>
      <c r="AA804" s="21"/>
      <c r="AB804" s="14"/>
      <c r="AC804" s="21"/>
      <c r="AD804" s="21"/>
      <c r="AE804" s="7"/>
      <c r="AF804" s="11" t="str">
        <f>IF(OR(AC804&lt;&gt;"Abierto",Z804=""),"",TODAY()-Z804)</f>
        <v/>
      </c>
      <c r="AG804" s="11" t="str">
        <f>IF(AC804&lt;&gt;"Abierto","",IF(AB804="","Sin siguiente acción",IF(AB804&lt;TODAY(),"Vencido",IF(AB804=TODAY(),"Hoy","En tiempo"))))</f>
        <v/>
      </c>
      <c r="AH804" s="11" t="str">
        <f>IF(OR(B804="",V804=""),"",V804-B804)</f>
        <v/>
      </c>
      <c r="AI804" s="16" t="str">
        <f>IF(P804="","",P804-WEEKDAY(P804,3))</f>
        <v/>
      </c>
      <c r="AJ804" s="23" t="str">
        <f>IF(P804="","",DATE(YEAR(P804),MONTH(P804),1))</f>
        <v/>
      </c>
    </row>
    <row r="805">
      <c r="A805" s="21"/>
      <c r="B805" s="14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14"/>
      <c r="Q805" s="21"/>
      <c r="R805" s="21"/>
      <c r="S805" s="21"/>
      <c r="T805" s="21"/>
      <c r="U805" s="21"/>
      <c r="V805" s="14"/>
      <c r="W805" s="22"/>
      <c r="X805" s="14"/>
      <c r="Y805" s="11" t="str">
        <f>IF(V805="","",IF(X805&lt;&gt;"",IF(X805-V805&lt;30,"No","Sí"),IF(TODAY()-V805&gt;=30,"Sí","En curso")))</f>
        <v/>
      </c>
      <c r="Z805" s="14"/>
      <c r="AA805" s="21"/>
      <c r="AB805" s="14"/>
      <c r="AC805" s="21"/>
      <c r="AD805" s="21"/>
      <c r="AE805" s="7"/>
      <c r="AF805" s="11" t="str">
        <f>IF(OR(AC805&lt;&gt;"Abierto",Z805=""),"",TODAY()-Z805)</f>
        <v/>
      </c>
      <c r="AG805" s="11" t="str">
        <f>IF(AC805&lt;&gt;"Abierto","",IF(AB805="","Sin siguiente acción",IF(AB805&lt;TODAY(),"Vencido",IF(AB805=TODAY(),"Hoy","En tiempo"))))</f>
        <v/>
      </c>
      <c r="AH805" s="11" t="str">
        <f>IF(OR(B805="",V805=""),"",V805-B805)</f>
        <v/>
      </c>
      <c r="AI805" s="16" t="str">
        <f>IF(P805="","",P805-WEEKDAY(P805,3))</f>
        <v/>
      </c>
      <c r="AJ805" s="23" t="str">
        <f>IF(P805="","",DATE(YEAR(P805),MONTH(P805),1))</f>
        <v/>
      </c>
    </row>
    <row r="806">
      <c r="A806" s="21"/>
      <c r="B806" s="14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14"/>
      <c r="Q806" s="21"/>
      <c r="R806" s="21"/>
      <c r="S806" s="21"/>
      <c r="T806" s="21"/>
      <c r="U806" s="21"/>
      <c r="V806" s="14"/>
      <c r="W806" s="22"/>
      <c r="X806" s="14"/>
      <c r="Y806" s="11" t="str">
        <f>IF(V806="","",IF(X806&lt;&gt;"",IF(X806-V806&lt;30,"No","Sí"),IF(TODAY()-V806&gt;=30,"Sí","En curso")))</f>
        <v/>
      </c>
      <c r="Z806" s="14"/>
      <c r="AA806" s="21"/>
      <c r="AB806" s="14"/>
      <c r="AC806" s="21"/>
      <c r="AD806" s="21"/>
      <c r="AE806" s="7"/>
      <c r="AF806" s="11" t="str">
        <f>IF(OR(AC806&lt;&gt;"Abierto",Z806=""),"",TODAY()-Z806)</f>
        <v/>
      </c>
      <c r="AG806" s="11" t="str">
        <f>IF(AC806&lt;&gt;"Abierto","",IF(AB806="","Sin siguiente acción",IF(AB806&lt;TODAY(),"Vencido",IF(AB806=TODAY(),"Hoy","En tiempo"))))</f>
        <v/>
      </c>
      <c r="AH806" s="11" t="str">
        <f>IF(OR(B806="",V806=""),"",V806-B806)</f>
        <v/>
      </c>
      <c r="AI806" s="16" t="str">
        <f>IF(P806="","",P806-WEEKDAY(P806,3))</f>
        <v/>
      </c>
      <c r="AJ806" s="23" t="str">
        <f>IF(P806="","",DATE(YEAR(P806),MONTH(P806),1))</f>
        <v/>
      </c>
    </row>
    <row r="807">
      <c r="A807" s="21"/>
      <c r="B807" s="14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14"/>
      <c r="Q807" s="21"/>
      <c r="R807" s="21"/>
      <c r="S807" s="21"/>
      <c r="T807" s="21"/>
      <c r="U807" s="21"/>
      <c r="V807" s="14"/>
      <c r="W807" s="22"/>
      <c r="X807" s="14"/>
      <c r="Y807" s="11" t="str">
        <f>IF(V807="","",IF(X807&lt;&gt;"",IF(X807-V807&lt;30,"No","Sí"),IF(TODAY()-V807&gt;=30,"Sí","En curso")))</f>
        <v/>
      </c>
      <c r="Z807" s="14"/>
      <c r="AA807" s="21"/>
      <c r="AB807" s="14"/>
      <c r="AC807" s="21"/>
      <c r="AD807" s="21"/>
      <c r="AE807" s="7"/>
      <c r="AF807" s="11" t="str">
        <f>IF(OR(AC807&lt;&gt;"Abierto",Z807=""),"",TODAY()-Z807)</f>
        <v/>
      </c>
      <c r="AG807" s="11" t="str">
        <f>IF(AC807&lt;&gt;"Abierto","",IF(AB807="","Sin siguiente acción",IF(AB807&lt;TODAY(),"Vencido",IF(AB807=TODAY(),"Hoy","En tiempo"))))</f>
        <v/>
      </c>
      <c r="AH807" s="11" t="str">
        <f>IF(OR(B807="",V807=""),"",V807-B807)</f>
        <v/>
      </c>
      <c r="AI807" s="16" t="str">
        <f>IF(P807="","",P807-WEEKDAY(P807,3))</f>
        <v/>
      </c>
      <c r="AJ807" s="23" t="str">
        <f>IF(P807="","",DATE(YEAR(P807),MONTH(P807),1))</f>
        <v/>
      </c>
    </row>
    <row r="808">
      <c r="A808" s="21"/>
      <c r="B808" s="14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14"/>
      <c r="Q808" s="21"/>
      <c r="R808" s="21"/>
      <c r="S808" s="21"/>
      <c r="T808" s="21"/>
      <c r="U808" s="21"/>
      <c r="V808" s="14"/>
      <c r="W808" s="22"/>
      <c r="X808" s="14"/>
      <c r="Y808" s="11" t="str">
        <f>IF(V808="","",IF(X808&lt;&gt;"",IF(X808-V808&lt;30,"No","Sí"),IF(TODAY()-V808&gt;=30,"Sí","En curso")))</f>
        <v/>
      </c>
      <c r="Z808" s="14"/>
      <c r="AA808" s="21"/>
      <c r="AB808" s="14"/>
      <c r="AC808" s="21"/>
      <c r="AD808" s="21"/>
      <c r="AE808" s="7"/>
      <c r="AF808" s="11" t="str">
        <f>IF(OR(AC808&lt;&gt;"Abierto",Z808=""),"",TODAY()-Z808)</f>
        <v/>
      </c>
      <c r="AG808" s="11" t="str">
        <f>IF(AC808&lt;&gt;"Abierto","",IF(AB808="","Sin siguiente acción",IF(AB808&lt;TODAY(),"Vencido",IF(AB808=TODAY(),"Hoy","En tiempo"))))</f>
        <v/>
      </c>
      <c r="AH808" s="11" t="str">
        <f>IF(OR(B808="",V808=""),"",V808-B808)</f>
        <v/>
      </c>
      <c r="AI808" s="16" t="str">
        <f>IF(P808="","",P808-WEEKDAY(P808,3))</f>
        <v/>
      </c>
      <c r="AJ808" s="23" t="str">
        <f>IF(P808="","",DATE(YEAR(P808),MONTH(P808),1))</f>
        <v/>
      </c>
    </row>
    <row r="809">
      <c r="A809" s="21"/>
      <c r="B809" s="14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14"/>
      <c r="Q809" s="21"/>
      <c r="R809" s="21"/>
      <c r="S809" s="21"/>
      <c r="T809" s="21"/>
      <c r="U809" s="21"/>
      <c r="V809" s="14"/>
      <c r="W809" s="22"/>
      <c r="X809" s="14"/>
      <c r="Y809" s="11" t="str">
        <f>IF(V809="","",IF(X809&lt;&gt;"",IF(X809-V809&lt;30,"No","Sí"),IF(TODAY()-V809&gt;=30,"Sí","En curso")))</f>
        <v/>
      </c>
      <c r="Z809" s="14"/>
      <c r="AA809" s="21"/>
      <c r="AB809" s="14"/>
      <c r="AC809" s="21"/>
      <c r="AD809" s="21"/>
      <c r="AE809" s="7"/>
      <c r="AF809" s="11" t="str">
        <f>IF(OR(AC809&lt;&gt;"Abierto",Z809=""),"",TODAY()-Z809)</f>
        <v/>
      </c>
      <c r="AG809" s="11" t="str">
        <f>IF(AC809&lt;&gt;"Abierto","",IF(AB809="","Sin siguiente acción",IF(AB809&lt;TODAY(),"Vencido",IF(AB809=TODAY(),"Hoy","En tiempo"))))</f>
        <v/>
      </c>
      <c r="AH809" s="11" t="str">
        <f>IF(OR(B809="",V809=""),"",V809-B809)</f>
        <v/>
      </c>
      <c r="AI809" s="16" t="str">
        <f>IF(P809="","",P809-WEEKDAY(P809,3))</f>
        <v/>
      </c>
      <c r="AJ809" s="23" t="str">
        <f>IF(P809="","",DATE(YEAR(P809),MONTH(P809),1))</f>
        <v/>
      </c>
    </row>
    <row r="810">
      <c r="A810" s="21"/>
      <c r="B810" s="14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14"/>
      <c r="Q810" s="21"/>
      <c r="R810" s="21"/>
      <c r="S810" s="21"/>
      <c r="T810" s="21"/>
      <c r="U810" s="21"/>
      <c r="V810" s="14"/>
      <c r="W810" s="22"/>
      <c r="X810" s="14"/>
      <c r="Y810" s="11" t="str">
        <f>IF(V810="","",IF(X810&lt;&gt;"",IF(X810-V810&lt;30,"No","Sí"),IF(TODAY()-V810&gt;=30,"Sí","En curso")))</f>
        <v/>
      </c>
      <c r="Z810" s="14"/>
      <c r="AA810" s="21"/>
      <c r="AB810" s="14"/>
      <c r="AC810" s="21"/>
      <c r="AD810" s="21"/>
      <c r="AE810" s="7"/>
      <c r="AF810" s="11" t="str">
        <f>IF(OR(AC810&lt;&gt;"Abierto",Z810=""),"",TODAY()-Z810)</f>
        <v/>
      </c>
      <c r="AG810" s="11" t="str">
        <f>IF(AC810&lt;&gt;"Abierto","",IF(AB810="","Sin siguiente acción",IF(AB810&lt;TODAY(),"Vencido",IF(AB810=TODAY(),"Hoy","En tiempo"))))</f>
        <v/>
      </c>
      <c r="AH810" s="11" t="str">
        <f>IF(OR(B810="",V810=""),"",V810-B810)</f>
        <v/>
      </c>
      <c r="AI810" s="16" t="str">
        <f>IF(P810="","",P810-WEEKDAY(P810,3))</f>
        <v/>
      </c>
      <c r="AJ810" s="23" t="str">
        <f>IF(P810="","",DATE(YEAR(P810),MONTH(P810),1))</f>
        <v/>
      </c>
    </row>
    <row r="811">
      <c r="A811" s="21"/>
      <c r="B811" s="14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14"/>
      <c r="Q811" s="21"/>
      <c r="R811" s="21"/>
      <c r="S811" s="21"/>
      <c r="T811" s="21"/>
      <c r="U811" s="21"/>
      <c r="V811" s="14"/>
      <c r="W811" s="22"/>
      <c r="X811" s="14"/>
      <c r="Y811" s="11" t="str">
        <f>IF(V811="","",IF(X811&lt;&gt;"",IF(X811-V811&lt;30,"No","Sí"),IF(TODAY()-V811&gt;=30,"Sí","En curso")))</f>
        <v/>
      </c>
      <c r="Z811" s="14"/>
      <c r="AA811" s="21"/>
      <c r="AB811" s="14"/>
      <c r="AC811" s="21"/>
      <c r="AD811" s="21"/>
      <c r="AE811" s="7"/>
      <c r="AF811" s="11" t="str">
        <f>IF(OR(AC811&lt;&gt;"Abierto",Z811=""),"",TODAY()-Z811)</f>
        <v/>
      </c>
      <c r="AG811" s="11" t="str">
        <f>IF(AC811&lt;&gt;"Abierto","",IF(AB811="","Sin siguiente acción",IF(AB811&lt;TODAY(),"Vencido",IF(AB811=TODAY(),"Hoy","En tiempo"))))</f>
        <v/>
      </c>
      <c r="AH811" s="11" t="str">
        <f>IF(OR(B811="",V811=""),"",V811-B811)</f>
        <v/>
      </c>
      <c r="AI811" s="16" t="str">
        <f>IF(P811="","",P811-WEEKDAY(P811,3))</f>
        <v/>
      </c>
      <c r="AJ811" s="23" t="str">
        <f>IF(P811="","",DATE(YEAR(P811),MONTH(P811),1))</f>
        <v/>
      </c>
    </row>
    <row r="812">
      <c r="A812" s="21"/>
      <c r="B812" s="14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14"/>
      <c r="Q812" s="21"/>
      <c r="R812" s="21"/>
      <c r="S812" s="21"/>
      <c r="T812" s="21"/>
      <c r="U812" s="21"/>
      <c r="V812" s="14"/>
      <c r="W812" s="22"/>
      <c r="X812" s="14"/>
      <c r="Y812" s="11" t="str">
        <f>IF(V812="","",IF(X812&lt;&gt;"",IF(X812-V812&lt;30,"No","Sí"),IF(TODAY()-V812&gt;=30,"Sí","En curso")))</f>
        <v/>
      </c>
      <c r="Z812" s="14"/>
      <c r="AA812" s="21"/>
      <c r="AB812" s="14"/>
      <c r="AC812" s="21"/>
      <c r="AD812" s="21"/>
      <c r="AE812" s="7"/>
      <c r="AF812" s="11" t="str">
        <f>IF(OR(AC812&lt;&gt;"Abierto",Z812=""),"",TODAY()-Z812)</f>
        <v/>
      </c>
      <c r="AG812" s="11" t="str">
        <f>IF(AC812&lt;&gt;"Abierto","",IF(AB812="","Sin siguiente acción",IF(AB812&lt;TODAY(),"Vencido",IF(AB812=TODAY(),"Hoy","En tiempo"))))</f>
        <v/>
      </c>
      <c r="AH812" s="11" t="str">
        <f>IF(OR(B812="",V812=""),"",V812-B812)</f>
        <v/>
      </c>
      <c r="AI812" s="16" t="str">
        <f>IF(P812="","",P812-WEEKDAY(P812,3))</f>
        <v/>
      </c>
      <c r="AJ812" s="23" t="str">
        <f>IF(P812="","",DATE(YEAR(P812),MONTH(P812),1))</f>
        <v/>
      </c>
    </row>
    <row r="813">
      <c r="A813" s="21"/>
      <c r="B813" s="14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14"/>
      <c r="Q813" s="21"/>
      <c r="R813" s="21"/>
      <c r="S813" s="21"/>
      <c r="T813" s="21"/>
      <c r="U813" s="21"/>
      <c r="V813" s="14"/>
      <c r="W813" s="22"/>
      <c r="X813" s="14"/>
      <c r="Y813" s="11" t="str">
        <f>IF(V813="","",IF(X813&lt;&gt;"",IF(X813-V813&lt;30,"No","Sí"),IF(TODAY()-V813&gt;=30,"Sí","En curso")))</f>
        <v/>
      </c>
      <c r="Z813" s="14"/>
      <c r="AA813" s="21"/>
      <c r="AB813" s="14"/>
      <c r="AC813" s="21"/>
      <c r="AD813" s="21"/>
      <c r="AE813" s="7"/>
      <c r="AF813" s="11" t="str">
        <f>IF(OR(AC813&lt;&gt;"Abierto",Z813=""),"",TODAY()-Z813)</f>
        <v/>
      </c>
      <c r="AG813" s="11" t="str">
        <f>IF(AC813&lt;&gt;"Abierto","",IF(AB813="","Sin siguiente acción",IF(AB813&lt;TODAY(),"Vencido",IF(AB813=TODAY(),"Hoy","En tiempo"))))</f>
        <v/>
      </c>
      <c r="AH813" s="11" t="str">
        <f>IF(OR(B813="",V813=""),"",V813-B813)</f>
        <v/>
      </c>
      <c r="AI813" s="16" t="str">
        <f>IF(P813="","",P813-WEEKDAY(P813,3))</f>
        <v/>
      </c>
      <c r="AJ813" s="23" t="str">
        <f>IF(P813="","",DATE(YEAR(P813),MONTH(P813),1))</f>
        <v/>
      </c>
    </row>
    <row r="814">
      <c r="A814" s="21"/>
      <c r="B814" s="14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14"/>
      <c r="Q814" s="21"/>
      <c r="R814" s="21"/>
      <c r="S814" s="21"/>
      <c r="T814" s="21"/>
      <c r="U814" s="21"/>
      <c r="V814" s="14"/>
      <c r="W814" s="22"/>
      <c r="X814" s="14"/>
      <c r="Y814" s="11" t="str">
        <f>IF(V814="","",IF(X814&lt;&gt;"",IF(X814-V814&lt;30,"No","Sí"),IF(TODAY()-V814&gt;=30,"Sí","En curso")))</f>
        <v/>
      </c>
      <c r="Z814" s="14"/>
      <c r="AA814" s="21"/>
      <c r="AB814" s="14"/>
      <c r="AC814" s="21"/>
      <c r="AD814" s="21"/>
      <c r="AE814" s="7"/>
      <c r="AF814" s="11" t="str">
        <f>IF(OR(AC814&lt;&gt;"Abierto",Z814=""),"",TODAY()-Z814)</f>
        <v/>
      </c>
      <c r="AG814" s="11" t="str">
        <f>IF(AC814&lt;&gt;"Abierto","",IF(AB814="","Sin siguiente acción",IF(AB814&lt;TODAY(),"Vencido",IF(AB814=TODAY(),"Hoy","En tiempo"))))</f>
        <v/>
      </c>
      <c r="AH814" s="11" t="str">
        <f>IF(OR(B814="",V814=""),"",V814-B814)</f>
        <v/>
      </c>
      <c r="AI814" s="16" t="str">
        <f>IF(P814="","",P814-WEEKDAY(P814,3))</f>
        <v/>
      </c>
      <c r="AJ814" s="23" t="str">
        <f>IF(P814="","",DATE(YEAR(P814),MONTH(P814),1))</f>
        <v/>
      </c>
    </row>
    <row r="815">
      <c r="A815" s="21"/>
      <c r="B815" s="14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14"/>
      <c r="Q815" s="21"/>
      <c r="R815" s="21"/>
      <c r="S815" s="21"/>
      <c r="T815" s="21"/>
      <c r="U815" s="21"/>
      <c r="V815" s="14"/>
      <c r="W815" s="22"/>
      <c r="X815" s="14"/>
      <c r="Y815" s="11" t="str">
        <f>IF(V815="","",IF(X815&lt;&gt;"",IF(X815-V815&lt;30,"No","Sí"),IF(TODAY()-V815&gt;=30,"Sí","En curso")))</f>
        <v/>
      </c>
      <c r="Z815" s="14"/>
      <c r="AA815" s="21"/>
      <c r="AB815" s="14"/>
      <c r="AC815" s="21"/>
      <c r="AD815" s="21"/>
      <c r="AE815" s="7"/>
      <c r="AF815" s="11" t="str">
        <f>IF(OR(AC815&lt;&gt;"Abierto",Z815=""),"",TODAY()-Z815)</f>
        <v/>
      </c>
      <c r="AG815" s="11" t="str">
        <f>IF(AC815&lt;&gt;"Abierto","",IF(AB815="","Sin siguiente acción",IF(AB815&lt;TODAY(),"Vencido",IF(AB815=TODAY(),"Hoy","En tiempo"))))</f>
        <v/>
      </c>
      <c r="AH815" s="11" t="str">
        <f>IF(OR(B815="",V815=""),"",V815-B815)</f>
        <v/>
      </c>
      <c r="AI815" s="16" t="str">
        <f>IF(P815="","",P815-WEEKDAY(P815,3))</f>
        <v/>
      </c>
      <c r="AJ815" s="23" t="str">
        <f>IF(P815="","",DATE(YEAR(P815),MONTH(P815),1))</f>
        <v/>
      </c>
    </row>
    <row r="816">
      <c r="A816" s="21"/>
      <c r="B816" s="14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14"/>
      <c r="Q816" s="21"/>
      <c r="R816" s="21"/>
      <c r="S816" s="21"/>
      <c r="T816" s="21"/>
      <c r="U816" s="21"/>
      <c r="V816" s="14"/>
      <c r="W816" s="22"/>
      <c r="X816" s="14"/>
      <c r="Y816" s="11" t="str">
        <f>IF(V816="","",IF(X816&lt;&gt;"",IF(X816-V816&lt;30,"No","Sí"),IF(TODAY()-V816&gt;=30,"Sí","En curso")))</f>
        <v/>
      </c>
      <c r="Z816" s="14"/>
      <c r="AA816" s="21"/>
      <c r="AB816" s="14"/>
      <c r="AC816" s="21"/>
      <c r="AD816" s="21"/>
      <c r="AE816" s="7"/>
      <c r="AF816" s="11" t="str">
        <f>IF(OR(AC816&lt;&gt;"Abierto",Z816=""),"",TODAY()-Z816)</f>
        <v/>
      </c>
      <c r="AG816" s="11" t="str">
        <f>IF(AC816&lt;&gt;"Abierto","",IF(AB816="","Sin siguiente acción",IF(AB816&lt;TODAY(),"Vencido",IF(AB816=TODAY(),"Hoy","En tiempo"))))</f>
        <v/>
      </c>
      <c r="AH816" s="11" t="str">
        <f>IF(OR(B816="",V816=""),"",V816-B816)</f>
        <v/>
      </c>
      <c r="AI816" s="16" t="str">
        <f>IF(P816="","",P816-WEEKDAY(P816,3))</f>
        <v/>
      </c>
      <c r="AJ816" s="23" t="str">
        <f>IF(P816="","",DATE(YEAR(P816),MONTH(P816),1))</f>
        <v/>
      </c>
    </row>
    <row r="817">
      <c r="A817" s="21"/>
      <c r="B817" s="14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14"/>
      <c r="Q817" s="21"/>
      <c r="R817" s="21"/>
      <c r="S817" s="21"/>
      <c r="T817" s="21"/>
      <c r="U817" s="21"/>
      <c r="V817" s="14"/>
      <c r="W817" s="22"/>
      <c r="X817" s="14"/>
      <c r="Y817" s="11" t="str">
        <f>IF(V817="","",IF(X817&lt;&gt;"",IF(X817-V817&lt;30,"No","Sí"),IF(TODAY()-V817&gt;=30,"Sí","En curso")))</f>
        <v/>
      </c>
      <c r="Z817" s="14"/>
      <c r="AA817" s="21"/>
      <c r="AB817" s="14"/>
      <c r="AC817" s="21"/>
      <c r="AD817" s="21"/>
      <c r="AE817" s="7"/>
      <c r="AF817" s="11" t="str">
        <f>IF(OR(AC817&lt;&gt;"Abierto",Z817=""),"",TODAY()-Z817)</f>
        <v/>
      </c>
      <c r="AG817" s="11" t="str">
        <f>IF(AC817&lt;&gt;"Abierto","",IF(AB817="","Sin siguiente acción",IF(AB817&lt;TODAY(),"Vencido",IF(AB817=TODAY(),"Hoy","En tiempo"))))</f>
        <v/>
      </c>
      <c r="AH817" s="11" t="str">
        <f>IF(OR(B817="",V817=""),"",V817-B817)</f>
        <v/>
      </c>
      <c r="AI817" s="16" t="str">
        <f>IF(P817="","",P817-WEEKDAY(P817,3))</f>
        <v/>
      </c>
      <c r="AJ817" s="23" t="str">
        <f>IF(P817="","",DATE(YEAR(P817),MONTH(P817),1))</f>
        <v/>
      </c>
    </row>
    <row r="818">
      <c r="A818" s="21"/>
      <c r="B818" s="14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14"/>
      <c r="Q818" s="21"/>
      <c r="R818" s="21"/>
      <c r="S818" s="21"/>
      <c r="T818" s="21"/>
      <c r="U818" s="21"/>
      <c r="V818" s="14"/>
      <c r="W818" s="22"/>
      <c r="X818" s="14"/>
      <c r="Y818" s="11" t="str">
        <f>IF(V818="","",IF(X818&lt;&gt;"",IF(X818-V818&lt;30,"No","Sí"),IF(TODAY()-V818&gt;=30,"Sí","En curso")))</f>
        <v/>
      </c>
      <c r="Z818" s="14"/>
      <c r="AA818" s="21"/>
      <c r="AB818" s="14"/>
      <c r="AC818" s="21"/>
      <c r="AD818" s="21"/>
      <c r="AE818" s="7"/>
      <c r="AF818" s="11" t="str">
        <f>IF(OR(AC818&lt;&gt;"Abierto",Z818=""),"",TODAY()-Z818)</f>
        <v/>
      </c>
      <c r="AG818" s="11" t="str">
        <f>IF(AC818&lt;&gt;"Abierto","",IF(AB818="","Sin siguiente acción",IF(AB818&lt;TODAY(),"Vencido",IF(AB818=TODAY(),"Hoy","En tiempo"))))</f>
        <v/>
      </c>
      <c r="AH818" s="11" t="str">
        <f>IF(OR(B818="",V818=""),"",V818-B818)</f>
        <v/>
      </c>
      <c r="AI818" s="16" t="str">
        <f>IF(P818="","",P818-WEEKDAY(P818,3))</f>
        <v/>
      </c>
      <c r="AJ818" s="23" t="str">
        <f>IF(P818="","",DATE(YEAR(P818),MONTH(P818),1))</f>
        <v/>
      </c>
    </row>
    <row r="819">
      <c r="A819" s="21"/>
      <c r="B819" s="14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14"/>
      <c r="Q819" s="21"/>
      <c r="R819" s="21"/>
      <c r="S819" s="21"/>
      <c r="T819" s="21"/>
      <c r="U819" s="21"/>
      <c r="V819" s="14"/>
      <c r="W819" s="22"/>
      <c r="X819" s="14"/>
      <c r="Y819" s="11" t="str">
        <f>IF(V819="","",IF(X819&lt;&gt;"",IF(X819-V819&lt;30,"No","Sí"),IF(TODAY()-V819&gt;=30,"Sí","En curso")))</f>
        <v/>
      </c>
      <c r="Z819" s="14"/>
      <c r="AA819" s="21"/>
      <c r="AB819" s="14"/>
      <c r="AC819" s="21"/>
      <c r="AD819" s="21"/>
      <c r="AE819" s="7"/>
      <c r="AF819" s="11" t="str">
        <f>IF(OR(AC819&lt;&gt;"Abierto",Z819=""),"",TODAY()-Z819)</f>
        <v/>
      </c>
      <c r="AG819" s="11" t="str">
        <f>IF(AC819&lt;&gt;"Abierto","",IF(AB819="","Sin siguiente acción",IF(AB819&lt;TODAY(),"Vencido",IF(AB819=TODAY(),"Hoy","En tiempo"))))</f>
        <v/>
      </c>
      <c r="AH819" s="11" t="str">
        <f>IF(OR(B819="",V819=""),"",V819-B819)</f>
        <v/>
      </c>
      <c r="AI819" s="16" t="str">
        <f>IF(P819="","",P819-WEEKDAY(P819,3))</f>
        <v/>
      </c>
      <c r="AJ819" s="23" t="str">
        <f>IF(P819="","",DATE(YEAR(P819),MONTH(P819),1))</f>
        <v/>
      </c>
    </row>
    <row r="820">
      <c r="A820" s="21"/>
      <c r="B820" s="14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14"/>
      <c r="Q820" s="21"/>
      <c r="R820" s="21"/>
      <c r="S820" s="21"/>
      <c r="T820" s="21"/>
      <c r="U820" s="21"/>
      <c r="V820" s="14"/>
      <c r="W820" s="22"/>
      <c r="X820" s="14"/>
      <c r="Y820" s="11" t="str">
        <f>IF(V820="","",IF(X820&lt;&gt;"",IF(X820-V820&lt;30,"No","Sí"),IF(TODAY()-V820&gt;=30,"Sí","En curso")))</f>
        <v/>
      </c>
      <c r="Z820" s="14"/>
      <c r="AA820" s="21"/>
      <c r="AB820" s="14"/>
      <c r="AC820" s="21"/>
      <c r="AD820" s="21"/>
      <c r="AE820" s="7"/>
      <c r="AF820" s="11" t="str">
        <f>IF(OR(AC820&lt;&gt;"Abierto",Z820=""),"",TODAY()-Z820)</f>
        <v/>
      </c>
      <c r="AG820" s="11" t="str">
        <f>IF(AC820&lt;&gt;"Abierto","",IF(AB820="","Sin siguiente acción",IF(AB820&lt;TODAY(),"Vencido",IF(AB820=TODAY(),"Hoy","En tiempo"))))</f>
        <v/>
      </c>
      <c r="AH820" s="11" t="str">
        <f>IF(OR(B820="",V820=""),"",V820-B820)</f>
        <v/>
      </c>
      <c r="AI820" s="16" t="str">
        <f>IF(P820="","",P820-WEEKDAY(P820,3))</f>
        <v/>
      </c>
      <c r="AJ820" s="23" t="str">
        <f>IF(P820="","",DATE(YEAR(P820),MONTH(P820),1))</f>
        <v/>
      </c>
    </row>
    <row r="821">
      <c r="A821" s="21"/>
      <c r="B821" s="14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14"/>
      <c r="Q821" s="21"/>
      <c r="R821" s="21"/>
      <c r="S821" s="21"/>
      <c r="T821" s="21"/>
      <c r="U821" s="21"/>
      <c r="V821" s="14"/>
      <c r="W821" s="22"/>
      <c r="X821" s="14"/>
      <c r="Y821" s="11" t="str">
        <f>IF(V821="","",IF(X821&lt;&gt;"",IF(X821-V821&lt;30,"No","Sí"),IF(TODAY()-V821&gt;=30,"Sí","En curso")))</f>
        <v/>
      </c>
      <c r="Z821" s="14"/>
      <c r="AA821" s="21"/>
      <c r="AB821" s="14"/>
      <c r="AC821" s="21"/>
      <c r="AD821" s="21"/>
      <c r="AE821" s="7"/>
      <c r="AF821" s="11" t="str">
        <f>IF(OR(AC821&lt;&gt;"Abierto",Z821=""),"",TODAY()-Z821)</f>
        <v/>
      </c>
      <c r="AG821" s="11" t="str">
        <f>IF(AC821&lt;&gt;"Abierto","",IF(AB821="","Sin siguiente acción",IF(AB821&lt;TODAY(),"Vencido",IF(AB821=TODAY(),"Hoy","En tiempo"))))</f>
        <v/>
      </c>
      <c r="AH821" s="11" t="str">
        <f>IF(OR(B821="",V821=""),"",V821-B821)</f>
        <v/>
      </c>
      <c r="AI821" s="16" t="str">
        <f>IF(P821="","",P821-WEEKDAY(P821,3))</f>
        <v/>
      </c>
      <c r="AJ821" s="23" t="str">
        <f>IF(P821="","",DATE(YEAR(P821),MONTH(P821),1))</f>
        <v/>
      </c>
    </row>
    <row r="822">
      <c r="A822" s="21"/>
      <c r="B822" s="14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14"/>
      <c r="Q822" s="21"/>
      <c r="R822" s="21"/>
      <c r="S822" s="21"/>
      <c r="T822" s="21"/>
      <c r="U822" s="21"/>
      <c r="V822" s="14"/>
      <c r="W822" s="22"/>
      <c r="X822" s="14"/>
      <c r="Y822" s="11" t="str">
        <f>IF(V822="","",IF(X822&lt;&gt;"",IF(X822-V822&lt;30,"No","Sí"),IF(TODAY()-V822&gt;=30,"Sí","En curso")))</f>
        <v/>
      </c>
      <c r="Z822" s="14"/>
      <c r="AA822" s="21"/>
      <c r="AB822" s="14"/>
      <c r="AC822" s="21"/>
      <c r="AD822" s="21"/>
      <c r="AE822" s="7"/>
      <c r="AF822" s="11" t="str">
        <f>IF(OR(AC822&lt;&gt;"Abierto",Z822=""),"",TODAY()-Z822)</f>
        <v/>
      </c>
      <c r="AG822" s="11" t="str">
        <f>IF(AC822&lt;&gt;"Abierto","",IF(AB822="","Sin siguiente acción",IF(AB822&lt;TODAY(),"Vencido",IF(AB822=TODAY(),"Hoy","En tiempo"))))</f>
        <v/>
      </c>
      <c r="AH822" s="11" t="str">
        <f>IF(OR(B822="",V822=""),"",V822-B822)</f>
        <v/>
      </c>
      <c r="AI822" s="16" t="str">
        <f>IF(P822="","",P822-WEEKDAY(P822,3))</f>
        <v/>
      </c>
      <c r="AJ822" s="23" t="str">
        <f>IF(P822="","",DATE(YEAR(P822),MONTH(P822),1))</f>
        <v/>
      </c>
    </row>
    <row r="823">
      <c r="A823" s="21"/>
      <c r="B823" s="14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14"/>
      <c r="Q823" s="21"/>
      <c r="R823" s="21"/>
      <c r="S823" s="21"/>
      <c r="T823" s="21"/>
      <c r="U823" s="21"/>
      <c r="V823" s="14"/>
      <c r="W823" s="22"/>
      <c r="X823" s="14"/>
      <c r="Y823" s="11" t="str">
        <f>IF(V823="","",IF(X823&lt;&gt;"",IF(X823-V823&lt;30,"No","Sí"),IF(TODAY()-V823&gt;=30,"Sí","En curso")))</f>
        <v/>
      </c>
      <c r="Z823" s="14"/>
      <c r="AA823" s="21"/>
      <c r="AB823" s="14"/>
      <c r="AC823" s="21"/>
      <c r="AD823" s="21"/>
      <c r="AE823" s="7"/>
      <c r="AF823" s="11" t="str">
        <f>IF(OR(AC823&lt;&gt;"Abierto",Z823=""),"",TODAY()-Z823)</f>
        <v/>
      </c>
      <c r="AG823" s="11" t="str">
        <f>IF(AC823&lt;&gt;"Abierto","",IF(AB823="","Sin siguiente acción",IF(AB823&lt;TODAY(),"Vencido",IF(AB823=TODAY(),"Hoy","En tiempo"))))</f>
        <v/>
      </c>
      <c r="AH823" s="11" t="str">
        <f>IF(OR(B823="",V823=""),"",V823-B823)</f>
        <v/>
      </c>
      <c r="AI823" s="16" t="str">
        <f>IF(P823="","",P823-WEEKDAY(P823,3))</f>
        <v/>
      </c>
      <c r="AJ823" s="23" t="str">
        <f>IF(P823="","",DATE(YEAR(P823),MONTH(P823),1))</f>
        <v/>
      </c>
    </row>
    <row r="824">
      <c r="A824" s="21"/>
      <c r="B824" s="14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14"/>
      <c r="Q824" s="21"/>
      <c r="R824" s="21"/>
      <c r="S824" s="21"/>
      <c r="T824" s="21"/>
      <c r="U824" s="21"/>
      <c r="V824" s="14"/>
      <c r="W824" s="22"/>
      <c r="X824" s="14"/>
      <c r="Y824" s="11" t="str">
        <f>IF(V824="","",IF(X824&lt;&gt;"",IF(X824-V824&lt;30,"No","Sí"),IF(TODAY()-V824&gt;=30,"Sí","En curso")))</f>
        <v/>
      </c>
      <c r="Z824" s="14"/>
      <c r="AA824" s="21"/>
      <c r="AB824" s="14"/>
      <c r="AC824" s="21"/>
      <c r="AD824" s="21"/>
      <c r="AE824" s="7"/>
      <c r="AF824" s="11" t="str">
        <f>IF(OR(AC824&lt;&gt;"Abierto",Z824=""),"",TODAY()-Z824)</f>
        <v/>
      </c>
      <c r="AG824" s="11" t="str">
        <f>IF(AC824&lt;&gt;"Abierto","",IF(AB824="","Sin siguiente acción",IF(AB824&lt;TODAY(),"Vencido",IF(AB824=TODAY(),"Hoy","En tiempo"))))</f>
        <v/>
      </c>
      <c r="AH824" s="11" t="str">
        <f>IF(OR(B824="",V824=""),"",V824-B824)</f>
        <v/>
      </c>
      <c r="AI824" s="16" t="str">
        <f>IF(P824="","",P824-WEEKDAY(P824,3))</f>
        <v/>
      </c>
      <c r="AJ824" s="23" t="str">
        <f>IF(P824="","",DATE(YEAR(P824),MONTH(P824),1))</f>
        <v/>
      </c>
    </row>
    <row r="825">
      <c r="A825" s="21"/>
      <c r="B825" s="14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14"/>
      <c r="Q825" s="21"/>
      <c r="R825" s="21"/>
      <c r="S825" s="21"/>
      <c r="T825" s="21"/>
      <c r="U825" s="21"/>
      <c r="V825" s="14"/>
      <c r="W825" s="22"/>
      <c r="X825" s="14"/>
      <c r="Y825" s="11" t="str">
        <f>IF(V825="","",IF(X825&lt;&gt;"",IF(X825-V825&lt;30,"No","Sí"),IF(TODAY()-V825&gt;=30,"Sí","En curso")))</f>
        <v/>
      </c>
      <c r="Z825" s="14"/>
      <c r="AA825" s="21"/>
      <c r="AB825" s="14"/>
      <c r="AC825" s="21"/>
      <c r="AD825" s="21"/>
      <c r="AE825" s="7"/>
      <c r="AF825" s="11" t="str">
        <f>IF(OR(AC825&lt;&gt;"Abierto",Z825=""),"",TODAY()-Z825)</f>
        <v/>
      </c>
      <c r="AG825" s="11" t="str">
        <f>IF(AC825&lt;&gt;"Abierto","",IF(AB825="","Sin siguiente acción",IF(AB825&lt;TODAY(),"Vencido",IF(AB825=TODAY(),"Hoy","En tiempo"))))</f>
        <v/>
      </c>
      <c r="AH825" s="11" t="str">
        <f>IF(OR(B825="",V825=""),"",V825-B825)</f>
        <v/>
      </c>
      <c r="AI825" s="16" t="str">
        <f>IF(P825="","",P825-WEEKDAY(P825,3))</f>
        <v/>
      </c>
      <c r="AJ825" s="23" t="str">
        <f>IF(P825="","",DATE(YEAR(P825),MONTH(P825),1))</f>
        <v/>
      </c>
    </row>
    <row r="826">
      <c r="A826" s="21"/>
      <c r="B826" s="14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14"/>
      <c r="Q826" s="21"/>
      <c r="R826" s="21"/>
      <c r="S826" s="21"/>
      <c r="T826" s="21"/>
      <c r="U826" s="21"/>
      <c r="V826" s="14"/>
      <c r="W826" s="22"/>
      <c r="X826" s="14"/>
      <c r="Y826" s="11" t="str">
        <f>IF(V826="","",IF(X826&lt;&gt;"",IF(X826-V826&lt;30,"No","Sí"),IF(TODAY()-V826&gt;=30,"Sí","En curso")))</f>
        <v/>
      </c>
      <c r="Z826" s="14"/>
      <c r="AA826" s="21"/>
      <c r="AB826" s="14"/>
      <c r="AC826" s="21"/>
      <c r="AD826" s="21"/>
      <c r="AE826" s="7"/>
      <c r="AF826" s="11" t="str">
        <f>IF(OR(AC826&lt;&gt;"Abierto",Z826=""),"",TODAY()-Z826)</f>
        <v/>
      </c>
      <c r="AG826" s="11" t="str">
        <f>IF(AC826&lt;&gt;"Abierto","",IF(AB826="","Sin siguiente acción",IF(AB826&lt;TODAY(),"Vencido",IF(AB826=TODAY(),"Hoy","En tiempo"))))</f>
        <v/>
      </c>
      <c r="AH826" s="11" t="str">
        <f>IF(OR(B826="",V826=""),"",V826-B826)</f>
        <v/>
      </c>
      <c r="AI826" s="16" t="str">
        <f>IF(P826="","",P826-WEEKDAY(P826,3))</f>
        <v/>
      </c>
      <c r="AJ826" s="23" t="str">
        <f>IF(P826="","",DATE(YEAR(P826),MONTH(P826),1))</f>
        <v/>
      </c>
    </row>
    <row r="827">
      <c r="A827" s="21"/>
      <c r="B827" s="14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14"/>
      <c r="Q827" s="21"/>
      <c r="R827" s="21"/>
      <c r="S827" s="21"/>
      <c r="T827" s="21"/>
      <c r="U827" s="21"/>
      <c r="V827" s="14"/>
      <c r="W827" s="22"/>
      <c r="X827" s="14"/>
      <c r="Y827" s="11" t="str">
        <f>IF(V827="","",IF(X827&lt;&gt;"",IF(X827-V827&lt;30,"No","Sí"),IF(TODAY()-V827&gt;=30,"Sí","En curso")))</f>
        <v/>
      </c>
      <c r="Z827" s="14"/>
      <c r="AA827" s="21"/>
      <c r="AB827" s="14"/>
      <c r="AC827" s="21"/>
      <c r="AD827" s="21"/>
      <c r="AE827" s="7"/>
      <c r="AF827" s="11" t="str">
        <f>IF(OR(AC827&lt;&gt;"Abierto",Z827=""),"",TODAY()-Z827)</f>
        <v/>
      </c>
      <c r="AG827" s="11" t="str">
        <f>IF(AC827&lt;&gt;"Abierto","",IF(AB827="","Sin siguiente acción",IF(AB827&lt;TODAY(),"Vencido",IF(AB827=TODAY(),"Hoy","En tiempo"))))</f>
        <v/>
      </c>
      <c r="AH827" s="11" t="str">
        <f>IF(OR(B827="",V827=""),"",V827-B827)</f>
        <v/>
      </c>
      <c r="AI827" s="16" t="str">
        <f>IF(P827="","",P827-WEEKDAY(P827,3))</f>
        <v/>
      </c>
      <c r="AJ827" s="23" t="str">
        <f>IF(P827="","",DATE(YEAR(P827),MONTH(P827),1))</f>
        <v/>
      </c>
    </row>
    <row r="828">
      <c r="A828" s="21"/>
      <c r="B828" s="14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14"/>
      <c r="Q828" s="21"/>
      <c r="R828" s="21"/>
      <c r="S828" s="21"/>
      <c r="T828" s="21"/>
      <c r="U828" s="21"/>
      <c r="V828" s="14"/>
      <c r="W828" s="22"/>
      <c r="X828" s="14"/>
      <c r="Y828" s="11" t="str">
        <f>IF(V828="","",IF(X828&lt;&gt;"",IF(X828-V828&lt;30,"No","Sí"),IF(TODAY()-V828&gt;=30,"Sí","En curso")))</f>
        <v/>
      </c>
      <c r="Z828" s="14"/>
      <c r="AA828" s="21"/>
      <c r="AB828" s="14"/>
      <c r="AC828" s="21"/>
      <c r="AD828" s="21"/>
      <c r="AE828" s="7"/>
      <c r="AF828" s="11" t="str">
        <f>IF(OR(AC828&lt;&gt;"Abierto",Z828=""),"",TODAY()-Z828)</f>
        <v/>
      </c>
      <c r="AG828" s="11" t="str">
        <f>IF(AC828&lt;&gt;"Abierto","",IF(AB828="","Sin siguiente acción",IF(AB828&lt;TODAY(),"Vencido",IF(AB828=TODAY(),"Hoy","En tiempo"))))</f>
        <v/>
      </c>
      <c r="AH828" s="11" t="str">
        <f>IF(OR(B828="",V828=""),"",V828-B828)</f>
        <v/>
      </c>
      <c r="AI828" s="16" t="str">
        <f>IF(P828="","",P828-WEEKDAY(P828,3))</f>
        <v/>
      </c>
      <c r="AJ828" s="23" t="str">
        <f>IF(P828="","",DATE(YEAR(P828),MONTH(P828),1))</f>
        <v/>
      </c>
    </row>
    <row r="829">
      <c r="A829" s="21"/>
      <c r="B829" s="14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14"/>
      <c r="Q829" s="21"/>
      <c r="R829" s="21"/>
      <c r="S829" s="21"/>
      <c r="T829" s="21"/>
      <c r="U829" s="21"/>
      <c r="V829" s="14"/>
      <c r="W829" s="22"/>
      <c r="X829" s="14"/>
      <c r="Y829" s="11" t="str">
        <f>IF(V829="","",IF(X829&lt;&gt;"",IF(X829-V829&lt;30,"No","Sí"),IF(TODAY()-V829&gt;=30,"Sí","En curso")))</f>
        <v/>
      </c>
      <c r="Z829" s="14"/>
      <c r="AA829" s="21"/>
      <c r="AB829" s="14"/>
      <c r="AC829" s="21"/>
      <c r="AD829" s="21"/>
      <c r="AE829" s="7"/>
      <c r="AF829" s="11" t="str">
        <f>IF(OR(AC829&lt;&gt;"Abierto",Z829=""),"",TODAY()-Z829)</f>
        <v/>
      </c>
      <c r="AG829" s="11" t="str">
        <f>IF(AC829&lt;&gt;"Abierto","",IF(AB829="","Sin siguiente acción",IF(AB829&lt;TODAY(),"Vencido",IF(AB829=TODAY(),"Hoy","En tiempo"))))</f>
        <v/>
      </c>
      <c r="AH829" s="11" t="str">
        <f>IF(OR(B829="",V829=""),"",V829-B829)</f>
        <v/>
      </c>
      <c r="AI829" s="16" t="str">
        <f>IF(P829="","",P829-WEEKDAY(P829,3))</f>
        <v/>
      </c>
      <c r="AJ829" s="23" t="str">
        <f>IF(P829="","",DATE(YEAR(P829),MONTH(P829),1))</f>
        <v/>
      </c>
    </row>
    <row r="830">
      <c r="A830" s="21"/>
      <c r="B830" s="14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14"/>
      <c r="Q830" s="21"/>
      <c r="R830" s="21"/>
      <c r="S830" s="21"/>
      <c r="T830" s="21"/>
      <c r="U830" s="21"/>
      <c r="V830" s="14"/>
      <c r="W830" s="22"/>
      <c r="X830" s="14"/>
      <c r="Y830" s="11" t="str">
        <f>IF(V830="","",IF(X830&lt;&gt;"",IF(X830-V830&lt;30,"No","Sí"),IF(TODAY()-V830&gt;=30,"Sí","En curso")))</f>
        <v/>
      </c>
      <c r="Z830" s="14"/>
      <c r="AA830" s="21"/>
      <c r="AB830" s="14"/>
      <c r="AC830" s="21"/>
      <c r="AD830" s="21"/>
      <c r="AE830" s="7"/>
      <c r="AF830" s="11" t="str">
        <f>IF(OR(AC830&lt;&gt;"Abierto",Z830=""),"",TODAY()-Z830)</f>
        <v/>
      </c>
      <c r="AG830" s="11" t="str">
        <f>IF(AC830&lt;&gt;"Abierto","",IF(AB830="","Sin siguiente acción",IF(AB830&lt;TODAY(),"Vencido",IF(AB830=TODAY(),"Hoy","En tiempo"))))</f>
        <v/>
      </c>
      <c r="AH830" s="11" t="str">
        <f>IF(OR(B830="",V830=""),"",V830-B830)</f>
        <v/>
      </c>
      <c r="AI830" s="16" t="str">
        <f>IF(P830="","",P830-WEEKDAY(P830,3))</f>
        <v/>
      </c>
      <c r="AJ830" s="23" t="str">
        <f>IF(P830="","",DATE(YEAR(P830),MONTH(P830),1))</f>
        <v/>
      </c>
    </row>
    <row r="831">
      <c r="A831" s="21"/>
      <c r="B831" s="14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14"/>
      <c r="Q831" s="21"/>
      <c r="R831" s="21"/>
      <c r="S831" s="21"/>
      <c r="T831" s="21"/>
      <c r="U831" s="21"/>
      <c r="V831" s="14"/>
      <c r="W831" s="22"/>
      <c r="X831" s="14"/>
      <c r="Y831" s="11" t="str">
        <f>IF(V831="","",IF(X831&lt;&gt;"",IF(X831-V831&lt;30,"No","Sí"),IF(TODAY()-V831&gt;=30,"Sí","En curso")))</f>
        <v/>
      </c>
      <c r="Z831" s="14"/>
      <c r="AA831" s="21"/>
      <c r="AB831" s="14"/>
      <c r="AC831" s="21"/>
      <c r="AD831" s="21"/>
      <c r="AE831" s="7"/>
      <c r="AF831" s="11" t="str">
        <f>IF(OR(AC831&lt;&gt;"Abierto",Z831=""),"",TODAY()-Z831)</f>
        <v/>
      </c>
      <c r="AG831" s="11" t="str">
        <f>IF(AC831&lt;&gt;"Abierto","",IF(AB831="","Sin siguiente acción",IF(AB831&lt;TODAY(),"Vencido",IF(AB831=TODAY(),"Hoy","En tiempo"))))</f>
        <v/>
      </c>
      <c r="AH831" s="11" t="str">
        <f>IF(OR(B831="",V831=""),"",V831-B831)</f>
        <v/>
      </c>
      <c r="AI831" s="16" t="str">
        <f>IF(P831="","",P831-WEEKDAY(P831,3))</f>
        <v/>
      </c>
      <c r="AJ831" s="23" t="str">
        <f>IF(P831="","",DATE(YEAR(P831),MONTH(P831),1))</f>
        <v/>
      </c>
    </row>
    <row r="832">
      <c r="A832" s="21"/>
      <c r="B832" s="14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14"/>
      <c r="Q832" s="21"/>
      <c r="R832" s="21"/>
      <c r="S832" s="21"/>
      <c r="T832" s="21"/>
      <c r="U832" s="21"/>
      <c r="V832" s="14"/>
      <c r="W832" s="22"/>
      <c r="X832" s="14"/>
      <c r="Y832" s="11" t="str">
        <f>IF(V832="","",IF(X832&lt;&gt;"",IF(X832-V832&lt;30,"No","Sí"),IF(TODAY()-V832&gt;=30,"Sí","En curso")))</f>
        <v/>
      </c>
      <c r="Z832" s="14"/>
      <c r="AA832" s="21"/>
      <c r="AB832" s="14"/>
      <c r="AC832" s="21"/>
      <c r="AD832" s="21"/>
      <c r="AE832" s="7"/>
      <c r="AF832" s="11" t="str">
        <f>IF(OR(AC832&lt;&gt;"Abierto",Z832=""),"",TODAY()-Z832)</f>
        <v/>
      </c>
      <c r="AG832" s="11" t="str">
        <f>IF(AC832&lt;&gt;"Abierto","",IF(AB832="","Sin siguiente acción",IF(AB832&lt;TODAY(),"Vencido",IF(AB832=TODAY(),"Hoy","En tiempo"))))</f>
        <v/>
      </c>
      <c r="AH832" s="11" t="str">
        <f>IF(OR(B832="",V832=""),"",V832-B832)</f>
        <v/>
      </c>
      <c r="AI832" s="16" t="str">
        <f>IF(P832="","",P832-WEEKDAY(P832,3))</f>
        <v/>
      </c>
      <c r="AJ832" s="23" t="str">
        <f>IF(P832="","",DATE(YEAR(P832),MONTH(P832),1))</f>
        <v/>
      </c>
    </row>
    <row r="833">
      <c r="A833" s="21"/>
      <c r="B833" s="14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14"/>
      <c r="Q833" s="21"/>
      <c r="R833" s="21"/>
      <c r="S833" s="21"/>
      <c r="T833" s="21"/>
      <c r="U833" s="21"/>
      <c r="V833" s="14"/>
      <c r="W833" s="22"/>
      <c r="X833" s="14"/>
      <c r="Y833" s="11" t="str">
        <f>IF(V833="","",IF(X833&lt;&gt;"",IF(X833-V833&lt;30,"No","Sí"),IF(TODAY()-V833&gt;=30,"Sí","En curso")))</f>
        <v/>
      </c>
      <c r="Z833" s="14"/>
      <c r="AA833" s="21"/>
      <c r="AB833" s="14"/>
      <c r="AC833" s="21"/>
      <c r="AD833" s="21"/>
      <c r="AE833" s="7"/>
      <c r="AF833" s="11" t="str">
        <f>IF(OR(AC833&lt;&gt;"Abierto",Z833=""),"",TODAY()-Z833)</f>
        <v/>
      </c>
      <c r="AG833" s="11" t="str">
        <f>IF(AC833&lt;&gt;"Abierto","",IF(AB833="","Sin siguiente acción",IF(AB833&lt;TODAY(),"Vencido",IF(AB833=TODAY(),"Hoy","En tiempo"))))</f>
        <v/>
      </c>
      <c r="AH833" s="11" t="str">
        <f>IF(OR(B833="",V833=""),"",V833-B833)</f>
        <v/>
      </c>
      <c r="AI833" s="16" t="str">
        <f>IF(P833="","",P833-WEEKDAY(P833,3))</f>
        <v/>
      </c>
      <c r="AJ833" s="23" t="str">
        <f>IF(P833="","",DATE(YEAR(P833),MONTH(P833),1))</f>
        <v/>
      </c>
    </row>
    <row r="834">
      <c r="A834" s="21"/>
      <c r="B834" s="14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14"/>
      <c r="Q834" s="21"/>
      <c r="R834" s="21"/>
      <c r="S834" s="21"/>
      <c r="T834" s="21"/>
      <c r="U834" s="21"/>
      <c r="V834" s="14"/>
      <c r="W834" s="22"/>
      <c r="X834" s="14"/>
      <c r="Y834" s="11" t="str">
        <f>IF(V834="","",IF(X834&lt;&gt;"",IF(X834-V834&lt;30,"No","Sí"),IF(TODAY()-V834&gt;=30,"Sí","En curso")))</f>
        <v/>
      </c>
      <c r="Z834" s="14"/>
      <c r="AA834" s="21"/>
      <c r="AB834" s="14"/>
      <c r="AC834" s="21"/>
      <c r="AD834" s="21"/>
      <c r="AE834" s="7"/>
      <c r="AF834" s="11" t="str">
        <f>IF(OR(AC834&lt;&gt;"Abierto",Z834=""),"",TODAY()-Z834)</f>
        <v/>
      </c>
      <c r="AG834" s="11" t="str">
        <f>IF(AC834&lt;&gt;"Abierto","",IF(AB834="","Sin siguiente acción",IF(AB834&lt;TODAY(),"Vencido",IF(AB834=TODAY(),"Hoy","En tiempo"))))</f>
        <v/>
      </c>
      <c r="AH834" s="11" t="str">
        <f>IF(OR(B834="",V834=""),"",V834-B834)</f>
        <v/>
      </c>
      <c r="AI834" s="16" t="str">
        <f>IF(P834="","",P834-WEEKDAY(P834,3))</f>
        <v/>
      </c>
      <c r="AJ834" s="23" t="str">
        <f>IF(P834="","",DATE(YEAR(P834),MONTH(P834),1))</f>
        <v/>
      </c>
    </row>
    <row r="835">
      <c r="A835" s="21"/>
      <c r="B835" s="14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14"/>
      <c r="Q835" s="21"/>
      <c r="R835" s="21"/>
      <c r="S835" s="21"/>
      <c r="T835" s="21"/>
      <c r="U835" s="21"/>
      <c r="V835" s="14"/>
      <c r="W835" s="22"/>
      <c r="X835" s="14"/>
      <c r="Y835" s="11" t="str">
        <f>IF(V835="","",IF(X835&lt;&gt;"",IF(X835-V835&lt;30,"No","Sí"),IF(TODAY()-V835&gt;=30,"Sí","En curso")))</f>
        <v/>
      </c>
      <c r="Z835" s="14"/>
      <c r="AA835" s="21"/>
      <c r="AB835" s="14"/>
      <c r="AC835" s="21"/>
      <c r="AD835" s="21"/>
      <c r="AE835" s="7"/>
      <c r="AF835" s="11" t="str">
        <f>IF(OR(AC835&lt;&gt;"Abierto",Z835=""),"",TODAY()-Z835)</f>
        <v/>
      </c>
      <c r="AG835" s="11" t="str">
        <f>IF(AC835&lt;&gt;"Abierto","",IF(AB835="","Sin siguiente acción",IF(AB835&lt;TODAY(),"Vencido",IF(AB835=TODAY(),"Hoy","En tiempo"))))</f>
        <v/>
      </c>
      <c r="AH835" s="11" t="str">
        <f>IF(OR(B835="",V835=""),"",V835-B835)</f>
        <v/>
      </c>
      <c r="AI835" s="16" t="str">
        <f>IF(P835="","",P835-WEEKDAY(P835,3))</f>
        <v/>
      </c>
      <c r="AJ835" s="23" t="str">
        <f>IF(P835="","",DATE(YEAR(P835),MONTH(P835),1))</f>
        <v/>
      </c>
    </row>
    <row r="836">
      <c r="A836" s="21"/>
      <c r="B836" s="14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14"/>
      <c r="Q836" s="21"/>
      <c r="R836" s="21"/>
      <c r="S836" s="21"/>
      <c r="T836" s="21"/>
      <c r="U836" s="21"/>
      <c r="V836" s="14"/>
      <c r="W836" s="22"/>
      <c r="X836" s="14"/>
      <c r="Y836" s="11" t="str">
        <f>IF(V836="","",IF(X836&lt;&gt;"",IF(X836-V836&lt;30,"No","Sí"),IF(TODAY()-V836&gt;=30,"Sí","En curso")))</f>
        <v/>
      </c>
      <c r="Z836" s="14"/>
      <c r="AA836" s="21"/>
      <c r="AB836" s="14"/>
      <c r="AC836" s="21"/>
      <c r="AD836" s="21"/>
      <c r="AE836" s="7"/>
      <c r="AF836" s="11" t="str">
        <f>IF(OR(AC836&lt;&gt;"Abierto",Z836=""),"",TODAY()-Z836)</f>
        <v/>
      </c>
      <c r="AG836" s="11" t="str">
        <f>IF(AC836&lt;&gt;"Abierto","",IF(AB836="","Sin siguiente acción",IF(AB836&lt;TODAY(),"Vencido",IF(AB836=TODAY(),"Hoy","En tiempo"))))</f>
        <v/>
      </c>
      <c r="AH836" s="11" t="str">
        <f>IF(OR(B836="",V836=""),"",V836-B836)</f>
        <v/>
      </c>
      <c r="AI836" s="16" t="str">
        <f>IF(P836="","",P836-WEEKDAY(P836,3))</f>
        <v/>
      </c>
      <c r="AJ836" s="23" t="str">
        <f>IF(P836="","",DATE(YEAR(P836),MONTH(P836),1))</f>
        <v/>
      </c>
    </row>
    <row r="837">
      <c r="A837" s="21"/>
      <c r="B837" s="14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14"/>
      <c r="Q837" s="21"/>
      <c r="R837" s="21"/>
      <c r="S837" s="21"/>
      <c r="T837" s="21"/>
      <c r="U837" s="21"/>
      <c r="V837" s="14"/>
      <c r="W837" s="22"/>
      <c r="X837" s="14"/>
      <c r="Y837" s="11" t="str">
        <f>IF(V837="","",IF(X837&lt;&gt;"",IF(X837-V837&lt;30,"No","Sí"),IF(TODAY()-V837&gt;=30,"Sí","En curso")))</f>
        <v/>
      </c>
      <c r="Z837" s="14"/>
      <c r="AA837" s="21"/>
      <c r="AB837" s="14"/>
      <c r="AC837" s="21"/>
      <c r="AD837" s="21"/>
      <c r="AE837" s="7"/>
      <c r="AF837" s="11" t="str">
        <f>IF(OR(AC837&lt;&gt;"Abierto",Z837=""),"",TODAY()-Z837)</f>
        <v/>
      </c>
      <c r="AG837" s="11" t="str">
        <f>IF(AC837&lt;&gt;"Abierto","",IF(AB837="","Sin siguiente acción",IF(AB837&lt;TODAY(),"Vencido",IF(AB837=TODAY(),"Hoy","En tiempo"))))</f>
        <v/>
      </c>
      <c r="AH837" s="11" t="str">
        <f>IF(OR(B837="",V837=""),"",V837-B837)</f>
        <v/>
      </c>
      <c r="AI837" s="16" t="str">
        <f>IF(P837="","",P837-WEEKDAY(P837,3))</f>
        <v/>
      </c>
      <c r="AJ837" s="23" t="str">
        <f>IF(P837="","",DATE(YEAR(P837),MONTH(P837),1))</f>
        <v/>
      </c>
    </row>
    <row r="838">
      <c r="A838" s="21"/>
      <c r="B838" s="14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14"/>
      <c r="Q838" s="21"/>
      <c r="R838" s="21"/>
      <c r="S838" s="21"/>
      <c r="T838" s="21"/>
      <c r="U838" s="21"/>
      <c r="V838" s="14"/>
      <c r="W838" s="22"/>
      <c r="X838" s="14"/>
      <c r="Y838" s="11" t="str">
        <f>IF(V838="","",IF(X838&lt;&gt;"",IF(X838-V838&lt;30,"No","Sí"),IF(TODAY()-V838&gt;=30,"Sí","En curso")))</f>
        <v/>
      </c>
      <c r="Z838" s="14"/>
      <c r="AA838" s="21"/>
      <c r="AB838" s="14"/>
      <c r="AC838" s="21"/>
      <c r="AD838" s="21"/>
      <c r="AE838" s="7"/>
      <c r="AF838" s="11" t="str">
        <f>IF(OR(AC838&lt;&gt;"Abierto",Z838=""),"",TODAY()-Z838)</f>
        <v/>
      </c>
      <c r="AG838" s="11" t="str">
        <f>IF(AC838&lt;&gt;"Abierto","",IF(AB838="","Sin siguiente acción",IF(AB838&lt;TODAY(),"Vencido",IF(AB838=TODAY(),"Hoy","En tiempo"))))</f>
        <v/>
      </c>
      <c r="AH838" s="11" t="str">
        <f>IF(OR(B838="",V838=""),"",V838-B838)</f>
        <v/>
      </c>
      <c r="AI838" s="16" t="str">
        <f>IF(P838="","",P838-WEEKDAY(P838,3))</f>
        <v/>
      </c>
      <c r="AJ838" s="23" t="str">
        <f>IF(P838="","",DATE(YEAR(P838),MONTH(P838),1))</f>
        <v/>
      </c>
    </row>
    <row r="839">
      <c r="A839" s="21"/>
      <c r="B839" s="14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14"/>
      <c r="Q839" s="21"/>
      <c r="R839" s="21"/>
      <c r="S839" s="21"/>
      <c r="T839" s="21"/>
      <c r="U839" s="21"/>
      <c r="V839" s="14"/>
      <c r="W839" s="22"/>
      <c r="X839" s="14"/>
      <c r="Y839" s="11" t="str">
        <f>IF(V839="","",IF(X839&lt;&gt;"",IF(X839-V839&lt;30,"No","Sí"),IF(TODAY()-V839&gt;=30,"Sí","En curso")))</f>
        <v/>
      </c>
      <c r="Z839" s="14"/>
      <c r="AA839" s="21"/>
      <c r="AB839" s="14"/>
      <c r="AC839" s="21"/>
      <c r="AD839" s="21"/>
      <c r="AE839" s="7"/>
      <c r="AF839" s="11" t="str">
        <f>IF(OR(AC839&lt;&gt;"Abierto",Z839=""),"",TODAY()-Z839)</f>
        <v/>
      </c>
      <c r="AG839" s="11" t="str">
        <f>IF(AC839&lt;&gt;"Abierto","",IF(AB839="","Sin siguiente acción",IF(AB839&lt;TODAY(),"Vencido",IF(AB839=TODAY(),"Hoy","En tiempo"))))</f>
        <v/>
      </c>
      <c r="AH839" s="11" t="str">
        <f>IF(OR(B839="",V839=""),"",V839-B839)</f>
        <v/>
      </c>
      <c r="AI839" s="16" t="str">
        <f>IF(P839="","",P839-WEEKDAY(P839,3))</f>
        <v/>
      </c>
      <c r="AJ839" s="23" t="str">
        <f>IF(P839="","",DATE(YEAR(P839),MONTH(P839),1))</f>
        <v/>
      </c>
    </row>
    <row r="840">
      <c r="A840" s="21"/>
      <c r="B840" s="14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14"/>
      <c r="Q840" s="21"/>
      <c r="R840" s="21"/>
      <c r="S840" s="21"/>
      <c r="T840" s="21"/>
      <c r="U840" s="21"/>
      <c r="V840" s="14"/>
      <c r="W840" s="22"/>
      <c r="X840" s="14"/>
      <c r="Y840" s="11" t="str">
        <f>IF(V840="","",IF(X840&lt;&gt;"",IF(X840-V840&lt;30,"No","Sí"),IF(TODAY()-V840&gt;=30,"Sí","En curso")))</f>
        <v/>
      </c>
      <c r="Z840" s="14"/>
      <c r="AA840" s="21"/>
      <c r="AB840" s="14"/>
      <c r="AC840" s="21"/>
      <c r="AD840" s="21"/>
      <c r="AE840" s="7"/>
      <c r="AF840" s="11" t="str">
        <f>IF(OR(AC840&lt;&gt;"Abierto",Z840=""),"",TODAY()-Z840)</f>
        <v/>
      </c>
      <c r="AG840" s="11" t="str">
        <f>IF(AC840&lt;&gt;"Abierto","",IF(AB840="","Sin siguiente acción",IF(AB840&lt;TODAY(),"Vencido",IF(AB840=TODAY(),"Hoy","En tiempo"))))</f>
        <v/>
      </c>
      <c r="AH840" s="11" t="str">
        <f>IF(OR(B840="",V840=""),"",V840-B840)</f>
        <v/>
      </c>
      <c r="AI840" s="16" t="str">
        <f>IF(P840="","",P840-WEEKDAY(P840,3))</f>
        <v/>
      </c>
      <c r="AJ840" s="23" t="str">
        <f>IF(P840="","",DATE(YEAR(P840),MONTH(P840),1))</f>
        <v/>
      </c>
    </row>
    <row r="841">
      <c r="A841" s="21"/>
      <c r="B841" s="14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14"/>
      <c r="Q841" s="21"/>
      <c r="R841" s="21"/>
      <c r="S841" s="21"/>
      <c r="T841" s="21"/>
      <c r="U841" s="21"/>
      <c r="V841" s="14"/>
      <c r="W841" s="22"/>
      <c r="X841" s="14"/>
      <c r="Y841" s="11" t="str">
        <f>IF(V841="","",IF(X841&lt;&gt;"",IF(X841-V841&lt;30,"No","Sí"),IF(TODAY()-V841&gt;=30,"Sí","En curso")))</f>
        <v/>
      </c>
      <c r="Z841" s="14"/>
      <c r="AA841" s="21"/>
      <c r="AB841" s="14"/>
      <c r="AC841" s="21"/>
      <c r="AD841" s="21"/>
      <c r="AE841" s="7"/>
      <c r="AF841" s="11" t="str">
        <f>IF(OR(AC841&lt;&gt;"Abierto",Z841=""),"",TODAY()-Z841)</f>
        <v/>
      </c>
      <c r="AG841" s="11" t="str">
        <f>IF(AC841&lt;&gt;"Abierto","",IF(AB841="","Sin siguiente acción",IF(AB841&lt;TODAY(),"Vencido",IF(AB841=TODAY(),"Hoy","En tiempo"))))</f>
        <v/>
      </c>
      <c r="AH841" s="11" t="str">
        <f>IF(OR(B841="",V841=""),"",V841-B841)</f>
        <v/>
      </c>
      <c r="AI841" s="16" t="str">
        <f>IF(P841="","",P841-WEEKDAY(P841,3))</f>
        <v/>
      </c>
      <c r="AJ841" s="23" t="str">
        <f>IF(P841="","",DATE(YEAR(P841),MONTH(P841),1))</f>
        <v/>
      </c>
    </row>
    <row r="842">
      <c r="A842" s="21"/>
      <c r="B842" s="14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14"/>
      <c r="Q842" s="21"/>
      <c r="R842" s="21"/>
      <c r="S842" s="21"/>
      <c r="T842" s="21"/>
      <c r="U842" s="21"/>
      <c r="V842" s="14"/>
      <c r="W842" s="22"/>
      <c r="X842" s="14"/>
      <c r="Y842" s="11" t="str">
        <f>IF(V842="","",IF(X842&lt;&gt;"",IF(X842-V842&lt;30,"No","Sí"),IF(TODAY()-V842&gt;=30,"Sí","En curso")))</f>
        <v/>
      </c>
      <c r="Z842" s="14"/>
      <c r="AA842" s="21"/>
      <c r="AB842" s="14"/>
      <c r="AC842" s="21"/>
      <c r="AD842" s="21"/>
      <c r="AE842" s="7"/>
      <c r="AF842" s="11" t="str">
        <f>IF(OR(AC842&lt;&gt;"Abierto",Z842=""),"",TODAY()-Z842)</f>
        <v/>
      </c>
      <c r="AG842" s="11" t="str">
        <f>IF(AC842&lt;&gt;"Abierto","",IF(AB842="","Sin siguiente acción",IF(AB842&lt;TODAY(),"Vencido",IF(AB842=TODAY(),"Hoy","En tiempo"))))</f>
        <v/>
      </c>
      <c r="AH842" s="11" t="str">
        <f>IF(OR(B842="",V842=""),"",V842-B842)</f>
        <v/>
      </c>
      <c r="AI842" s="16" t="str">
        <f>IF(P842="","",P842-WEEKDAY(P842,3))</f>
        <v/>
      </c>
      <c r="AJ842" s="23" t="str">
        <f>IF(P842="","",DATE(YEAR(P842),MONTH(P842),1))</f>
        <v/>
      </c>
    </row>
    <row r="843">
      <c r="A843" s="21"/>
      <c r="B843" s="14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14"/>
      <c r="Q843" s="21"/>
      <c r="R843" s="21"/>
      <c r="S843" s="21"/>
      <c r="T843" s="21"/>
      <c r="U843" s="21"/>
      <c r="V843" s="14"/>
      <c r="W843" s="22"/>
      <c r="X843" s="14"/>
      <c r="Y843" s="11" t="str">
        <f>IF(V843="","",IF(X843&lt;&gt;"",IF(X843-V843&lt;30,"No","Sí"),IF(TODAY()-V843&gt;=30,"Sí","En curso")))</f>
        <v/>
      </c>
      <c r="Z843" s="14"/>
      <c r="AA843" s="21"/>
      <c r="AB843" s="14"/>
      <c r="AC843" s="21"/>
      <c r="AD843" s="21"/>
      <c r="AE843" s="7"/>
      <c r="AF843" s="11" t="str">
        <f>IF(OR(AC843&lt;&gt;"Abierto",Z843=""),"",TODAY()-Z843)</f>
        <v/>
      </c>
      <c r="AG843" s="11" t="str">
        <f>IF(AC843&lt;&gt;"Abierto","",IF(AB843="","Sin siguiente acción",IF(AB843&lt;TODAY(),"Vencido",IF(AB843=TODAY(),"Hoy","En tiempo"))))</f>
        <v/>
      </c>
      <c r="AH843" s="11" t="str">
        <f>IF(OR(B843="",V843=""),"",V843-B843)</f>
        <v/>
      </c>
      <c r="AI843" s="16" t="str">
        <f>IF(P843="","",P843-WEEKDAY(P843,3))</f>
        <v/>
      </c>
      <c r="AJ843" s="23" t="str">
        <f>IF(P843="","",DATE(YEAR(P843),MONTH(P843),1))</f>
        <v/>
      </c>
    </row>
    <row r="844">
      <c r="A844" s="21"/>
      <c r="B844" s="14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14"/>
      <c r="Q844" s="21"/>
      <c r="R844" s="21"/>
      <c r="S844" s="21"/>
      <c r="T844" s="21"/>
      <c r="U844" s="21"/>
      <c r="V844" s="14"/>
      <c r="W844" s="22"/>
      <c r="X844" s="14"/>
      <c r="Y844" s="11" t="str">
        <f>IF(V844="","",IF(X844&lt;&gt;"",IF(X844-V844&lt;30,"No","Sí"),IF(TODAY()-V844&gt;=30,"Sí","En curso")))</f>
        <v/>
      </c>
      <c r="Z844" s="14"/>
      <c r="AA844" s="21"/>
      <c r="AB844" s="14"/>
      <c r="AC844" s="21"/>
      <c r="AD844" s="21"/>
      <c r="AE844" s="7"/>
      <c r="AF844" s="11" t="str">
        <f>IF(OR(AC844&lt;&gt;"Abierto",Z844=""),"",TODAY()-Z844)</f>
        <v/>
      </c>
      <c r="AG844" s="11" t="str">
        <f>IF(AC844&lt;&gt;"Abierto","",IF(AB844="","Sin siguiente acción",IF(AB844&lt;TODAY(),"Vencido",IF(AB844=TODAY(),"Hoy","En tiempo"))))</f>
        <v/>
      </c>
      <c r="AH844" s="11" t="str">
        <f>IF(OR(B844="",V844=""),"",V844-B844)</f>
        <v/>
      </c>
      <c r="AI844" s="16" t="str">
        <f>IF(P844="","",P844-WEEKDAY(P844,3))</f>
        <v/>
      </c>
      <c r="AJ844" s="23" t="str">
        <f>IF(P844="","",DATE(YEAR(P844),MONTH(P844),1))</f>
        <v/>
      </c>
    </row>
    <row r="845">
      <c r="A845" s="21"/>
      <c r="B845" s="14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14"/>
      <c r="Q845" s="21"/>
      <c r="R845" s="21"/>
      <c r="S845" s="21"/>
      <c r="T845" s="21"/>
      <c r="U845" s="21"/>
      <c r="V845" s="14"/>
      <c r="W845" s="22"/>
      <c r="X845" s="14"/>
      <c r="Y845" s="11" t="str">
        <f>IF(V845="","",IF(X845&lt;&gt;"",IF(X845-V845&lt;30,"No","Sí"),IF(TODAY()-V845&gt;=30,"Sí","En curso")))</f>
        <v/>
      </c>
      <c r="Z845" s="14"/>
      <c r="AA845" s="21"/>
      <c r="AB845" s="14"/>
      <c r="AC845" s="21"/>
      <c r="AD845" s="21"/>
      <c r="AE845" s="7"/>
      <c r="AF845" s="11" t="str">
        <f>IF(OR(AC845&lt;&gt;"Abierto",Z845=""),"",TODAY()-Z845)</f>
        <v/>
      </c>
      <c r="AG845" s="11" t="str">
        <f>IF(AC845&lt;&gt;"Abierto","",IF(AB845="","Sin siguiente acción",IF(AB845&lt;TODAY(),"Vencido",IF(AB845=TODAY(),"Hoy","En tiempo"))))</f>
        <v/>
      </c>
      <c r="AH845" s="11" t="str">
        <f>IF(OR(B845="",V845=""),"",V845-B845)</f>
        <v/>
      </c>
      <c r="AI845" s="16" t="str">
        <f>IF(P845="","",P845-WEEKDAY(P845,3))</f>
        <v/>
      </c>
      <c r="AJ845" s="23" t="str">
        <f>IF(P845="","",DATE(YEAR(P845),MONTH(P845),1))</f>
        <v/>
      </c>
    </row>
    <row r="846">
      <c r="A846" s="21"/>
      <c r="B846" s="14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14"/>
      <c r="Q846" s="21"/>
      <c r="R846" s="21"/>
      <c r="S846" s="21"/>
      <c r="T846" s="21"/>
      <c r="U846" s="21"/>
      <c r="V846" s="14"/>
      <c r="W846" s="22"/>
      <c r="X846" s="14"/>
      <c r="Y846" s="11" t="str">
        <f>IF(V846="","",IF(X846&lt;&gt;"",IF(X846-V846&lt;30,"No","Sí"),IF(TODAY()-V846&gt;=30,"Sí","En curso")))</f>
        <v/>
      </c>
      <c r="Z846" s="14"/>
      <c r="AA846" s="21"/>
      <c r="AB846" s="14"/>
      <c r="AC846" s="21"/>
      <c r="AD846" s="21"/>
      <c r="AE846" s="7"/>
      <c r="AF846" s="11" t="str">
        <f>IF(OR(AC846&lt;&gt;"Abierto",Z846=""),"",TODAY()-Z846)</f>
        <v/>
      </c>
      <c r="AG846" s="11" t="str">
        <f>IF(AC846&lt;&gt;"Abierto","",IF(AB846="","Sin siguiente acción",IF(AB846&lt;TODAY(),"Vencido",IF(AB846=TODAY(),"Hoy","En tiempo"))))</f>
        <v/>
      </c>
      <c r="AH846" s="11" t="str">
        <f>IF(OR(B846="",V846=""),"",V846-B846)</f>
        <v/>
      </c>
      <c r="AI846" s="16" t="str">
        <f>IF(P846="","",P846-WEEKDAY(P846,3))</f>
        <v/>
      </c>
      <c r="AJ846" s="23" t="str">
        <f>IF(P846="","",DATE(YEAR(P846),MONTH(P846),1))</f>
        <v/>
      </c>
    </row>
    <row r="847">
      <c r="A847" s="21"/>
      <c r="B847" s="14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14"/>
      <c r="Q847" s="21"/>
      <c r="R847" s="21"/>
      <c r="S847" s="21"/>
      <c r="T847" s="21"/>
      <c r="U847" s="21"/>
      <c r="V847" s="14"/>
      <c r="W847" s="22"/>
      <c r="X847" s="14"/>
      <c r="Y847" s="11" t="str">
        <f>IF(V847="","",IF(X847&lt;&gt;"",IF(X847-V847&lt;30,"No","Sí"),IF(TODAY()-V847&gt;=30,"Sí","En curso")))</f>
        <v/>
      </c>
      <c r="Z847" s="14"/>
      <c r="AA847" s="21"/>
      <c r="AB847" s="14"/>
      <c r="AC847" s="21"/>
      <c r="AD847" s="21"/>
      <c r="AE847" s="7"/>
      <c r="AF847" s="11" t="str">
        <f>IF(OR(AC847&lt;&gt;"Abierto",Z847=""),"",TODAY()-Z847)</f>
        <v/>
      </c>
      <c r="AG847" s="11" t="str">
        <f>IF(AC847&lt;&gt;"Abierto","",IF(AB847="","Sin siguiente acción",IF(AB847&lt;TODAY(),"Vencido",IF(AB847=TODAY(),"Hoy","En tiempo"))))</f>
        <v/>
      </c>
      <c r="AH847" s="11" t="str">
        <f>IF(OR(B847="",V847=""),"",V847-B847)</f>
        <v/>
      </c>
      <c r="AI847" s="16" t="str">
        <f>IF(P847="","",P847-WEEKDAY(P847,3))</f>
        <v/>
      </c>
      <c r="AJ847" s="23" t="str">
        <f>IF(P847="","",DATE(YEAR(P847),MONTH(P847),1))</f>
        <v/>
      </c>
    </row>
    <row r="848">
      <c r="A848" s="21"/>
      <c r="B848" s="14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14"/>
      <c r="Q848" s="21"/>
      <c r="R848" s="21"/>
      <c r="S848" s="21"/>
      <c r="T848" s="21"/>
      <c r="U848" s="21"/>
      <c r="V848" s="14"/>
      <c r="W848" s="22"/>
      <c r="X848" s="14"/>
      <c r="Y848" s="11" t="str">
        <f>IF(V848="","",IF(X848&lt;&gt;"",IF(X848-V848&lt;30,"No","Sí"),IF(TODAY()-V848&gt;=30,"Sí","En curso")))</f>
        <v/>
      </c>
      <c r="Z848" s="14"/>
      <c r="AA848" s="21"/>
      <c r="AB848" s="14"/>
      <c r="AC848" s="21"/>
      <c r="AD848" s="21"/>
      <c r="AE848" s="7"/>
      <c r="AF848" s="11" t="str">
        <f>IF(OR(AC848&lt;&gt;"Abierto",Z848=""),"",TODAY()-Z848)</f>
        <v/>
      </c>
      <c r="AG848" s="11" t="str">
        <f>IF(AC848&lt;&gt;"Abierto","",IF(AB848="","Sin siguiente acción",IF(AB848&lt;TODAY(),"Vencido",IF(AB848=TODAY(),"Hoy","En tiempo"))))</f>
        <v/>
      </c>
      <c r="AH848" s="11" t="str">
        <f>IF(OR(B848="",V848=""),"",V848-B848)</f>
        <v/>
      </c>
      <c r="AI848" s="16" t="str">
        <f>IF(P848="","",P848-WEEKDAY(P848,3))</f>
        <v/>
      </c>
      <c r="AJ848" s="23" t="str">
        <f>IF(P848="","",DATE(YEAR(P848),MONTH(P848),1))</f>
        <v/>
      </c>
    </row>
    <row r="849">
      <c r="A849" s="21"/>
      <c r="B849" s="14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14"/>
      <c r="Q849" s="21"/>
      <c r="R849" s="21"/>
      <c r="S849" s="21"/>
      <c r="T849" s="21"/>
      <c r="U849" s="21"/>
      <c r="V849" s="14"/>
      <c r="W849" s="22"/>
      <c r="X849" s="14"/>
      <c r="Y849" s="11" t="str">
        <f>IF(V849="","",IF(X849&lt;&gt;"",IF(X849-V849&lt;30,"No","Sí"),IF(TODAY()-V849&gt;=30,"Sí","En curso")))</f>
        <v/>
      </c>
      <c r="Z849" s="14"/>
      <c r="AA849" s="21"/>
      <c r="AB849" s="14"/>
      <c r="AC849" s="21"/>
      <c r="AD849" s="21"/>
      <c r="AE849" s="7"/>
      <c r="AF849" s="11" t="str">
        <f>IF(OR(AC849&lt;&gt;"Abierto",Z849=""),"",TODAY()-Z849)</f>
        <v/>
      </c>
      <c r="AG849" s="11" t="str">
        <f>IF(AC849&lt;&gt;"Abierto","",IF(AB849="","Sin siguiente acción",IF(AB849&lt;TODAY(),"Vencido",IF(AB849=TODAY(),"Hoy","En tiempo"))))</f>
        <v/>
      </c>
      <c r="AH849" s="11" t="str">
        <f>IF(OR(B849="",V849=""),"",V849-B849)</f>
        <v/>
      </c>
      <c r="AI849" s="16" t="str">
        <f>IF(P849="","",P849-WEEKDAY(P849,3))</f>
        <v/>
      </c>
      <c r="AJ849" s="23" t="str">
        <f>IF(P849="","",DATE(YEAR(P849),MONTH(P849),1))</f>
        <v/>
      </c>
    </row>
    <row r="850">
      <c r="A850" s="21"/>
      <c r="B850" s="14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14"/>
      <c r="Q850" s="21"/>
      <c r="R850" s="21"/>
      <c r="S850" s="21"/>
      <c r="T850" s="21"/>
      <c r="U850" s="21"/>
      <c r="V850" s="14"/>
      <c r="W850" s="22"/>
      <c r="X850" s="14"/>
      <c r="Y850" s="11" t="str">
        <f>IF(V850="","",IF(X850&lt;&gt;"",IF(X850-V850&lt;30,"No","Sí"),IF(TODAY()-V850&gt;=30,"Sí","En curso")))</f>
        <v/>
      </c>
      <c r="Z850" s="14"/>
      <c r="AA850" s="21"/>
      <c r="AB850" s="14"/>
      <c r="AC850" s="21"/>
      <c r="AD850" s="21"/>
      <c r="AE850" s="7"/>
      <c r="AF850" s="11" t="str">
        <f>IF(OR(AC850&lt;&gt;"Abierto",Z850=""),"",TODAY()-Z850)</f>
        <v/>
      </c>
      <c r="AG850" s="11" t="str">
        <f>IF(AC850&lt;&gt;"Abierto","",IF(AB850="","Sin siguiente acción",IF(AB850&lt;TODAY(),"Vencido",IF(AB850=TODAY(),"Hoy","En tiempo"))))</f>
        <v/>
      </c>
      <c r="AH850" s="11" t="str">
        <f>IF(OR(B850="",V850=""),"",V850-B850)</f>
        <v/>
      </c>
      <c r="AI850" s="16" t="str">
        <f>IF(P850="","",P850-WEEKDAY(P850,3))</f>
        <v/>
      </c>
      <c r="AJ850" s="23" t="str">
        <f>IF(P850="","",DATE(YEAR(P850),MONTH(P850),1))</f>
        <v/>
      </c>
    </row>
    <row r="851">
      <c r="A851" s="21"/>
      <c r="B851" s="14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14"/>
      <c r="Q851" s="21"/>
      <c r="R851" s="21"/>
      <c r="S851" s="21"/>
      <c r="T851" s="21"/>
      <c r="U851" s="21"/>
      <c r="V851" s="14"/>
      <c r="W851" s="22"/>
      <c r="X851" s="14"/>
      <c r="Y851" s="11" t="str">
        <f>IF(V851="","",IF(X851&lt;&gt;"",IF(X851-V851&lt;30,"No","Sí"),IF(TODAY()-V851&gt;=30,"Sí","En curso")))</f>
        <v/>
      </c>
      <c r="Z851" s="14"/>
      <c r="AA851" s="21"/>
      <c r="AB851" s="14"/>
      <c r="AC851" s="21"/>
      <c r="AD851" s="21"/>
      <c r="AE851" s="7"/>
      <c r="AF851" s="11" t="str">
        <f>IF(OR(AC851&lt;&gt;"Abierto",Z851=""),"",TODAY()-Z851)</f>
        <v/>
      </c>
      <c r="AG851" s="11" t="str">
        <f>IF(AC851&lt;&gt;"Abierto","",IF(AB851="","Sin siguiente acción",IF(AB851&lt;TODAY(),"Vencido",IF(AB851=TODAY(),"Hoy","En tiempo"))))</f>
        <v/>
      </c>
      <c r="AH851" s="11" t="str">
        <f>IF(OR(B851="",V851=""),"",V851-B851)</f>
        <v/>
      </c>
      <c r="AI851" s="16" t="str">
        <f>IF(P851="","",P851-WEEKDAY(P851,3))</f>
        <v/>
      </c>
      <c r="AJ851" s="23" t="str">
        <f>IF(P851="","",DATE(YEAR(P851),MONTH(P851),1))</f>
        <v/>
      </c>
    </row>
    <row r="852">
      <c r="A852" s="21"/>
      <c r="B852" s="14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14"/>
      <c r="Q852" s="21"/>
      <c r="R852" s="21"/>
      <c r="S852" s="21"/>
      <c r="T852" s="21"/>
      <c r="U852" s="21"/>
      <c r="V852" s="14"/>
      <c r="W852" s="22"/>
      <c r="X852" s="14"/>
      <c r="Y852" s="11" t="str">
        <f>IF(V852="","",IF(X852&lt;&gt;"",IF(X852-V852&lt;30,"No","Sí"),IF(TODAY()-V852&gt;=30,"Sí","En curso")))</f>
        <v/>
      </c>
      <c r="Z852" s="14"/>
      <c r="AA852" s="21"/>
      <c r="AB852" s="14"/>
      <c r="AC852" s="21"/>
      <c r="AD852" s="21"/>
      <c r="AE852" s="7"/>
      <c r="AF852" s="11" t="str">
        <f>IF(OR(AC852&lt;&gt;"Abierto",Z852=""),"",TODAY()-Z852)</f>
        <v/>
      </c>
      <c r="AG852" s="11" t="str">
        <f>IF(AC852&lt;&gt;"Abierto","",IF(AB852="","Sin siguiente acción",IF(AB852&lt;TODAY(),"Vencido",IF(AB852=TODAY(),"Hoy","En tiempo"))))</f>
        <v/>
      </c>
      <c r="AH852" s="11" t="str">
        <f>IF(OR(B852="",V852=""),"",V852-B852)</f>
        <v/>
      </c>
      <c r="AI852" s="16" t="str">
        <f>IF(P852="","",P852-WEEKDAY(P852,3))</f>
        <v/>
      </c>
      <c r="AJ852" s="23" t="str">
        <f>IF(P852="","",DATE(YEAR(P852),MONTH(P852),1))</f>
        <v/>
      </c>
    </row>
    <row r="853">
      <c r="A853" s="21"/>
      <c r="B853" s="14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14"/>
      <c r="Q853" s="21"/>
      <c r="R853" s="21"/>
      <c r="S853" s="21"/>
      <c r="T853" s="21"/>
      <c r="U853" s="21"/>
      <c r="V853" s="14"/>
      <c r="W853" s="22"/>
      <c r="X853" s="14"/>
      <c r="Y853" s="11" t="str">
        <f>IF(V853="","",IF(X853&lt;&gt;"",IF(X853-V853&lt;30,"No","Sí"),IF(TODAY()-V853&gt;=30,"Sí","En curso")))</f>
        <v/>
      </c>
      <c r="Z853" s="14"/>
      <c r="AA853" s="21"/>
      <c r="AB853" s="14"/>
      <c r="AC853" s="21"/>
      <c r="AD853" s="21"/>
      <c r="AE853" s="7"/>
      <c r="AF853" s="11" t="str">
        <f>IF(OR(AC853&lt;&gt;"Abierto",Z853=""),"",TODAY()-Z853)</f>
        <v/>
      </c>
      <c r="AG853" s="11" t="str">
        <f>IF(AC853&lt;&gt;"Abierto","",IF(AB853="","Sin siguiente acción",IF(AB853&lt;TODAY(),"Vencido",IF(AB853=TODAY(),"Hoy","En tiempo"))))</f>
        <v/>
      </c>
      <c r="AH853" s="11" t="str">
        <f>IF(OR(B853="",V853=""),"",V853-B853)</f>
        <v/>
      </c>
      <c r="AI853" s="16" t="str">
        <f>IF(P853="","",P853-WEEKDAY(P853,3))</f>
        <v/>
      </c>
      <c r="AJ853" s="23" t="str">
        <f>IF(P853="","",DATE(YEAR(P853),MONTH(P853),1))</f>
        <v/>
      </c>
    </row>
    <row r="854">
      <c r="A854" s="21"/>
      <c r="B854" s="14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14"/>
      <c r="Q854" s="21"/>
      <c r="R854" s="21"/>
      <c r="S854" s="21"/>
      <c r="T854" s="21"/>
      <c r="U854" s="21"/>
      <c r="V854" s="14"/>
      <c r="W854" s="22"/>
      <c r="X854" s="14"/>
      <c r="Y854" s="11" t="str">
        <f>IF(V854="","",IF(X854&lt;&gt;"",IF(X854-V854&lt;30,"No","Sí"),IF(TODAY()-V854&gt;=30,"Sí","En curso")))</f>
        <v/>
      </c>
      <c r="Z854" s="14"/>
      <c r="AA854" s="21"/>
      <c r="AB854" s="14"/>
      <c r="AC854" s="21"/>
      <c r="AD854" s="21"/>
      <c r="AE854" s="7"/>
      <c r="AF854" s="11" t="str">
        <f>IF(OR(AC854&lt;&gt;"Abierto",Z854=""),"",TODAY()-Z854)</f>
        <v/>
      </c>
      <c r="AG854" s="11" t="str">
        <f>IF(AC854&lt;&gt;"Abierto","",IF(AB854="","Sin siguiente acción",IF(AB854&lt;TODAY(),"Vencido",IF(AB854=TODAY(),"Hoy","En tiempo"))))</f>
        <v/>
      </c>
      <c r="AH854" s="11" t="str">
        <f>IF(OR(B854="",V854=""),"",V854-B854)</f>
        <v/>
      </c>
      <c r="AI854" s="16" t="str">
        <f>IF(P854="","",P854-WEEKDAY(P854,3))</f>
        <v/>
      </c>
      <c r="AJ854" s="23" t="str">
        <f>IF(P854="","",DATE(YEAR(P854),MONTH(P854),1))</f>
        <v/>
      </c>
    </row>
    <row r="855">
      <c r="A855" s="21"/>
      <c r="B855" s="14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14"/>
      <c r="Q855" s="21"/>
      <c r="R855" s="21"/>
      <c r="S855" s="21"/>
      <c r="T855" s="21"/>
      <c r="U855" s="21"/>
      <c r="V855" s="14"/>
      <c r="W855" s="22"/>
      <c r="X855" s="14"/>
      <c r="Y855" s="11" t="str">
        <f>IF(V855="","",IF(X855&lt;&gt;"",IF(X855-V855&lt;30,"No","Sí"),IF(TODAY()-V855&gt;=30,"Sí","En curso")))</f>
        <v/>
      </c>
      <c r="Z855" s="14"/>
      <c r="AA855" s="21"/>
      <c r="AB855" s="14"/>
      <c r="AC855" s="21"/>
      <c r="AD855" s="21"/>
      <c r="AE855" s="7"/>
      <c r="AF855" s="11" t="str">
        <f>IF(OR(AC855&lt;&gt;"Abierto",Z855=""),"",TODAY()-Z855)</f>
        <v/>
      </c>
      <c r="AG855" s="11" t="str">
        <f>IF(AC855&lt;&gt;"Abierto","",IF(AB855="","Sin siguiente acción",IF(AB855&lt;TODAY(),"Vencido",IF(AB855=TODAY(),"Hoy","En tiempo"))))</f>
        <v/>
      </c>
      <c r="AH855" s="11" t="str">
        <f>IF(OR(B855="",V855=""),"",V855-B855)</f>
        <v/>
      </c>
      <c r="AI855" s="16" t="str">
        <f>IF(P855="","",P855-WEEKDAY(P855,3))</f>
        <v/>
      </c>
      <c r="AJ855" s="23" t="str">
        <f>IF(P855="","",DATE(YEAR(P855),MONTH(P855),1))</f>
        <v/>
      </c>
    </row>
    <row r="856">
      <c r="A856" s="21"/>
      <c r="B856" s="14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14"/>
      <c r="Q856" s="21"/>
      <c r="R856" s="21"/>
      <c r="S856" s="21"/>
      <c r="T856" s="21"/>
      <c r="U856" s="21"/>
      <c r="V856" s="14"/>
      <c r="W856" s="22"/>
      <c r="X856" s="14"/>
      <c r="Y856" s="11" t="str">
        <f>IF(V856="","",IF(X856&lt;&gt;"",IF(X856-V856&lt;30,"No","Sí"),IF(TODAY()-V856&gt;=30,"Sí","En curso")))</f>
        <v/>
      </c>
      <c r="Z856" s="14"/>
      <c r="AA856" s="21"/>
      <c r="AB856" s="14"/>
      <c r="AC856" s="21"/>
      <c r="AD856" s="21"/>
      <c r="AE856" s="7"/>
      <c r="AF856" s="11" t="str">
        <f>IF(OR(AC856&lt;&gt;"Abierto",Z856=""),"",TODAY()-Z856)</f>
        <v/>
      </c>
      <c r="AG856" s="11" t="str">
        <f>IF(AC856&lt;&gt;"Abierto","",IF(AB856="","Sin siguiente acción",IF(AB856&lt;TODAY(),"Vencido",IF(AB856=TODAY(),"Hoy","En tiempo"))))</f>
        <v/>
      </c>
      <c r="AH856" s="11" t="str">
        <f>IF(OR(B856="",V856=""),"",V856-B856)</f>
        <v/>
      </c>
      <c r="AI856" s="16" t="str">
        <f>IF(P856="","",P856-WEEKDAY(P856,3))</f>
        <v/>
      </c>
      <c r="AJ856" s="23" t="str">
        <f>IF(P856="","",DATE(YEAR(P856),MONTH(P856),1))</f>
        <v/>
      </c>
    </row>
    <row r="857">
      <c r="A857" s="21"/>
      <c r="B857" s="14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14"/>
      <c r="Q857" s="21"/>
      <c r="R857" s="21"/>
      <c r="S857" s="21"/>
      <c r="T857" s="21"/>
      <c r="U857" s="21"/>
      <c r="V857" s="14"/>
      <c r="W857" s="22"/>
      <c r="X857" s="14"/>
      <c r="Y857" s="11" t="str">
        <f>IF(V857="","",IF(X857&lt;&gt;"",IF(X857-V857&lt;30,"No","Sí"),IF(TODAY()-V857&gt;=30,"Sí","En curso")))</f>
        <v/>
      </c>
      <c r="Z857" s="14"/>
      <c r="AA857" s="21"/>
      <c r="AB857" s="14"/>
      <c r="AC857" s="21"/>
      <c r="AD857" s="21"/>
      <c r="AE857" s="7"/>
      <c r="AF857" s="11" t="str">
        <f>IF(OR(AC857&lt;&gt;"Abierto",Z857=""),"",TODAY()-Z857)</f>
        <v/>
      </c>
      <c r="AG857" s="11" t="str">
        <f>IF(AC857&lt;&gt;"Abierto","",IF(AB857="","Sin siguiente acción",IF(AB857&lt;TODAY(),"Vencido",IF(AB857=TODAY(),"Hoy","En tiempo"))))</f>
        <v/>
      </c>
      <c r="AH857" s="11" t="str">
        <f>IF(OR(B857="",V857=""),"",V857-B857)</f>
        <v/>
      </c>
      <c r="AI857" s="16" t="str">
        <f>IF(P857="","",P857-WEEKDAY(P857,3))</f>
        <v/>
      </c>
      <c r="AJ857" s="23" t="str">
        <f>IF(P857="","",DATE(YEAR(P857),MONTH(P857),1))</f>
        <v/>
      </c>
    </row>
    <row r="858">
      <c r="A858" s="21"/>
      <c r="B858" s="14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14"/>
      <c r="Q858" s="21"/>
      <c r="R858" s="21"/>
      <c r="S858" s="21"/>
      <c r="T858" s="21"/>
      <c r="U858" s="21"/>
      <c r="V858" s="14"/>
      <c r="W858" s="22"/>
      <c r="X858" s="14"/>
      <c r="Y858" s="11" t="str">
        <f>IF(V858="","",IF(X858&lt;&gt;"",IF(X858-V858&lt;30,"No","Sí"),IF(TODAY()-V858&gt;=30,"Sí","En curso")))</f>
        <v/>
      </c>
      <c r="Z858" s="14"/>
      <c r="AA858" s="21"/>
      <c r="AB858" s="14"/>
      <c r="AC858" s="21"/>
      <c r="AD858" s="21"/>
      <c r="AE858" s="7"/>
      <c r="AF858" s="11" t="str">
        <f>IF(OR(AC858&lt;&gt;"Abierto",Z858=""),"",TODAY()-Z858)</f>
        <v/>
      </c>
      <c r="AG858" s="11" t="str">
        <f>IF(AC858&lt;&gt;"Abierto","",IF(AB858="","Sin siguiente acción",IF(AB858&lt;TODAY(),"Vencido",IF(AB858=TODAY(),"Hoy","En tiempo"))))</f>
        <v/>
      </c>
      <c r="AH858" s="11" t="str">
        <f>IF(OR(B858="",V858=""),"",V858-B858)</f>
        <v/>
      </c>
      <c r="AI858" s="16" t="str">
        <f>IF(P858="","",P858-WEEKDAY(P858,3))</f>
        <v/>
      </c>
      <c r="AJ858" s="23" t="str">
        <f>IF(P858="","",DATE(YEAR(P858),MONTH(P858),1))</f>
        <v/>
      </c>
    </row>
    <row r="859">
      <c r="A859" s="21"/>
      <c r="B859" s="14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14"/>
      <c r="Q859" s="21"/>
      <c r="R859" s="21"/>
      <c r="S859" s="21"/>
      <c r="T859" s="21"/>
      <c r="U859" s="21"/>
      <c r="V859" s="14"/>
      <c r="W859" s="22"/>
      <c r="X859" s="14"/>
      <c r="Y859" s="11" t="str">
        <f>IF(V859="","",IF(X859&lt;&gt;"",IF(X859-V859&lt;30,"No","Sí"),IF(TODAY()-V859&gt;=30,"Sí","En curso")))</f>
        <v/>
      </c>
      <c r="Z859" s="14"/>
      <c r="AA859" s="21"/>
      <c r="AB859" s="14"/>
      <c r="AC859" s="21"/>
      <c r="AD859" s="21"/>
      <c r="AE859" s="7"/>
      <c r="AF859" s="11" t="str">
        <f>IF(OR(AC859&lt;&gt;"Abierto",Z859=""),"",TODAY()-Z859)</f>
        <v/>
      </c>
      <c r="AG859" s="11" t="str">
        <f>IF(AC859&lt;&gt;"Abierto","",IF(AB859="","Sin siguiente acción",IF(AB859&lt;TODAY(),"Vencido",IF(AB859=TODAY(),"Hoy","En tiempo"))))</f>
        <v/>
      </c>
      <c r="AH859" s="11" t="str">
        <f>IF(OR(B859="",V859=""),"",V859-B859)</f>
        <v/>
      </c>
      <c r="AI859" s="16" t="str">
        <f>IF(P859="","",P859-WEEKDAY(P859,3))</f>
        <v/>
      </c>
      <c r="AJ859" s="23" t="str">
        <f>IF(P859="","",DATE(YEAR(P859),MONTH(P859),1))</f>
        <v/>
      </c>
    </row>
    <row r="860">
      <c r="A860" s="21"/>
      <c r="B860" s="14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14"/>
      <c r="Q860" s="21"/>
      <c r="R860" s="21"/>
      <c r="S860" s="21"/>
      <c r="T860" s="21"/>
      <c r="U860" s="21"/>
      <c r="V860" s="14"/>
      <c r="W860" s="22"/>
      <c r="X860" s="14"/>
      <c r="Y860" s="11" t="str">
        <f>IF(V860="","",IF(X860&lt;&gt;"",IF(X860-V860&lt;30,"No","Sí"),IF(TODAY()-V860&gt;=30,"Sí","En curso")))</f>
        <v/>
      </c>
      <c r="Z860" s="14"/>
      <c r="AA860" s="21"/>
      <c r="AB860" s="14"/>
      <c r="AC860" s="21"/>
      <c r="AD860" s="21"/>
      <c r="AE860" s="7"/>
      <c r="AF860" s="11" t="str">
        <f>IF(OR(AC860&lt;&gt;"Abierto",Z860=""),"",TODAY()-Z860)</f>
        <v/>
      </c>
      <c r="AG860" s="11" t="str">
        <f>IF(AC860&lt;&gt;"Abierto","",IF(AB860="","Sin siguiente acción",IF(AB860&lt;TODAY(),"Vencido",IF(AB860=TODAY(),"Hoy","En tiempo"))))</f>
        <v/>
      </c>
      <c r="AH860" s="11" t="str">
        <f>IF(OR(B860="",V860=""),"",V860-B860)</f>
        <v/>
      </c>
      <c r="AI860" s="16" t="str">
        <f>IF(P860="","",P860-WEEKDAY(P860,3))</f>
        <v/>
      </c>
      <c r="AJ860" s="23" t="str">
        <f>IF(P860="","",DATE(YEAR(P860),MONTH(P860),1))</f>
        <v/>
      </c>
    </row>
    <row r="861">
      <c r="A861" s="21"/>
      <c r="B861" s="14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14"/>
      <c r="Q861" s="21"/>
      <c r="R861" s="21"/>
      <c r="S861" s="21"/>
      <c r="T861" s="21"/>
      <c r="U861" s="21"/>
      <c r="V861" s="14"/>
      <c r="W861" s="22"/>
      <c r="X861" s="14"/>
      <c r="Y861" s="11" t="str">
        <f>IF(V861="","",IF(X861&lt;&gt;"",IF(X861-V861&lt;30,"No","Sí"),IF(TODAY()-V861&gt;=30,"Sí","En curso")))</f>
        <v/>
      </c>
      <c r="Z861" s="14"/>
      <c r="AA861" s="21"/>
      <c r="AB861" s="14"/>
      <c r="AC861" s="21"/>
      <c r="AD861" s="21"/>
      <c r="AE861" s="7"/>
      <c r="AF861" s="11" t="str">
        <f>IF(OR(AC861&lt;&gt;"Abierto",Z861=""),"",TODAY()-Z861)</f>
        <v/>
      </c>
      <c r="AG861" s="11" t="str">
        <f>IF(AC861&lt;&gt;"Abierto","",IF(AB861="","Sin siguiente acción",IF(AB861&lt;TODAY(),"Vencido",IF(AB861=TODAY(),"Hoy","En tiempo"))))</f>
        <v/>
      </c>
      <c r="AH861" s="11" t="str">
        <f>IF(OR(B861="",V861=""),"",V861-B861)</f>
        <v/>
      </c>
      <c r="AI861" s="16" t="str">
        <f>IF(P861="","",P861-WEEKDAY(P861,3))</f>
        <v/>
      </c>
      <c r="AJ861" s="23" t="str">
        <f>IF(P861="","",DATE(YEAR(P861),MONTH(P861),1))</f>
        <v/>
      </c>
    </row>
    <row r="862">
      <c r="A862" s="21"/>
      <c r="B862" s="14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14"/>
      <c r="Q862" s="21"/>
      <c r="R862" s="21"/>
      <c r="S862" s="21"/>
      <c r="T862" s="21"/>
      <c r="U862" s="21"/>
      <c r="V862" s="14"/>
      <c r="W862" s="22"/>
      <c r="X862" s="14"/>
      <c r="Y862" s="11" t="str">
        <f>IF(V862="","",IF(X862&lt;&gt;"",IF(X862-V862&lt;30,"No","Sí"),IF(TODAY()-V862&gt;=30,"Sí","En curso")))</f>
        <v/>
      </c>
      <c r="Z862" s="14"/>
      <c r="AA862" s="21"/>
      <c r="AB862" s="14"/>
      <c r="AC862" s="21"/>
      <c r="AD862" s="21"/>
      <c r="AE862" s="7"/>
      <c r="AF862" s="11" t="str">
        <f>IF(OR(AC862&lt;&gt;"Abierto",Z862=""),"",TODAY()-Z862)</f>
        <v/>
      </c>
      <c r="AG862" s="11" t="str">
        <f>IF(AC862&lt;&gt;"Abierto","",IF(AB862="","Sin siguiente acción",IF(AB862&lt;TODAY(),"Vencido",IF(AB862=TODAY(),"Hoy","En tiempo"))))</f>
        <v/>
      </c>
      <c r="AH862" s="11" t="str">
        <f>IF(OR(B862="",V862=""),"",V862-B862)</f>
        <v/>
      </c>
      <c r="AI862" s="16" t="str">
        <f>IF(P862="","",P862-WEEKDAY(P862,3))</f>
        <v/>
      </c>
      <c r="AJ862" s="23" t="str">
        <f>IF(P862="","",DATE(YEAR(P862),MONTH(P862),1))</f>
        <v/>
      </c>
    </row>
    <row r="863">
      <c r="A863" s="21"/>
      <c r="B863" s="14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14"/>
      <c r="Q863" s="21"/>
      <c r="R863" s="21"/>
      <c r="S863" s="21"/>
      <c r="T863" s="21"/>
      <c r="U863" s="21"/>
      <c r="V863" s="14"/>
      <c r="W863" s="22"/>
      <c r="X863" s="14"/>
      <c r="Y863" s="11" t="str">
        <f>IF(V863="","",IF(X863&lt;&gt;"",IF(X863-V863&lt;30,"No","Sí"),IF(TODAY()-V863&gt;=30,"Sí","En curso")))</f>
        <v/>
      </c>
      <c r="Z863" s="14"/>
      <c r="AA863" s="21"/>
      <c r="AB863" s="14"/>
      <c r="AC863" s="21"/>
      <c r="AD863" s="21"/>
      <c r="AE863" s="7"/>
      <c r="AF863" s="11" t="str">
        <f>IF(OR(AC863&lt;&gt;"Abierto",Z863=""),"",TODAY()-Z863)</f>
        <v/>
      </c>
      <c r="AG863" s="11" t="str">
        <f>IF(AC863&lt;&gt;"Abierto","",IF(AB863="","Sin siguiente acción",IF(AB863&lt;TODAY(),"Vencido",IF(AB863=TODAY(),"Hoy","En tiempo"))))</f>
        <v/>
      </c>
      <c r="AH863" s="11" t="str">
        <f>IF(OR(B863="",V863=""),"",V863-B863)</f>
        <v/>
      </c>
      <c r="AI863" s="16" t="str">
        <f>IF(P863="","",P863-WEEKDAY(P863,3))</f>
        <v/>
      </c>
      <c r="AJ863" s="23" t="str">
        <f>IF(P863="","",DATE(YEAR(P863),MONTH(P863),1))</f>
        <v/>
      </c>
    </row>
    <row r="864">
      <c r="A864" s="21"/>
      <c r="B864" s="14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14"/>
      <c r="Q864" s="21"/>
      <c r="R864" s="21"/>
      <c r="S864" s="21"/>
      <c r="T864" s="21"/>
      <c r="U864" s="21"/>
      <c r="V864" s="14"/>
      <c r="W864" s="22"/>
      <c r="X864" s="14"/>
      <c r="Y864" s="11" t="str">
        <f>IF(V864="","",IF(X864&lt;&gt;"",IF(X864-V864&lt;30,"No","Sí"),IF(TODAY()-V864&gt;=30,"Sí","En curso")))</f>
        <v/>
      </c>
      <c r="Z864" s="14"/>
      <c r="AA864" s="21"/>
      <c r="AB864" s="14"/>
      <c r="AC864" s="21"/>
      <c r="AD864" s="21"/>
      <c r="AE864" s="7"/>
      <c r="AF864" s="11" t="str">
        <f>IF(OR(AC864&lt;&gt;"Abierto",Z864=""),"",TODAY()-Z864)</f>
        <v/>
      </c>
      <c r="AG864" s="11" t="str">
        <f>IF(AC864&lt;&gt;"Abierto","",IF(AB864="","Sin siguiente acción",IF(AB864&lt;TODAY(),"Vencido",IF(AB864=TODAY(),"Hoy","En tiempo"))))</f>
        <v/>
      </c>
      <c r="AH864" s="11" t="str">
        <f>IF(OR(B864="",V864=""),"",V864-B864)</f>
        <v/>
      </c>
      <c r="AI864" s="16" t="str">
        <f>IF(P864="","",P864-WEEKDAY(P864,3))</f>
        <v/>
      </c>
      <c r="AJ864" s="23" t="str">
        <f>IF(P864="","",DATE(YEAR(P864),MONTH(P864),1))</f>
        <v/>
      </c>
    </row>
    <row r="865">
      <c r="A865" s="21"/>
      <c r="B865" s="14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14"/>
      <c r="Q865" s="21"/>
      <c r="R865" s="21"/>
      <c r="S865" s="21"/>
      <c r="T865" s="21"/>
      <c r="U865" s="21"/>
      <c r="V865" s="14"/>
      <c r="W865" s="22"/>
      <c r="X865" s="14"/>
      <c r="Y865" s="11" t="str">
        <f>IF(V865="","",IF(X865&lt;&gt;"",IF(X865-V865&lt;30,"No","Sí"),IF(TODAY()-V865&gt;=30,"Sí","En curso")))</f>
        <v/>
      </c>
      <c r="Z865" s="14"/>
      <c r="AA865" s="21"/>
      <c r="AB865" s="14"/>
      <c r="AC865" s="21"/>
      <c r="AD865" s="21"/>
      <c r="AE865" s="7"/>
      <c r="AF865" s="11" t="str">
        <f>IF(OR(AC865&lt;&gt;"Abierto",Z865=""),"",TODAY()-Z865)</f>
        <v/>
      </c>
      <c r="AG865" s="11" t="str">
        <f>IF(AC865&lt;&gt;"Abierto","",IF(AB865="","Sin siguiente acción",IF(AB865&lt;TODAY(),"Vencido",IF(AB865=TODAY(),"Hoy","En tiempo"))))</f>
        <v/>
      </c>
      <c r="AH865" s="11" t="str">
        <f>IF(OR(B865="",V865=""),"",V865-B865)</f>
        <v/>
      </c>
      <c r="AI865" s="16" t="str">
        <f>IF(P865="","",P865-WEEKDAY(P865,3))</f>
        <v/>
      </c>
      <c r="AJ865" s="23" t="str">
        <f>IF(P865="","",DATE(YEAR(P865),MONTH(P865),1))</f>
        <v/>
      </c>
    </row>
    <row r="866">
      <c r="A866" s="21"/>
      <c r="B866" s="14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14"/>
      <c r="Q866" s="21"/>
      <c r="R866" s="21"/>
      <c r="S866" s="21"/>
      <c r="T866" s="21"/>
      <c r="U866" s="21"/>
      <c r="V866" s="14"/>
      <c r="W866" s="22"/>
      <c r="X866" s="14"/>
      <c r="Y866" s="11" t="str">
        <f>IF(V866="","",IF(X866&lt;&gt;"",IF(X866-V866&lt;30,"No","Sí"),IF(TODAY()-V866&gt;=30,"Sí","En curso")))</f>
        <v/>
      </c>
      <c r="Z866" s="14"/>
      <c r="AA866" s="21"/>
      <c r="AB866" s="14"/>
      <c r="AC866" s="21"/>
      <c r="AD866" s="21"/>
      <c r="AE866" s="7"/>
      <c r="AF866" s="11" t="str">
        <f>IF(OR(AC866&lt;&gt;"Abierto",Z866=""),"",TODAY()-Z866)</f>
        <v/>
      </c>
      <c r="AG866" s="11" t="str">
        <f>IF(AC866&lt;&gt;"Abierto","",IF(AB866="","Sin siguiente acción",IF(AB866&lt;TODAY(),"Vencido",IF(AB866=TODAY(),"Hoy","En tiempo"))))</f>
        <v/>
      </c>
      <c r="AH866" s="11" t="str">
        <f>IF(OR(B866="",V866=""),"",V866-B866)</f>
        <v/>
      </c>
      <c r="AI866" s="16" t="str">
        <f>IF(P866="","",P866-WEEKDAY(P866,3))</f>
        <v/>
      </c>
      <c r="AJ866" s="23" t="str">
        <f>IF(P866="","",DATE(YEAR(P866),MONTH(P866),1))</f>
        <v/>
      </c>
    </row>
    <row r="867">
      <c r="A867" s="21"/>
      <c r="B867" s="14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14"/>
      <c r="Q867" s="21"/>
      <c r="R867" s="21"/>
      <c r="S867" s="21"/>
      <c r="T867" s="21"/>
      <c r="U867" s="21"/>
      <c r="V867" s="14"/>
      <c r="W867" s="22"/>
      <c r="X867" s="14"/>
      <c r="Y867" s="11" t="str">
        <f>IF(V867="","",IF(X867&lt;&gt;"",IF(X867-V867&lt;30,"No","Sí"),IF(TODAY()-V867&gt;=30,"Sí","En curso")))</f>
        <v/>
      </c>
      <c r="Z867" s="14"/>
      <c r="AA867" s="21"/>
      <c r="AB867" s="14"/>
      <c r="AC867" s="21"/>
      <c r="AD867" s="21"/>
      <c r="AE867" s="7"/>
      <c r="AF867" s="11" t="str">
        <f>IF(OR(AC867&lt;&gt;"Abierto",Z867=""),"",TODAY()-Z867)</f>
        <v/>
      </c>
      <c r="AG867" s="11" t="str">
        <f>IF(AC867&lt;&gt;"Abierto","",IF(AB867="","Sin siguiente acción",IF(AB867&lt;TODAY(),"Vencido",IF(AB867=TODAY(),"Hoy","En tiempo"))))</f>
        <v/>
      </c>
      <c r="AH867" s="11" t="str">
        <f>IF(OR(B867="",V867=""),"",V867-B867)</f>
        <v/>
      </c>
      <c r="AI867" s="16" t="str">
        <f>IF(P867="","",P867-WEEKDAY(P867,3))</f>
        <v/>
      </c>
      <c r="AJ867" s="23" t="str">
        <f>IF(P867="","",DATE(YEAR(P867),MONTH(P867),1))</f>
        <v/>
      </c>
    </row>
    <row r="868">
      <c r="A868" s="21"/>
      <c r="B868" s="14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14"/>
      <c r="Q868" s="21"/>
      <c r="R868" s="21"/>
      <c r="S868" s="21"/>
      <c r="T868" s="21"/>
      <c r="U868" s="21"/>
      <c r="V868" s="14"/>
      <c r="W868" s="22"/>
      <c r="X868" s="14"/>
      <c r="Y868" s="11" t="str">
        <f>IF(V868="","",IF(X868&lt;&gt;"",IF(X868-V868&lt;30,"No","Sí"),IF(TODAY()-V868&gt;=30,"Sí","En curso")))</f>
        <v/>
      </c>
      <c r="Z868" s="14"/>
      <c r="AA868" s="21"/>
      <c r="AB868" s="14"/>
      <c r="AC868" s="21"/>
      <c r="AD868" s="21"/>
      <c r="AE868" s="7"/>
      <c r="AF868" s="11" t="str">
        <f>IF(OR(AC868&lt;&gt;"Abierto",Z868=""),"",TODAY()-Z868)</f>
        <v/>
      </c>
      <c r="AG868" s="11" t="str">
        <f>IF(AC868&lt;&gt;"Abierto","",IF(AB868="","Sin siguiente acción",IF(AB868&lt;TODAY(),"Vencido",IF(AB868=TODAY(),"Hoy","En tiempo"))))</f>
        <v/>
      </c>
      <c r="AH868" s="11" t="str">
        <f>IF(OR(B868="",V868=""),"",V868-B868)</f>
        <v/>
      </c>
      <c r="AI868" s="16" t="str">
        <f>IF(P868="","",P868-WEEKDAY(P868,3))</f>
        <v/>
      </c>
      <c r="AJ868" s="23" t="str">
        <f>IF(P868="","",DATE(YEAR(P868),MONTH(P868),1))</f>
        <v/>
      </c>
    </row>
    <row r="869">
      <c r="A869" s="21"/>
      <c r="B869" s="14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14"/>
      <c r="Q869" s="21"/>
      <c r="R869" s="21"/>
      <c r="S869" s="21"/>
      <c r="T869" s="21"/>
      <c r="U869" s="21"/>
      <c r="V869" s="14"/>
      <c r="W869" s="22"/>
      <c r="X869" s="14"/>
      <c r="Y869" s="11" t="str">
        <f>IF(V869="","",IF(X869&lt;&gt;"",IF(X869-V869&lt;30,"No","Sí"),IF(TODAY()-V869&gt;=30,"Sí","En curso")))</f>
        <v/>
      </c>
      <c r="Z869" s="14"/>
      <c r="AA869" s="21"/>
      <c r="AB869" s="14"/>
      <c r="AC869" s="21"/>
      <c r="AD869" s="21"/>
      <c r="AE869" s="7"/>
      <c r="AF869" s="11" t="str">
        <f>IF(OR(AC869&lt;&gt;"Abierto",Z869=""),"",TODAY()-Z869)</f>
        <v/>
      </c>
      <c r="AG869" s="11" t="str">
        <f>IF(AC869&lt;&gt;"Abierto","",IF(AB869="","Sin siguiente acción",IF(AB869&lt;TODAY(),"Vencido",IF(AB869=TODAY(),"Hoy","En tiempo"))))</f>
        <v/>
      </c>
      <c r="AH869" s="11" t="str">
        <f>IF(OR(B869="",V869=""),"",V869-B869)</f>
        <v/>
      </c>
      <c r="AI869" s="16" t="str">
        <f>IF(P869="","",P869-WEEKDAY(P869,3))</f>
        <v/>
      </c>
      <c r="AJ869" s="23" t="str">
        <f>IF(P869="","",DATE(YEAR(P869),MONTH(P869),1))</f>
        <v/>
      </c>
    </row>
    <row r="870">
      <c r="A870" s="21"/>
      <c r="B870" s="14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14"/>
      <c r="Q870" s="21"/>
      <c r="R870" s="21"/>
      <c r="S870" s="21"/>
      <c r="T870" s="21"/>
      <c r="U870" s="21"/>
      <c r="V870" s="14"/>
      <c r="W870" s="22"/>
      <c r="X870" s="14"/>
      <c r="Y870" s="11" t="str">
        <f>IF(V870="","",IF(X870&lt;&gt;"",IF(X870-V870&lt;30,"No","Sí"),IF(TODAY()-V870&gt;=30,"Sí","En curso")))</f>
        <v/>
      </c>
      <c r="Z870" s="14"/>
      <c r="AA870" s="21"/>
      <c r="AB870" s="14"/>
      <c r="AC870" s="21"/>
      <c r="AD870" s="21"/>
      <c r="AE870" s="7"/>
      <c r="AF870" s="11" t="str">
        <f>IF(OR(AC870&lt;&gt;"Abierto",Z870=""),"",TODAY()-Z870)</f>
        <v/>
      </c>
      <c r="AG870" s="11" t="str">
        <f>IF(AC870&lt;&gt;"Abierto","",IF(AB870="","Sin siguiente acción",IF(AB870&lt;TODAY(),"Vencido",IF(AB870=TODAY(),"Hoy","En tiempo"))))</f>
        <v/>
      </c>
      <c r="AH870" s="11" t="str">
        <f>IF(OR(B870="",V870=""),"",V870-B870)</f>
        <v/>
      </c>
      <c r="AI870" s="16" t="str">
        <f>IF(P870="","",P870-WEEKDAY(P870,3))</f>
        <v/>
      </c>
      <c r="AJ870" s="23" t="str">
        <f>IF(P870="","",DATE(YEAR(P870),MONTH(P870),1))</f>
        <v/>
      </c>
    </row>
    <row r="871">
      <c r="A871" s="21"/>
      <c r="B871" s="14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14"/>
      <c r="Q871" s="21"/>
      <c r="R871" s="21"/>
      <c r="S871" s="21"/>
      <c r="T871" s="21"/>
      <c r="U871" s="21"/>
      <c r="V871" s="14"/>
      <c r="W871" s="22"/>
      <c r="X871" s="14"/>
      <c r="Y871" s="11" t="str">
        <f>IF(V871="","",IF(X871&lt;&gt;"",IF(X871-V871&lt;30,"No","Sí"),IF(TODAY()-V871&gt;=30,"Sí","En curso")))</f>
        <v/>
      </c>
      <c r="Z871" s="14"/>
      <c r="AA871" s="21"/>
      <c r="AB871" s="14"/>
      <c r="AC871" s="21"/>
      <c r="AD871" s="21"/>
      <c r="AE871" s="7"/>
      <c r="AF871" s="11" t="str">
        <f>IF(OR(AC871&lt;&gt;"Abierto",Z871=""),"",TODAY()-Z871)</f>
        <v/>
      </c>
      <c r="AG871" s="11" t="str">
        <f>IF(AC871&lt;&gt;"Abierto","",IF(AB871="","Sin siguiente acción",IF(AB871&lt;TODAY(),"Vencido",IF(AB871=TODAY(),"Hoy","En tiempo"))))</f>
        <v/>
      </c>
      <c r="AH871" s="11" t="str">
        <f>IF(OR(B871="",V871=""),"",V871-B871)</f>
        <v/>
      </c>
      <c r="AI871" s="16" t="str">
        <f>IF(P871="","",P871-WEEKDAY(P871,3))</f>
        <v/>
      </c>
      <c r="AJ871" s="23" t="str">
        <f>IF(P871="","",DATE(YEAR(P871),MONTH(P871),1))</f>
        <v/>
      </c>
    </row>
    <row r="872">
      <c r="A872" s="21"/>
      <c r="B872" s="14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14"/>
      <c r="Q872" s="21"/>
      <c r="R872" s="21"/>
      <c r="S872" s="21"/>
      <c r="T872" s="21"/>
      <c r="U872" s="21"/>
      <c r="V872" s="14"/>
      <c r="W872" s="22"/>
      <c r="X872" s="14"/>
      <c r="Y872" s="11" t="str">
        <f>IF(V872="","",IF(X872&lt;&gt;"",IF(X872-V872&lt;30,"No","Sí"),IF(TODAY()-V872&gt;=30,"Sí","En curso")))</f>
        <v/>
      </c>
      <c r="Z872" s="14"/>
      <c r="AA872" s="21"/>
      <c r="AB872" s="14"/>
      <c r="AC872" s="21"/>
      <c r="AD872" s="21"/>
      <c r="AE872" s="7"/>
      <c r="AF872" s="11" t="str">
        <f>IF(OR(AC872&lt;&gt;"Abierto",Z872=""),"",TODAY()-Z872)</f>
        <v/>
      </c>
      <c r="AG872" s="11" t="str">
        <f>IF(AC872&lt;&gt;"Abierto","",IF(AB872="","Sin siguiente acción",IF(AB872&lt;TODAY(),"Vencido",IF(AB872=TODAY(),"Hoy","En tiempo"))))</f>
        <v/>
      </c>
      <c r="AH872" s="11" t="str">
        <f>IF(OR(B872="",V872=""),"",V872-B872)</f>
        <v/>
      </c>
      <c r="AI872" s="16" t="str">
        <f>IF(P872="","",P872-WEEKDAY(P872,3))</f>
        <v/>
      </c>
      <c r="AJ872" s="23" t="str">
        <f>IF(P872="","",DATE(YEAR(P872),MONTH(P872),1))</f>
        <v/>
      </c>
    </row>
    <row r="873">
      <c r="A873" s="21"/>
      <c r="B873" s="14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14"/>
      <c r="Q873" s="21"/>
      <c r="R873" s="21"/>
      <c r="S873" s="21"/>
      <c r="T873" s="21"/>
      <c r="U873" s="21"/>
      <c r="V873" s="14"/>
      <c r="W873" s="22"/>
      <c r="X873" s="14"/>
      <c r="Y873" s="11" t="str">
        <f>IF(V873="","",IF(X873&lt;&gt;"",IF(X873-V873&lt;30,"No","Sí"),IF(TODAY()-V873&gt;=30,"Sí","En curso")))</f>
        <v/>
      </c>
      <c r="Z873" s="14"/>
      <c r="AA873" s="21"/>
      <c r="AB873" s="14"/>
      <c r="AC873" s="21"/>
      <c r="AD873" s="21"/>
      <c r="AE873" s="7"/>
      <c r="AF873" s="11" t="str">
        <f>IF(OR(AC873&lt;&gt;"Abierto",Z873=""),"",TODAY()-Z873)</f>
        <v/>
      </c>
      <c r="AG873" s="11" t="str">
        <f>IF(AC873&lt;&gt;"Abierto","",IF(AB873="","Sin siguiente acción",IF(AB873&lt;TODAY(),"Vencido",IF(AB873=TODAY(),"Hoy","En tiempo"))))</f>
        <v/>
      </c>
      <c r="AH873" s="11" t="str">
        <f>IF(OR(B873="",V873=""),"",V873-B873)</f>
        <v/>
      </c>
      <c r="AI873" s="16" t="str">
        <f>IF(P873="","",P873-WEEKDAY(P873,3))</f>
        <v/>
      </c>
      <c r="AJ873" s="23" t="str">
        <f>IF(P873="","",DATE(YEAR(P873),MONTH(P873),1))</f>
        <v/>
      </c>
    </row>
    <row r="874">
      <c r="A874" s="21"/>
      <c r="B874" s="14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14"/>
      <c r="Q874" s="21"/>
      <c r="R874" s="21"/>
      <c r="S874" s="21"/>
      <c r="T874" s="21"/>
      <c r="U874" s="21"/>
      <c r="V874" s="14"/>
      <c r="W874" s="22"/>
      <c r="X874" s="14"/>
      <c r="Y874" s="11" t="str">
        <f>IF(V874="","",IF(X874&lt;&gt;"",IF(X874-V874&lt;30,"No","Sí"),IF(TODAY()-V874&gt;=30,"Sí","En curso")))</f>
        <v/>
      </c>
      <c r="Z874" s="14"/>
      <c r="AA874" s="21"/>
      <c r="AB874" s="14"/>
      <c r="AC874" s="21"/>
      <c r="AD874" s="21"/>
      <c r="AE874" s="7"/>
      <c r="AF874" s="11" t="str">
        <f>IF(OR(AC874&lt;&gt;"Abierto",Z874=""),"",TODAY()-Z874)</f>
        <v/>
      </c>
      <c r="AG874" s="11" t="str">
        <f>IF(AC874&lt;&gt;"Abierto","",IF(AB874="","Sin siguiente acción",IF(AB874&lt;TODAY(),"Vencido",IF(AB874=TODAY(),"Hoy","En tiempo"))))</f>
        <v/>
      </c>
      <c r="AH874" s="11" t="str">
        <f>IF(OR(B874="",V874=""),"",V874-B874)</f>
        <v/>
      </c>
      <c r="AI874" s="16" t="str">
        <f>IF(P874="","",P874-WEEKDAY(P874,3))</f>
        <v/>
      </c>
      <c r="AJ874" s="23" t="str">
        <f>IF(P874="","",DATE(YEAR(P874),MONTH(P874),1))</f>
        <v/>
      </c>
    </row>
    <row r="875">
      <c r="A875" s="21"/>
      <c r="B875" s="14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14"/>
      <c r="Q875" s="21"/>
      <c r="R875" s="21"/>
      <c r="S875" s="21"/>
      <c r="T875" s="21"/>
      <c r="U875" s="21"/>
      <c r="V875" s="14"/>
      <c r="W875" s="22"/>
      <c r="X875" s="14"/>
      <c r="Y875" s="11" t="str">
        <f>IF(V875="","",IF(X875&lt;&gt;"",IF(X875-V875&lt;30,"No","Sí"),IF(TODAY()-V875&gt;=30,"Sí","En curso")))</f>
        <v/>
      </c>
      <c r="Z875" s="14"/>
      <c r="AA875" s="21"/>
      <c r="AB875" s="14"/>
      <c r="AC875" s="21"/>
      <c r="AD875" s="21"/>
      <c r="AE875" s="7"/>
      <c r="AF875" s="11" t="str">
        <f>IF(OR(AC875&lt;&gt;"Abierto",Z875=""),"",TODAY()-Z875)</f>
        <v/>
      </c>
      <c r="AG875" s="11" t="str">
        <f>IF(AC875&lt;&gt;"Abierto","",IF(AB875="","Sin siguiente acción",IF(AB875&lt;TODAY(),"Vencido",IF(AB875=TODAY(),"Hoy","En tiempo"))))</f>
        <v/>
      </c>
      <c r="AH875" s="11" t="str">
        <f>IF(OR(B875="",V875=""),"",V875-B875)</f>
        <v/>
      </c>
      <c r="AI875" s="16" t="str">
        <f>IF(P875="","",P875-WEEKDAY(P875,3))</f>
        <v/>
      </c>
      <c r="AJ875" s="23" t="str">
        <f>IF(P875="","",DATE(YEAR(P875),MONTH(P875),1))</f>
        <v/>
      </c>
    </row>
    <row r="876">
      <c r="A876" s="21"/>
      <c r="B876" s="14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14"/>
      <c r="Q876" s="21"/>
      <c r="R876" s="21"/>
      <c r="S876" s="21"/>
      <c r="T876" s="21"/>
      <c r="U876" s="21"/>
      <c r="V876" s="14"/>
      <c r="W876" s="22"/>
      <c r="X876" s="14"/>
      <c r="Y876" s="11" t="str">
        <f>IF(V876="","",IF(X876&lt;&gt;"",IF(X876-V876&lt;30,"No","Sí"),IF(TODAY()-V876&gt;=30,"Sí","En curso")))</f>
        <v/>
      </c>
      <c r="Z876" s="14"/>
      <c r="AA876" s="21"/>
      <c r="AB876" s="14"/>
      <c r="AC876" s="21"/>
      <c r="AD876" s="21"/>
      <c r="AE876" s="7"/>
      <c r="AF876" s="11" t="str">
        <f>IF(OR(AC876&lt;&gt;"Abierto",Z876=""),"",TODAY()-Z876)</f>
        <v/>
      </c>
      <c r="AG876" s="11" t="str">
        <f>IF(AC876&lt;&gt;"Abierto","",IF(AB876="","Sin siguiente acción",IF(AB876&lt;TODAY(),"Vencido",IF(AB876=TODAY(),"Hoy","En tiempo"))))</f>
        <v/>
      </c>
      <c r="AH876" s="11" t="str">
        <f>IF(OR(B876="",V876=""),"",V876-B876)</f>
        <v/>
      </c>
      <c r="AI876" s="16" t="str">
        <f>IF(P876="","",P876-WEEKDAY(P876,3))</f>
        <v/>
      </c>
      <c r="AJ876" s="23" t="str">
        <f>IF(P876="","",DATE(YEAR(P876),MONTH(P876),1))</f>
        <v/>
      </c>
    </row>
    <row r="877">
      <c r="A877" s="21"/>
      <c r="B877" s="14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14"/>
      <c r="Q877" s="21"/>
      <c r="R877" s="21"/>
      <c r="S877" s="21"/>
      <c r="T877" s="21"/>
      <c r="U877" s="21"/>
      <c r="V877" s="14"/>
      <c r="W877" s="22"/>
      <c r="X877" s="14"/>
      <c r="Y877" s="11" t="str">
        <f>IF(V877="","",IF(X877&lt;&gt;"",IF(X877-V877&lt;30,"No","Sí"),IF(TODAY()-V877&gt;=30,"Sí","En curso")))</f>
        <v/>
      </c>
      <c r="Z877" s="14"/>
      <c r="AA877" s="21"/>
      <c r="AB877" s="14"/>
      <c r="AC877" s="21"/>
      <c r="AD877" s="21"/>
      <c r="AE877" s="7"/>
      <c r="AF877" s="11" t="str">
        <f>IF(OR(AC877&lt;&gt;"Abierto",Z877=""),"",TODAY()-Z877)</f>
        <v/>
      </c>
      <c r="AG877" s="11" t="str">
        <f>IF(AC877&lt;&gt;"Abierto","",IF(AB877="","Sin siguiente acción",IF(AB877&lt;TODAY(),"Vencido",IF(AB877=TODAY(),"Hoy","En tiempo"))))</f>
        <v/>
      </c>
      <c r="AH877" s="11" t="str">
        <f>IF(OR(B877="",V877=""),"",V877-B877)</f>
        <v/>
      </c>
      <c r="AI877" s="16" t="str">
        <f>IF(P877="","",P877-WEEKDAY(P877,3))</f>
        <v/>
      </c>
      <c r="AJ877" s="23" t="str">
        <f>IF(P877="","",DATE(YEAR(P877),MONTH(P877),1))</f>
        <v/>
      </c>
    </row>
    <row r="878">
      <c r="A878" s="21"/>
      <c r="B878" s="14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14"/>
      <c r="Q878" s="21"/>
      <c r="R878" s="21"/>
      <c r="S878" s="21"/>
      <c r="T878" s="21"/>
      <c r="U878" s="21"/>
      <c r="V878" s="14"/>
      <c r="W878" s="22"/>
      <c r="X878" s="14"/>
      <c r="Y878" s="11" t="str">
        <f>IF(V878="","",IF(X878&lt;&gt;"",IF(X878-V878&lt;30,"No","Sí"),IF(TODAY()-V878&gt;=30,"Sí","En curso")))</f>
        <v/>
      </c>
      <c r="Z878" s="14"/>
      <c r="AA878" s="21"/>
      <c r="AB878" s="14"/>
      <c r="AC878" s="21"/>
      <c r="AD878" s="21"/>
      <c r="AE878" s="7"/>
      <c r="AF878" s="11" t="str">
        <f>IF(OR(AC878&lt;&gt;"Abierto",Z878=""),"",TODAY()-Z878)</f>
        <v/>
      </c>
      <c r="AG878" s="11" t="str">
        <f>IF(AC878&lt;&gt;"Abierto","",IF(AB878="","Sin siguiente acción",IF(AB878&lt;TODAY(),"Vencido",IF(AB878=TODAY(),"Hoy","En tiempo"))))</f>
        <v/>
      </c>
      <c r="AH878" s="11" t="str">
        <f>IF(OR(B878="",V878=""),"",V878-B878)</f>
        <v/>
      </c>
      <c r="AI878" s="16" t="str">
        <f>IF(P878="","",P878-WEEKDAY(P878,3))</f>
        <v/>
      </c>
      <c r="AJ878" s="23" t="str">
        <f>IF(P878="","",DATE(YEAR(P878),MONTH(P878),1))</f>
        <v/>
      </c>
    </row>
    <row r="879">
      <c r="A879" s="21"/>
      <c r="B879" s="14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14"/>
      <c r="Q879" s="21"/>
      <c r="R879" s="21"/>
      <c r="S879" s="21"/>
      <c r="T879" s="21"/>
      <c r="U879" s="21"/>
      <c r="V879" s="14"/>
      <c r="W879" s="22"/>
      <c r="X879" s="14"/>
      <c r="Y879" s="11" t="str">
        <f>IF(V879="","",IF(X879&lt;&gt;"",IF(X879-V879&lt;30,"No","Sí"),IF(TODAY()-V879&gt;=30,"Sí","En curso")))</f>
        <v/>
      </c>
      <c r="Z879" s="14"/>
      <c r="AA879" s="21"/>
      <c r="AB879" s="14"/>
      <c r="AC879" s="21"/>
      <c r="AD879" s="21"/>
      <c r="AE879" s="7"/>
      <c r="AF879" s="11" t="str">
        <f>IF(OR(AC879&lt;&gt;"Abierto",Z879=""),"",TODAY()-Z879)</f>
        <v/>
      </c>
      <c r="AG879" s="11" t="str">
        <f>IF(AC879&lt;&gt;"Abierto","",IF(AB879="","Sin siguiente acción",IF(AB879&lt;TODAY(),"Vencido",IF(AB879=TODAY(),"Hoy","En tiempo"))))</f>
        <v/>
      </c>
      <c r="AH879" s="11" t="str">
        <f>IF(OR(B879="",V879=""),"",V879-B879)</f>
        <v/>
      </c>
      <c r="AI879" s="16" t="str">
        <f>IF(P879="","",P879-WEEKDAY(P879,3))</f>
        <v/>
      </c>
      <c r="AJ879" s="23" t="str">
        <f>IF(P879="","",DATE(YEAR(P879),MONTH(P879),1))</f>
        <v/>
      </c>
    </row>
    <row r="880">
      <c r="A880" s="21"/>
      <c r="B880" s="14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14"/>
      <c r="Q880" s="21"/>
      <c r="R880" s="21"/>
      <c r="S880" s="21"/>
      <c r="T880" s="21"/>
      <c r="U880" s="21"/>
      <c r="V880" s="14"/>
      <c r="W880" s="22"/>
      <c r="X880" s="14"/>
      <c r="Y880" s="11" t="str">
        <f>IF(V880="","",IF(X880&lt;&gt;"",IF(X880-V880&lt;30,"No","Sí"),IF(TODAY()-V880&gt;=30,"Sí","En curso")))</f>
        <v/>
      </c>
      <c r="Z880" s="14"/>
      <c r="AA880" s="21"/>
      <c r="AB880" s="14"/>
      <c r="AC880" s="21"/>
      <c r="AD880" s="21"/>
      <c r="AE880" s="7"/>
      <c r="AF880" s="11" t="str">
        <f>IF(OR(AC880&lt;&gt;"Abierto",Z880=""),"",TODAY()-Z880)</f>
        <v/>
      </c>
      <c r="AG880" s="11" t="str">
        <f>IF(AC880&lt;&gt;"Abierto","",IF(AB880="","Sin siguiente acción",IF(AB880&lt;TODAY(),"Vencido",IF(AB880=TODAY(),"Hoy","En tiempo"))))</f>
        <v/>
      </c>
      <c r="AH880" s="11" t="str">
        <f>IF(OR(B880="",V880=""),"",V880-B880)</f>
        <v/>
      </c>
      <c r="AI880" s="16" t="str">
        <f>IF(P880="","",P880-WEEKDAY(P880,3))</f>
        <v/>
      </c>
      <c r="AJ880" s="23" t="str">
        <f>IF(P880="","",DATE(YEAR(P880),MONTH(P880),1))</f>
        <v/>
      </c>
    </row>
    <row r="881">
      <c r="A881" s="21"/>
      <c r="B881" s="14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14"/>
      <c r="Q881" s="21"/>
      <c r="R881" s="21"/>
      <c r="S881" s="21"/>
      <c r="T881" s="21"/>
      <c r="U881" s="21"/>
      <c r="V881" s="14"/>
      <c r="W881" s="22"/>
      <c r="X881" s="14"/>
      <c r="Y881" s="11" t="str">
        <f>IF(V881="","",IF(X881&lt;&gt;"",IF(X881-V881&lt;30,"No","Sí"),IF(TODAY()-V881&gt;=30,"Sí","En curso")))</f>
        <v/>
      </c>
      <c r="Z881" s="14"/>
      <c r="AA881" s="21"/>
      <c r="AB881" s="14"/>
      <c r="AC881" s="21"/>
      <c r="AD881" s="21"/>
      <c r="AE881" s="7"/>
      <c r="AF881" s="11" t="str">
        <f>IF(OR(AC881&lt;&gt;"Abierto",Z881=""),"",TODAY()-Z881)</f>
        <v/>
      </c>
      <c r="AG881" s="11" t="str">
        <f>IF(AC881&lt;&gt;"Abierto","",IF(AB881="","Sin siguiente acción",IF(AB881&lt;TODAY(),"Vencido",IF(AB881=TODAY(),"Hoy","En tiempo"))))</f>
        <v/>
      </c>
      <c r="AH881" s="11" t="str">
        <f>IF(OR(B881="",V881=""),"",V881-B881)</f>
        <v/>
      </c>
      <c r="AI881" s="16" t="str">
        <f>IF(P881="","",P881-WEEKDAY(P881,3))</f>
        <v/>
      </c>
      <c r="AJ881" s="23" t="str">
        <f>IF(P881="","",DATE(YEAR(P881),MONTH(P881),1))</f>
        <v/>
      </c>
    </row>
    <row r="882">
      <c r="A882" s="21"/>
      <c r="B882" s="14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14"/>
      <c r="Q882" s="21"/>
      <c r="R882" s="21"/>
      <c r="S882" s="21"/>
      <c r="T882" s="21"/>
      <c r="U882" s="21"/>
      <c r="V882" s="14"/>
      <c r="W882" s="22"/>
      <c r="X882" s="14"/>
      <c r="Y882" s="11" t="str">
        <f>IF(V882="","",IF(X882&lt;&gt;"",IF(X882-V882&lt;30,"No","Sí"),IF(TODAY()-V882&gt;=30,"Sí","En curso")))</f>
        <v/>
      </c>
      <c r="Z882" s="14"/>
      <c r="AA882" s="21"/>
      <c r="AB882" s="14"/>
      <c r="AC882" s="21"/>
      <c r="AD882" s="21"/>
      <c r="AE882" s="7"/>
      <c r="AF882" s="11" t="str">
        <f>IF(OR(AC882&lt;&gt;"Abierto",Z882=""),"",TODAY()-Z882)</f>
        <v/>
      </c>
      <c r="AG882" s="11" t="str">
        <f>IF(AC882&lt;&gt;"Abierto","",IF(AB882="","Sin siguiente acción",IF(AB882&lt;TODAY(),"Vencido",IF(AB882=TODAY(),"Hoy","En tiempo"))))</f>
        <v/>
      </c>
      <c r="AH882" s="11" t="str">
        <f>IF(OR(B882="",V882=""),"",V882-B882)</f>
        <v/>
      </c>
      <c r="AI882" s="16" t="str">
        <f>IF(P882="","",P882-WEEKDAY(P882,3))</f>
        <v/>
      </c>
      <c r="AJ882" s="23" t="str">
        <f>IF(P882="","",DATE(YEAR(P882),MONTH(P882),1))</f>
        <v/>
      </c>
    </row>
    <row r="883">
      <c r="A883" s="21"/>
      <c r="B883" s="14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14"/>
      <c r="Q883" s="21"/>
      <c r="R883" s="21"/>
      <c r="S883" s="21"/>
      <c r="T883" s="21"/>
      <c r="U883" s="21"/>
      <c r="V883" s="14"/>
      <c r="W883" s="22"/>
      <c r="X883" s="14"/>
      <c r="Y883" s="11" t="str">
        <f>IF(V883="","",IF(X883&lt;&gt;"",IF(X883-V883&lt;30,"No","Sí"),IF(TODAY()-V883&gt;=30,"Sí","En curso")))</f>
        <v/>
      </c>
      <c r="Z883" s="14"/>
      <c r="AA883" s="21"/>
      <c r="AB883" s="14"/>
      <c r="AC883" s="21"/>
      <c r="AD883" s="21"/>
      <c r="AE883" s="7"/>
      <c r="AF883" s="11" t="str">
        <f>IF(OR(AC883&lt;&gt;"Abierto",Z883=""),"",TODAY()-Z883)</f>
        <v/>
      </c>
      <c r="AG883" s="11" t="str">
        <f>IF(AC883&lt;&gt;"Abierto","",IF(AB883="","Sin siguiente acción",IF(AB883&lt;TODAY(),"Vencido",IF(AB883=TODAY(),"Hoy","En tiempo"))))</f>
        <v/>
      </c>
      <c r="AH883" s="11" t="str">
        <f>IF(OR(B883="",V883=""),"",V883-B883)</f>
        <v/>
      </c>
      <c r="AI883" s="16" t="str">
        <f>IF(P883="","",P883-WEEKDAY(P883,3))</f>
        <v/>
      </c>
      <c r="AJ883" s="23" t="str">
        <f>IF(P883="","",DATE(YEAR(P883),MONTH(P883),1))</f>
        <v/>
      </c>
    </row>
    <row r="884">
      <c r="A884" s="21"/>
      <c r="B884" s="14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14"/>
      <c r="Q884" s="21"/>
      <c r="R884" s="21"/>
      <c r="S884" s="21"/>
      <c r="T884" s="21"/>
      <c r="U884" s="21"/>
      <c r="V884" s="14"/>
      <c r="W884" s="22"/>
      <c r="X884" s="14"/>
      <c r="Y884" s="11" t="str">
        <f>IF(V884="","",IF(X884&lt;&gt;"",IF(X884-V884&lt;30,"No","Sí"),IF(TODAY()-V884&gt;=30,"Sí","En curso")))</f>
        <v/>
      </c>
      <c r="Z884" s="14"/>
      <c r="AA884" s="21"/>
      <c r="AB884" s="14"/>
      <c r="AC884" s="21"/>
      <c r="AD884" s="21"/>
      <c r="AE884" s="7"/>
      <c r="AF884" s="11" t="str">
        <f>IF(OR(AC884&lt;&gt;"Abierto",Z884=""),"",TODAY()-Z884)</f>
        <v/>
      </c>
      <c r="AG884" s="11" t="str">
        <f>IF(AC884&lt;&gt;"Abierto","",IF(AB884="","Sin siguiente acción",IF(AB884&lt;TODAY(),"Vencido",IF(AB884=TODAY(),"Hoy","En tiempo"))))</f>
        <v/>
      </c>
      <c r="AH884" s="11" t="str">
        <f>IF(OR(B884="",V884=""),"",V884-B884)</f>
        <v/>
      </c>
      <c r="AI884" s="16" t="str">
        <f>IF(P884="","",P884-WEEKDAY(P884,3))</f>
        <v/>
      </c>
      <c r="AJ884" s="23" t="str">
        <f>IF(P884="","",DATE(YEAR(P884),MONTH(P884),1))</f>
        <v/>
      </c>
    </row>
    <row r="885">
      <c r="A885" s="21"/>
      <c r="B885" s="14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14"/>
      <c r="Q885" s="21"/>
      <c r="R885" s="21"/>
      <c r="S885" s="21"/>
      <c r="T885" s="21"/>
      <c r="U885" s="21"/>
      <c r="V885" s="14"/>
      <c r="W885" s="22"/>
      <c r="X885" s="14"/>
      <c r="Y885" s="11" t="str">
        <f>IF(V885="","",IF(X885&lt;&gt;"",IF(X885-V885&lt;30,"No","Sí"),IF(TODAY()-V885&gt;=30,"Sí","En curso")))</f>
        <v/>
      </c>
      <c r="Z885" s="14"/>
      <c r="AA885" s="21"/>
      <c r="AB885" s="14"/>
      <c r="AC885" s="21"/>
      <c r="AD885" s="21"/>
      <c r="AE885" s="7"/>
      <c r="AF885" s="11" t="str">
        <f>IF(OR(AC885&lt;&gt;"Abierto",Z885=""),"",TODAY()-Z885)</f>
        <v/>
      </c>
      <c r="AG885" s="11" t="str">
        <f>IF(AC885&lt;&gt;"Abierto","",IF(AB885="","Sin siguiente acción",IF(AB885&lt;TODAY(),"Vencido",IF(AB885=TODAY(),"Hoy","En tiempo"))))</f>
        <v/>
      </c>
      <c r="AH885" s="11" t="str">
        <f>IF(OR(B885="",V885=""),"",V885-B885)</f>
        <v/>
      </c>
      <c r="AI885" s="16" t="str">
        <f>IF(P885="","",P885-WEEKDAY(P885,3))</f>
        <v/>
      </c>
      <c r="AJ885" s="23" t="str">
        <f>IF(P885="","",DATE(YEAR(P885),MONTH(P885),1))</f>
        <v/>
      </c>
    </row>
    <row r="886">
      <c r="A886" s="21"/>
      <c r="B886" s="14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14"/>
      <c r="Q886" s="21"/>
      <c r="R886" s="21"/>
      <c r="S886" s="21"/>
      <c r="T886" s="21"/>
      <c r="U886" s="21"/>
      <c r="V886" s="14"/>
      <c r="W886" s="22"/>
      <c r="X886" s="14"/>
      <c r="Y886" s="11" t="str">
        <f>IF(V886="","",IF(X886&lt;&gt;"",IF(X886-V886&lt;30,"No","Sí"),IF(TODAY()-V886&gt;=30,"Sí","En curso")))</f>
        <v/>
      </c>
      <c r="Z886" s="14"/>
      <c r="AA886" s="21"/>
      <c r="AB886" s="14"/>
      <c r="AC886" s="21"/>
      <c r="AD886" s="21"/>
      <c r="AE886" s="7"/>
      <c r="AF886" s="11" t="str">
        <f>IF(OR(AC886&lt;&gt;"Abierto",Z886=""),"",TODAY()-Z886)</f>
        <v/>
      </c>
      <c r="AG886" s="11" t="str">
        <f>IF(AC886&lt;&gt;"Abierto","",IF(AB886="","Sin siguiente acción",IF(AB886&lt;TODAY(),"Vencido",IF(AB886=TODAY(),"Hoy","En tiempo"))))</f>
        <v/>
      </c>
      <c r="AH886" s="11" t="str">
        <f>IF(OR(B886="",V886=""),"",V886-B886)</f>
        <v/>
      </c>
      <c r="AI886" s="16" t="str">
        <f>IF(P886="","",P886-WEEKDAY(P886,3))</f>
        <v/>
      </c>
      <c r="AJ886" s="23" t="str">
        <f>IF(P886="","",DATE(YEAR(P886),MONTH(P886),1))</f>
        <v/>
      </c>
    </row>
    <row r="887">
      <c r="A887" s="21"/>
      <c r="B887" s="14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14"/>
      <c r="Q887" s="21"/>
      <c r="R887" s="21"/>
      <c r="S887" s="21"/>
      <c r="T887" s="21"/>
      <c r="U887" s="21"/>
      <c r="V887" s="14"/>
      <c r="W887" s="22"/>
      <c r="X887" s="14"/>
      <c r="Y887" s="11" t="str">
        <f>IF(V887="","",IF(X887&lt;&gt;"",IF(X887-V887&lt;30,"No","Sí"),IF(TODAY()-V887&gt;=30,"Sí","En curso")))</f>
        <v/>
      </c>
      <c r="Z887" s="14"/>
      <c r="AA887" s="21"/>
      <c r="AB887" s="14"/>
      <c r="AC887" s="21"/>
      <c r="AD887" s="21"/>
      <c r="AE887" s="7"/>
      <c r="AF887" s="11" t="str">
        <f>IF(OR(AC887&lt;&gt;"Abierto",Z887=""),"",TODAY()-Z887)</f>
        <v/>
      </c>
      <c r="AG887" s="11" t="str">
        <f>IF(AC887&lt;&gt;"Abierto","",IF(AB887="","Sin siguiente acción",IF(AB887&lt;TODAY(),"Vencido",IF(AB887=TODAY(),"Hoy","En tiempo"))))</f>
        <v/>
      </c>
      <c r="AH887" s="11" t="str">
        <f>IF(OR(B887="",V887=""),"",V887-B887)</f>
        <v/>
      </c>
      <c r="AI887" s="16" t="str">
        <f>IF(P887="","",P887-WEEKDAY(P887,3))</f>
        <v/>
      </c>
      <c r="AJ887" s="23" t="str">
        <f>IF(P887="","",DATE(YEAR(P887),MONTH(P887),1))</f>
        <v/>
      </c>
    </row>
    <row r="888">
      <c r="A888" s="21"/>
      <c r="B888" s="14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14"/>
      <c r="Q888" s="21"/>
      <c r="R888" s="21"/>
      <c r="S888" s="21"/>
      <c r="T888" s="21"/>
      <c r="U888" s="21"/>
      <c r="V888" s="14"/>
      <c r="W888" s="22"/>
      <c r="X888" s="14"/>
      <c r="Y888" s="11" t="str">
        <f>IF(V888="","",IF(X888&lt;&gt;"",IF(X888-V888&lt;30,"No","Sí"),IF(TODAY()-V888&gt;=30,"Sí","En curso")))</f>
        <v/>
      </c>
      <c r="Z888" s="14"/>
      <c r="AA888" s="21"/>
      <c r="AB888" s="14"/>
      <c r="AC888" s="21"/>
      <c r="AD888" s="21"/>
      <c r="AE888" s="7"/>
      <c r="AF888" s="11" t="str">
        <f>IF(OR(AC888&lt;&gt;"Abierto",Z888=""),"",TODAY()-Z888)</f>
        <v/>
      </c>
      <c r="AG888" s="11" t="str">
        <f>IF(AC888&lt;&gt;"Abierto","",IF(AB888="","Sin siguiente acción",IF(AB888&lt;TODAY(),"Vencido",IF(AB888=TODAY(),"Hoy","En tiempo"))))</f>
        <v/>
      </c>
      <c r="AH888" s="11" t="str">
        <f>IF(OR(B888="",V888=""),"",V888-B888)</f>
        <v/>
      </c>
      <c r="AI888" s="16" t="str">
        <f>IF(P888="","",P888-WEEKDAY(P888,3))</f>
        <v/>
      </c>
      <c r="AJ888" s="23" t="str">
        <f>IF(P888="","",DATE(YEAR(P888),MONTH(P888),1))</f>
        <v/>
      </c>
    </row>
    <row r="889">
      <c r="A889" s="21"/>
      <c r="B889" s="14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14"/>
      <c r="Q889" s="21"/>
      <c r="R889" s="21"/>
      <c r="S889" s="21"/>
      <c r="T889" s="21"/>
      <c r="U889" s="21"/>
      <c r="V889" s="14"/>
      <c r="W889" s="22"/>
      <c r="X889" s="14"/>
      <c r="Y889" s="11" t="str">
        <f>IF(V889="","",IF(X889&lt;&gt;"",IF(X889-V889&lt;30,"No","Sí"),IF(TODAY()-V889&gt;=30,"Sí","En curso")))</f>
        <v/>
      </c>
      <c r="Z889" s="14"/>
      <c r="AA889" s="21"/>
      <c r="AB889" s="14"/>
      <c r="AC889" s="21"/>
      <c r="AD889" s="21"/>
      <c r="AE889" s="7"/>
      <c r="AF889" s="11" t="str">
        <f>IF(OR(AC889&lt;&gt;"Abierto",Z889=""),"",TODAY()-Z889)</f>
        <v/>
      </c>
      <c r="AG889" s="11" t="str">
        <f>IF(AC889&lt;&gt;"Abierto","",IF(AB889="","Sin siguiente acción",IF(AB889&lt;TODAY(),"Vencido",IF(AB889=TODAY(),"Hoy","En tiempo"))))</f>
        <v/>
      </c>
      <c r="AH889" s="11" t="str">
        <f>IF(OR(B889="",V889=""),"",V889-B889)</f>
        <v/>
      </c>
      <c r="AI889" s="16" t="str">
        <f>IF(P889="","",P889-WEEKDAY(P889,3))</f>
        <v/>
      </c>
      <c r="AJ889" s="23" t="str">
        <f>IF(P889="","",DATE(YEAR(P889),MONTH(P889),1))</f>
        <v/>
      </c>
    </row>
    <row r="890">
      <c r="A890" s="21"/>
      <c r="B890" s="14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14"/>
      <c r="Q890" s="21"/>
      <c r="R890" s="21"/>
      <c r="S890" s="21"/>
      <c r="T890" s="21"/>
      <c r="U890" s="21"/>
      <c r="V890" s="14"/>
      <c r="W890" s="22"/>
      <c r="X890" s="14"/>
      <c r="Y890" s="11" t="str">
        <f>IF(V890="","",IF(X890&lt;&gt;"",IF(X890-V890&lt;30,"No","Sí"),IF(TODAY()-V890&gt;=30,"Sí","En curso")))</f>
        <v/>
      </c>
      <c r="Z890" s="14"/>
      <c r="AA890" s="21"/>
      <c r="AB890" s="14"/>
      <c r="AC890" s="21"/>
      <c r="AD890" s="21"/>
      <c r="AE890" s="7"/>
      <c r="AF890" s="11" t="str">
        <f>IF(OR(AC890&lt;&gt;"Abierto",Z890=""),"",TODAY()-Z890)</f>
        <v/>
      </c>
      <c r="AG890" s="11" t="str">
        <f>IF(AC890&lt;&gt;"Abierto","",IF(AB890="","Sin siguiente acción",IF(AB890&lt;TODAY(),"Vencido",IF(AB890=TODAY(),"Hoy","En tiempo"))))</f>
        <v/>
      </c>
      <c r="AH890" s="11" t="str">
        <f>IF(OR(B890="",V890=""),"",V890-B890)</f>
        <v/>
      </c>
      <c r="AI890" s="16" t="str">
        <f>IF(P890="","",P890-WEEKDAY(P890,3))</f>
        <v/>
      </c>
      <c r="AJ890" s="23" t="str">
        <f>IF(P890="","",DATE(YEAR(P890),MONTH(P890),1))</f>
        <v/>
      </c>
    </row>
    <row r="891">
      <c r="A891" s="21"/>
      <c r="B891" s="14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14"/>
      <c r="Q891" s="21"/>
      <c r="R891" s="21"/>
      <c r="S891" s="21"/>
      <c r="T891" s="21"/>
      <c r="U891" s="21"/>
      <c r="V891" s="14"/>
      <c r="W891" s="22"/>
      <c r="X891" s="14"/>
      <c r="Y891" s="11" t="str">
        <f>IF(V891="","",IF(X891&lt;&gt;"",IF(X891-V891&lt;30,"No","Sí"),IF(TODAY()-V891&gt;=30,"Sí","En curso")))</f>
        <v/>
      </c>
      <c r="Z891" s="14"/>
      <c r="AA891" s="21"/>
      <c r="AB891" s="14"/>
      <c r="AC891" s="21"/>
      <c r="AD891" s="21"/>
      <c r="AE891" s="7"/>
      <c r="AF891" s="11" t="str">
        <f>IF(OR(AC891&lt;&gt;"Abierto",Z891=""),"",TODAY()-Z891)</f>
        <v/>
      </c>
      <c r="AG891" s="11" t="str">
        <f>IF(AC891&lt;&gt;"Abierto","",IF(AB891="","Sin siguiente acción",IF(AB891&lt;TODAY(),"Vencido",IF(AB891=TODAY(),"Hoy","En tiempo"))))</f>
        <v/>
      </c>
      <c r="AH891" s="11" t="str">
        <f>IF(OR(B891="",V891=""),"",V891-B891)</f>
        <v/>
      </c>
      <c r="AI891" s="16" t="str">
        <f>IF(P891="","",P891-WEEKDAY(P891,3))</f>
        <v/>
      </c>
      <c r="AJ891" s="23" t="str">
        <f>IF(P891="","",DATE(YEAR(P891),MONTH(P891),1))</f>
        <v/>
      </c>
    </row>
    <row r="892">
      <c r="A892" s="21"/>
      <c r="B892" s="14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14"/>
      <c r="Q892" s="21"/>
      <c r="R892" s="21"/>
      <c r="S892" s="21"/>
      <c r="T892" s="21"/>
      <c r="U892" s="21"/>
      <c r="V892" s="14"/>
      <c r="W892" s="22"/>
      <c r="X892" s="14"/>
      <c r="Y892" s="11" t="str">
        <f>IF(V892="","",IF(X892&lt;&gt;"",IF(X892-V892&lt;30,"No","Sí"),IF(TODAY()-V892&gt;=30,"Sí","En curso")))</f>
        <v/>
      </c>
      <c r="Z892" s="14"/>
      <c r="AA892" s="21"/>
      <c r="AB892" s="14"/>
      <c r="AC892" s="21"/>
      <c r="AD892" s="21"/>
      <c r="AE892" s="7"/>
      <c r="AF892" s="11" t="str">
        <f>IF(OR(AC892&lt;&gt;"Abierto",Z892=""),"",TODAY()-Z892)</f>
        <v/>
      </c>
      <c r="AG892" s="11" t="str">
        <f>IF(AC892&lt;&gt;"Abierto","",IF(AB892="","Sin siguiente acción",IF(AB892&lt;TODAY(),"Vencido",IF(AB892=TODAY(),"Hoy","En tiempo"))))</f>
        <v/>
      </c>
      <c r="AH892" s="11" t="str">
        <f>IF(OR(B892="",V892=""),"",V892-B892)</f>
        <v/>
      </c>
      <c r="AI892" s="16" t="str">
        <f>IF(P892="","",P892-WEEKDAY(P892,3))</f>
        <v/>
      </c>
      <c r="AJ892" s="23" t="str">
        <f>IF(P892="","",DATE(YEAR(P892),MONTH(P892),1))</f>
        <v/>
      </c>
    </row>
    <row r="893">
      <c r="A893" s="21"/>
      <c r="B893" s="14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14"/>
      <c r="Q893" s="21"/>
      <c r="R893" s="21"/>
      <c r="S893" s="21"/>
      <c r="T893" s="21"/>
      <c r="U893" s="21"/>
      <c r="V893" s="14"/>
      <c r="W893" s="22"/>
      <c r="X893" s="14"/>
      <c r="Y893" s="11" t="str">
        <f>IF(V893="","",IF(X893&lt;&gt;"",IF(X893-V893&lt;30,"No","Sí"),IF(TODAY()-V893&gt;=30,"Sí","En curso")))</f>
        <v/>
      </c>
      <c r="Z893" s="14"/>
      <c r="AA893" s="21"/>
      <c r="AB893" s="14"/>
      <c r="AC893" s="21"/>
      <c r="AD893" s="21"/>
      <c r="AE893" s="7"/>
      <c r="AF893" s="11" t="str">
        <f>IF(OR(AC893&lt;&gt;"Abierto",Z893=""),"",TODAY()-Z893)</f>
        <v/>
      </c>
      <c r="AG893" s="11" t="str">
        <f>IF(AC893&lt;&gt;"Abierto","",IF(AB893="","Sin siguiente acción",IF(AB893&lt;TODAY(),"Vencido",IF(AB893=TODAY(),"Hoy","En tiempo"))))</f>
        <v/>
      </c>
      <c r="AH893" s="11" t="str">
        <f>IF(OR(B893="",V893=""),"",V893-B893)</f>
        <v/>
      </c>
      <c r="AI893" s="16" t="str">
        <f>IF(P893="","",P893-WEEKDAY(P893,3))</f>
        <v/>
      </c>
      <c r="AJ893" s="23" t="str">
        <f>IF(P893="","",DATE(YEAR(P893),MONTH(P893),1))</f>
        <v/>
      </c>
    </row>
    <row r="894">
      <c r="A894" s="21"/>
      <c r="B894" s="14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14"/>
      <c r="Q894" s="21"/>
      <c r="R894" s="21"/>
      <c r="S894" s="21"/>
      <c r="T894" s="21"/>
      <c r="U894" s="21"/>
      <c r="V894" s="14"/>
      <c r="W894" s="22"/>
      <c r="X894" s="14"/>
      <c r="Y894" s="11" t="str">
        <f>IF(V894="","",IF(X894&lt;&gt;"",IF(X894-V894&lt;30,"No","Sí"),IF(TODAY()-V894&gt;=30,"Sí","En curso")))</f>
        <v/>
      </c>
      <c r="Z894" s="14"/>
      <c r="AA894" s="21"/>
      <c r="AB894" s="14"/>
      <c r="AC894" s="21"/>
      <c r="AD894" s="21"/>
      <c r="AE894" s="7"/>
      <c r="AF894" s="11" t="str">
        <f>IF(OR(AC894&lt;&gt;"Abierto",Z894=""),"",TODAY()-Z894)</f>
        <v/>
      </c>
      <c r="AG894" s="11" t="str">
        <f>IF(AC894&lt;&gt;"Abierto","",IF(AB894="","Sin siguiente acción",IF(AB894&lt;TODAY(),"Vencido",IF(AB894=TODAY(),"Hoy","En tiempo"))))</f>
        <v/>
      </c>
      <c r="AH894" s="11" t="str">
        <f>IF(OR(B894="",V894=""),"",V894-B894)</f>
        <v/>
      </c>
      <c r="AI894" s="16" t="str">
        <f>IF(P894="","",P894-WEEKDAY(P894,3))</f>
        <v/>
      </c>
      <c r="AJ894" s="23" t="str">
        <f>IF(P894="","",DATE(YEAR(P894),MONTH(P894),1))</f>
        <v/>
      </c>
    </row>
    <row r="895">
      <c r="A895" s="21"/>
      <c r="B895" s="14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14"/>
      <c r="Q895" s="21"/>
      <c r="R895" s="21"/>
      <c r="S895" s="21"/>
      <c r="T895" s="21"/>
      <c r="U895" s="21"/>
      <c r="V895" s="14"/>
      <c r="W895" s="22"/>
      <c r="X895" s="14"/>
      <c r="Y895" s="11" t="str">
        <f>IF(V895="","",IF(X895&lt;&gt;"",IF(X895-V895&lt;30,"No","Sí"),IF(TODAY()-V895&gt;=30,"Sí","En curso")))</f>
        <v/>
      </c>
      <c r="Z895" s="14"/>
      <c r="AA895" s="21"/>
      <c r="AB895" s="14"/>
      <c r="AC895" s="21"/>
      <c r="AD895" s="21"/>
      <c r="AE895" s="7"/>
      <c r="AF895" s="11" t="str">
        <f>IF(OR(AC895&lt;&gt;"Abierto",Z895=""),"",TODAY()-Z895)</f>
        <v/>
      </c>
      <c r="AG895" s="11" t="str">
        <f>IF(AC895&lt;&gt;"Abierto","",IF(AB895="","Sin siguiente acción",IF(AB895&lt;TODAY(),"Vencido",IF(AB895=TODAY(),"Hoy","En tiempo"))))</f>
        <v/>
      </c>
      <c r="AH895" s="11" t="str">
        <f>IF(OR(B895="",V895=""),"",V895-B895)</f>
        <v/>
      </c>
      <c r="AI895" s="16" t="str">
        <f>IF(P895="","",P895-WEEKDAY(P895,3))</f>
        <v/>
      </c>
      <c r="AJ895" s="23" t="str">
        <f>IF(P895="","",DATE(YEAR(P895),MONTH(P895),1))</f>
        <v/>
      </c>
    </row>
    <row r="896">
      <c r="A896" s="21"/>
      <c r="B896" s="14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14"/>
      <c r="Q896" s="21"/>
      <c r="R896" s="21"/>
      <c r="S896" s="21"/>
      <c r="T896" s="21"/>
      <c r="U896" s="21"/>
      <c r="V896" s="14"/>
      <c r="W896" s="22"/>
      <c r="X896" s="14"/>
      <c r="Y896" s="11" t="str">
        <f>IF(V896="","",IF(X896&lt;&gt;"",IF(X896-V896&lt;30,"No","Sí"),IF(TODAY()-V896&gt;=30,"Sí","En curso")))</f>
        <v/>
      </c>
      <c r="Z896" s="14"/>
      <c r="AA896" s="21"/>
      <c r="AB896" s="14"/>
      <c r="AC896" s="21"/>
      <c r="AD896" s="21"/>
      <c r="AE896" s="7"/>
      <c r="AF896" s="11" t="str">
        <f>IF(OR(AC896&lt;&gt;"Abierto",Z896=""),"",TODAY()-Z896)</f>
        <v/>
      </c>
      <c r="AG896" s="11" t="str">
        <f>IF(AC896&lt;&gt;"Abierto","",IF(AB896="","Sin siguiente acción",IF(AB896&lt;TODAY(),"Vencido",IF(AB896=TODAY(),"Hoy","En tiempo"))))</f>
        <v/>
      </c>
      <c r="AH896" s="11" t="str">
        <f>IF(OR(B896="",V896=""),"",V896-B896)</f>
        <v/>
      </c>
      <c r="AI896" s="16" t="str">
        <f>IF(P896="","",P896-WEEKDAY(P896,3))</f>
        <v/>
      </c>
      <c r="AJ896" s="23" t="str">
        <f>IF(P896="","",DATE(YEAR(P896),MONTH(P896),1))</f>
        <v/>
      </c>
    </row>
    <row r="897">
      <c r="A897" s="21"/>
      <c r="B897" s="14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14"/>
      <c r="Q897" s="21"/>
      <c r="R897" s="21"/>
      <c r="S897" s="21"/>
      <c r="T897" s="21"/>
      <c r="U897" s="21"/>
      <c r="V897" s="14"/>
      <c r="W897" s="22"/>
      <c r="X897" s="14"/>
      <c r="Y897" s="11" t="str">
        <f>IF(V897="","",IF(X897&lt;&gt;"",IF(X897-V897&lt;30,"No","Sí"),IF(TODAY()-V897&gt;=30,"Sí","En curso")))</f>
        <v/>
      </c>
      <c r="Z897" s="14"/>
      <c r="AA897" s="21"/>
      <c r="AB897" s="14"/>
      <c r="AC897" s="21"/>
      <c r="AD897" s="21"/>
      <c r="AE897" s="7"/>
      <c r="AF897" s="11" t="str">
        <f>IF(OR(AC897&lt;&gt;"Abierto",Z897=""),"",TODAY()-Z897)</f>
        <v/>
      </c>
      <c r="AG897" s="11" t="str">
        <f>IF(AC897&lt;&gt;"Abierto","",IF(AB897="","Sin siguiente acción",IF(AB897&lt;TODAY(),"Vencido",IF(AB897=TODAY(),"Hoy","En tiempo"))))</f>
        <v/>
      </c>
      <c r="AH897" s="11" t="str">
        <f>IF(OR(B897="",V897=""),"",V897-B897)</f>
        <v/>
      </c>
      <c r="AI897" s="16" t="str">
        <f>IF(P897="","",P897-WEEKDAY(P897,3))</f>
        <v/>
      </c>
      <c r="AJ897" s="23" t="str">
        <f>IF(P897="","",DATE(YEAR(P897),MONTH(P897),1))</f>
        <v/>
      </c>
    </row>
    <row r="898">
      <c r="A898" s="21"/>
      <c r="B898" s="14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14"/>
      <c r="Q898" s="21"/>
      <c r="R898" s="21"/>
      <c r="S898" s="21"/>
      <c r="T898" s="21"/>
      <c r="U898" s="21"/>
      <c r="V898" s="14"/>
      <c r="W898" s="22"/>
      <c r="X898" s="14"/>
      <c r="Y898" s="11" t="str">
        <f>IF(V898="","",IF(X898&lt;&gt;"",IF(X898-V898&lt;30,"No","Sí"),IF(TODAY()-V898&gt;=30,"Sí","En curso")))</f>
        <v/>
      </c>
      <c r="Z898" s="14"/>
      <c r="AA898" s="21"/>
      <c r="AB898" s="14"/>
      <c r="AC898" s="21"/>
      <c r="AD898" s="21"/>
      <c r="AE898" s="7"/>
      <c r="AF898" s="11" t="str">
        <f>IF(OR(AC898&lt;&gt;"Abierto",Z898=""),"",TODAY()-Z898)</f>
        <v/>
      </c>
      <c r="AG898" s="11" t="str">
        <f>IF(AC898&lt;&gt;"Abierto","",IF(AB898="","Sin siguiente acción",IF(AB898&lt;TODAY(),"Vencido",IF(AB898=TODAY(),"Hoy","En tiempo"))))</f>
        <v/>
      </c>
      <c r="AH898" s="11" t="str">
        <f>IF(OR(B898="",V898=""),"",V898-B898)</f>
        <v/>
      </c>
      <c r="AI898" s="16" t="str">
        <f>IF(P898="","",P898-WEEKDAY(P898,3))</f>
        <v/>
      </c>
      <c r="AJ898" s="23" t="str">
        <f>IF(P898="","",DATE(YEAR(P898),MONTH(P898),1))</f>
        <v/>
      </c>
    </row>
    <row r="899">
      <c r="A899" s="21"/>
      <c r="B899" s="14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14"/>
      <c r="Q899" s="21"/>
      <c r="R899" s="21"/>
      <c r="S899" s="21"/>
      <c r="T899" s="21"/>
      <c r="U899" s="21"/>
      <c r="V899" s="14"/>
      <c r="W899" s="22"/>
      <c r="X899" s="14"/>
      <c r="Y899" s="11" t="str">
        <f>IF(V899="","",IF(X899&lt;&gt;"",IF(X899-V899&lt;30,"No","Sí"),IF(TODAY()-V899&gt;=30,"Sí","En curso")))</f>
        <v/>
      </c>
      <c r="Z899" s="14"/>
      <c r="AA899" s="21"/>
      <c r="AB899" s="14"/>
      <c r="AC899" s="21"/>
      <c r="AD899" s="21"/>
      <c r="AE899" s="7"/>
      <c r="AF899" s="11" t="str">
        <f>IF(OR(AC899&lt;&gt;"Abierto",Z899=""),"",TODAY()-Z899)</f>
        <v/>
      </c>
      <c r="AG899" s="11" t="str">
        <f>IF(AC899&lt;&gt;"Abierto","",IF(AB899="","Sin siguiente acción",IF(AB899&lt;TODAY(),"Vencido",IF(AB899=TODAY(),"Hoy","En tiempo"))))</f>
        <v/>
      </c>
      <c r="AH899" s="11" t="str">
        <f>IF(OR(B899="",V899=""),"",V899-B899)</f>
        <v/>
      </c>
      <c r="AI899" s="16" t="str">
        <f>IF(P899="","",P899-WEEKDAY(P899,3))</f>
        <v/>
      </c>
      <c r="AJ899" s="23" t="str">
        <f>IF(P899="","",DATE(YEAR(P899),MONTH(P899),1))</f>
        <v/>
      </c>
    </row>
    <row r="900">
      <c r="A900" s="21"/>
      <c r="B900" s="14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14"/>
      <c r="Q900" s="21"/>
      <c r="R900" s="21"/>
      <c r="S900" s="21"/>
      <c r="T900" s="21"/>
      <c r="U900" s="21"/>
      <c r="V900" s="14"/>
      <c r="W900" s="22"/>
      <c r="X900" s="14"/>
      <c r="Y900" s="11" t="str">
        <f>IF(V900="","",IF(X900&lt;&gt;"",IF(X900-V900&lt;30,"No","Sí"),IF(TODAY()-V900&gt;=30,"Sí","En curso")))</f>
        <v/>
      </c>
      <c r="Z900" s="14"/>
      <c r="AA900" s="21"/>
      <c r="AB900" s="14"/>
      <c r="AC900" s="21"/>
      <c r="AD900" s="21"/>
      <c r="AE900" s="7"/>
      <c r="AF900" s="11" t="str">
        <f>IF(OR(AC900&lt;&gt;"Abierto",Z900=""),"",TODAY()-Z900)</f>
        <v/>
      </c>
      <c r="AG900" s="11" t="str">
        <f>IF(AC900&lt;&gt;"Abierto","",IF(AB900="","Sin siguiente acción",IF(AB900&lt;TODAY(),"Vencido",IF(AB900=TODAY(),"Hoy","En tiempo"))))</f>
        <v/>
      </c>
      <c r="AH900" s="11" t="str">
        <f>IF(OR(B900="",V900=""),"",V900-B900)</f>
        <v/>
      </c>
      <c r="AI900" s="16" t="str">
        <f>IF(P900="","",P900-WEEKDAY(P900,3))</f>
        <v/>
      </c>
      <c r="AJ900" s="23" t="str">
        <f>IF(P900="","",DATE(YEAR(P900),MONTH(P900),1))</f>
        <v/>
      </c>
    </row>
    <row r="901">
      <c r="A901" s="21"/>
      <c r="B901" s="14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14"/>
      <c r="Q901" s="21"/>
      <c r="R901" s="21"/>
      <c r="S901" s="21"/>
      <c r="T901" s="21"/>
      <c r="U901" s="21"/>
      <c r="V901" s="14"/>
      <c r="W901" s="22"/>
      <c r="X901" s="14"/>
      <c r="Y901" s="11" t="str">
        <f>IF(V901="","",IF(X901&lt;&gt;"",IF(X901-V901&lt;30,"No","Sí"),IF(TODAY()-V901&gt;=30,"Sí","En curso")))</f>
        <v/>
      </c>
      <c r="Z901" s="14"/>
      <c r="AA901" s="21"/>
      <c r="AB901" s="14"/>
      <c r="AC901" s="21"/>
      <c r="AD901" s="21"/>
      <c r="AE901" s="7"/>
      <c r="AF901" s="11" t="str">
        <f>IF(OR(AC901&lt;&gt;"Abierto",Z901=""),"",TODAY()-Z901)</f>
        <v/>
      </c>
      <c r="AG901" s="11" t="str">
        <f>IF(AC901&lt;&gt;"Abierto","",IF(AB901="","Sin siguiente acción",IF(AB901&lt;TODAY(),"Vencido",IF(AB901=TODAY(),"Hoy","En tiempo"))))</f>
        <v/>
      </c>
      <c r="AH901" s="11" t="str">
        <f>IF(OR(B901="",V901=""),"",V901-B901)</f>
        <v/>
      </c>
      <c r="AI901" s="16" t="str">
        <f>IF(P901="","",P901-WEEKDAY(P901,3))</f>
        <v/>
      </c>
      <c r="AJ901" s="23" t="str">
        <f>IF(P901="","",DATE(YEAR(P901),MONTH(P901),1))</f>
        <v/>
      </c>
    </row>
    <row r="902">
      <c r="A902" s="21"/>
      <c r="B902" s="14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14"/>
      <c r="Q902" s="21"/>
      <c r="R902" s="21"/>
      <c r="S902" s="21"/>
      <c r="T902" s="21"/>
      <c r="U902" s="21"/>
      <c r="V902" s="14"/>
      <c r="W902" s="22"/>
      <c r="X902" s="14"/>
      <c r="Y902" s="11" t="str">
        <f>IF(V902="","",IF(X902&lt;&gt;"",IF(X902-V902&lt;30,"No","Sí"),IF(TODAY()-V902&gt;=30,"Sí","En curso")))</f>
        <v/>
      </c>
      <c r="Z902" s="14"/>
      <c r="AA902" s="21"/>
      <c r="AB902" s="14"/>
      <c r="AC902" s="21"/>
      <c r="AD902" s="21"/>
      <c r="AE902" s="7"/>
      <c r="AF902" s="11" t="str">
        <f>IF(OR(AC902&lt;&gt;"Abierto",Z902=""),"",TODAY()-Z902)</f>
        <v/>
      </c>
      <c r="AG902" s="11" t="str">
        <f>IF(AC902&lt;&gt;"Abierto","",IF(AB902="","Sin siguiente acción",IF(AB902&lt;TODAY(),"Vencido",IF(AB902=TODAY(),"Hoy","En tiempo"))))</f>
        <v/>
      </c>
      <c r="AH902" s="11" t="str">
        <f>IF(OR(B902="",V902=""),"",V902-B902)</f>
        <v/>
      </c>
      <c r="AI902" s="16" t="str">
        <f>IF(P902="","",P902-WEEKDAY(P902,3))</f>
        <v/>
      </c>
      <c r="AJ902" s="23" t="str">
        <f>IF(P902="","",DATE(YEAR(P902),MONTH(P902),1))</f>
        <v/>
      </c>
    </row>
    <row r="903">
      <c r="A903" s="21"/>
      <c r="B903" s="14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14"/>
      <c r="Q903" s="21"/>
      <c r="R903" s="21"/>
      <c r="S903" s="21"/>
      <c r="T903" s="21"/>
      <c r="U903" s="21"/>
      <c r="V903" s="14"/>
      <c r="W903" s="22"/>
      <c r="X903" s="14"/>
      <c r="Y903" s="11" t="str">
        <f>IF(V903="","",IF(X903&lt;&gt;"",IF(X903-V903&lt;30,"No","Sí"),IF(TODAY()-V903&gt;=30,"Sí","En curso")))</f>
        <v/>
      </c>
      <c r="Z903" s="14"/>
      <c r="AA903" s="21"/>
      <c r="AB903" s="14"/>
      <c r="AC903" s="21"/>
      <c r="AD903" s="21"/>
      <c r="AE903" s="7"/>
      <c r="AF903" s="11" t="str">
        <f>IF(OR(AC903&lt;&gt;"Abierto",Z903=""),"",TODAY()-Z903)</f>
        <v/>
      </c>
      <c r="AG903" s="11" t="str">
        <f>IF(AC903&lt;&gt;"Abierto","",IF(AB903="","Sin siguiente acción",IF(AB903&lt;TODAY(),"Vencido",IF(AB903=TODAY(),"Hoy","En tiempo"))))</f>
        <v/>
      </c>
      <c r="AH903" s="11" t="str">
        <f>IF(OR(B903="",V903=""),"",V903-B903)</f>
        <v/>
      </c>
      <c r="AI903" s="16" t="str">
        <f>IF(P903="","",P903-WEEKDAY(P903,3))</f>
        <v/>
      </c>
      <c r="AJ903" s="23" t="str">
        <f>IF(P903="","",DATE(YEAR(P903),MONTH(P903),1))</f>
        <v/>
      </c>
    </row>
    <row r="904">
      <c r="A904" s="21"/>
      <c r="B904" s="14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14"/>
      <c r="Q904" s="21"/>
      <c r="R904" s="21"/>
      <c r="S904" s="21"/>
      <c r="T904" s="21"/>
      <c r="U904" s="21"/>
      <c r="V904" s="14"/>
      <c r="W904" s="22"/>
      <c r="X904" s="14"/>
      <c r="Y904" s="11" t="str">
        <f>IF(V904="","",IF(X904&lt;&gt;"",IF(X904-V904&lt;30,"No","Sí"),IF(TODAY()-V904&gt;=30,"Sí","En curso")))</f>
        <v/>
      </c>
      <c r="Z904" s="14"/>
      <c r="AA904" s="21"/>
      <c r="AB904" s="14"/>
      <c r="AC904" s="21"/>
      <c r="AD904" s="21"/>
      <c r="AE904" s="7"/>
      <c r="AF904" s="11" t="str">
        <f>IF(OR(AC904&lt;&gt;"Abierto",Z904=""),"",TODAY()-Z904)</f>
        <v/>
      </c>
      <c r="AG904" s="11" t="str">
        <f>IF(AC904&lt;&gt;"Abierto","",IF(AB904="","Sin siguiente acción",IF(AB904&lt;TODAY(),"Vencido",IF(AB904=TODAY(),"Hoy","En tiempo"))))</f>
        <v/>
      </c>
      <c r="AH904" s="11" t="str">
        <f>IF(OR(B904="",V904=""),"",V904-B904)</f>
        <v/>
      </c>
      <c r="AI904" s="16" t="str">
        <f>IF(P904="","",P904-WEEKDAY(P904,3))</f>
        <v/>
      </c>
      <c r="AJ904" s="23" t="str">
        <f>IF(P904="","",DATE(YEAR(P904),MONTH(P904),1))</f>
        <v/>
      </c>
    </row>
    <row r="905">
      <c r="A905" s="21"/>
      <c r="B905" s="14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14"/>
      <c r="Q905" s="21"/>
      <c r="R905" s="21"/>
      <c r="S905" s="21"/>
      <c r="T905" s="21"/>
      <c r="U905" s="21"/>
      <c r="V905" s="14"/>
      <c r="W905" s="22"/>
      <c r="X905" s="14"/>
      <c r="Y905" s="11" t="str">
        <f>IF(V905="","",IF(X905&lt;&gt;"",IF(X905-V905&lt;30,"No","Sí"),IF(TODAY()-V905&gt;=30,"Sí","En curso")))</f>
        <v/>
      </c>
      <c r="Z905" s="14"/>
      <c r="AA905" s="21"/>
      <c r="AB905" s="14"/>
      <c r="AC905" s="21"/>
      <c r="AD905" s="21"/>
      <c r="AE905" s="7"/>
      <c r="AF905" s="11" t="str">
        <f>IF(OR(AC905&lt;&gt;"Abierto",Z905=""),"",TODAY()-Z905)</f>
        <v/>
      </c>
      <c r="AG905" s="11" t="str">
        <f>IF(AC905&lt;&gt;"Abierto","",IF(AB905="","Sin siguiente acción",IF(AB905&lt;TODAY(),"Vencido",IF(AB905=TODAY(),"Hoy","En tiempo"))))</f>
        <v/>
      </c>
      <c r="AH905" s="11" t="str">
        <f>IF(OR(B905="",V905=""),"",V905-B905)</f>
        <v/>
      </c>
      <c r="AI905" s="16" t="str">
        <f>IF(P905="","",P905-WEEKDAY(P905,3))</f>
        <v/>
      </c>
      <c r="AJ905" s="23" t="str">
        <f>IF(P905="","",DATE(YEAR(P905),MONTH(P905),1))</f>
        <v/>
      </c>
    </row>
    <row r="906">
      <c r="A906" s="21"/>
      <c r="B906" s="14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14"/>
      <c r="Q906" s="21"/>
      <c r="R906" s="21"/>
      <c r="S906" s="21"/>
      <c r="T906" s="21"/>
      <c r="U906" s="21"/>
      <c r="V906" s="14"/>
      <c r="W906" s="22"/>
      <c r="X906" s="14"/>
      <c r="Y906" s="11" t="str">
        <f>IF(V906="","",IF(X906&lt;&gt;"",IF(X906-V906&lt;30,"No","Sí"),IF(TODAY()-V906&gt;=30,"Sí","En curso")))</f>
        <v/>
      </c>
      <c r="Z906" s="14"/>
      <c r="AA906" s="21"/>
      <c r="AB906" s="14"/>
      <c r="AC906" s="21"/>
      <c r="AD906" s="21"/>
      <c r="AE906" s="7"/>
      <c r="AF906" s="11" t="str">
        <f>IF(OR(AC906&lt;&gt;"Abierto",Z906=""),"",TODAY()-Z906)</f>
        <v/>
      </c>
      <c r="AG906" s="11" t="str">
        <f>IF(AC906&lt;&gt;"Abierto","",IF(AB906="","Sin siguiente acción",IF(AB906&lt;TODAY(),"Vencido",IF(AB906=TODAY(),"Hoy","En tiempo"))))</f>
        <v/>
      </c>
      <c r="AH906" s="11" t="str">
        <f>IF(OR(B906="",V906=""),"",V906-B906)</f>
        <v/>
      </c>
      <c r="AI906" s="16" t="str">
        <f>IF(P906="","",P906-WEEKDAY(P906,3))</f>
        <v/>
      </c>
      <c r="AJ906" s="23" t="str">
        <f>IF(P906="","",DATE(YEAR(P906),MONTH(P906),1))</f>
        <v/>
      </c>
    </row>
    <row r="907">
      <c r="A907" s="21"/>
      <c r="B907" s="14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14"/>
      <c r="Q907" s="21"/>
      <c r="R907" s="21"/>
      <c r="S907" s="21"/>
      <c r="T907" s="21"/>
      <c r="U907" s="21"/>
      <c r="V907" s="14"/>
      <c r="W907" s="22"/>
      <c r="X907" s="14"/>
      <c r="Y907" s="11" t="str">
        <f>IF(V907="","",IF(X907&lt;&gt;"",IF(X907-V907&lt;30,"No","Sí"),IF(TODAY()-V907&gt;=30,"Sí","En curso")))</f>
        <v/>
      </c>
      <c r="Z907" s="14"/>
      <c r="AA907" s="21"/>
      <c r="AB907" s="14"/>
      <c r="AC907" s="21"/>
      <c r="AD907" s="21"/>
      <c r="AE907" s="7"/>
      <c r="AF907" s="11" t="str">
        <f>IF(OR(AC907&lt;&gt;"Abierto",Z907=""),"",TODAY()-Z907)</f>
        <v/>
      </c>
      <c r="AG907" s="11" t="str">
        <f>IF(AC907&lt;&gt;"Abierto","",IF(AB907="","Sin siguiente acción",IF(AB907&lt;TODAY(),"Vencido",IF(AB907=TODAY(),"Hoy","En tiempo"))))</f>
        <v/>
      </c>
      <c r="AH907" s="11" t="str">
        <f>IF(OR(B907="",V907=""),"",V907-B907)</f>
        <v/>
      </c>
      <c r="AI907" s="16" t="str">
        <f>IF(P907="","",P907-WEEKDAY(P907,3))</f>
        <v/>
      </c>
      <c r="AJ907" s="23" t="str">
        <f>IF(P907="","",DATE(YEAR(P907),MONTH(P907),1))</f>
        <v/>
      </c>
    </row>
    <row r="908">
      <c r="A908" s="21"/>
      <c r="B908" s="14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14"/>
      <c r="Q908" s="21"/>
      <c r="R908" s="21"/>
      <c r="S908" s="21"/>
      <c r="T908" s="21"/>
      <c r="U908" s="21"/>
      <c r="V908" s="14"/>
      <c r="W908" s="22"/>
      <c r="X908" s="14"/>
      <c r="Y908" s="11" t="str">
        <f>IF(V908="","",IF(X908&lt;&gt;"",IF(X908-V908&lt;30,"No","Sí"),IF(TODAY()-V908&gt;=30,"Sí","En curso")))</f>
        <v/>
      </c>
      <c r="Z908" s="14"/>
      <c r="AA908" s="21"/>
      <c r="AB908" s="14"/>
      <c r="AC908" s="21"/>
      <c r="AD908" s="21"/>
      <c r="AE908" s="7"/>
      <c r="AF908" s="11" t="str">
        <f>IF(OR(AC908&lt;&gt;"Abierto",Z908=""),"",TODAY()-Z908)</f>
        <v/>
      </c>
      <c r="AG908" s="11" t="str">
        <f>IF(AC908&lt;&gt;"Abierto","",IF(AB908="","Sin siguiente acción",IF(AB908&lt;TODAY(),"Vencido",IF(AB908=TODAY(),"Hoy","En tiempo"))))</f>
        <v/>
      </c>
      <c r="AH908" s="11" t="str">
        <f>IF(OR(B908="",V908=""),"",V908-B908)</f>
        <v/>
      </c>
      <c r="AI908" s="16" t="str">
        <f>IF(P908="","",P908-WEEKDAY(P908,3))</f>
        <v/>
      </c>
      <c r="AJ908" s="23" t="str">
        <f>IF(P908="","",DATE(YEAR(P908),MONTH(P908),1))</f>
        <v/>
      </c>
    </row>
    <row r="909">
      <c r="A909" s="21"/>
      <c r="B909" s="14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14"/>
      <c r="Q909" s="21"/>
      <c r="R909" s="21"/>
      <c r="S909" s="21"/>
      <c r="T909" s="21"/>
      <c r="U909" s="21"/>
      <c r="V909" s="14"/>
      <c r="W909" s="22"/>
      <c r="X909" s="14"/>
      <c r="Y909" s="11" t="str">
        <f>IF(V909="","",IF(X909&lt;&gt;"",IF(X909-V909&lt;30,"No","Sí"),IF(TODAY()-V909&gt;=30,"Sí","En curso")))</f>
        <v/>
      </c>
      <c r="Z909" s="14"/>
      <c r="AA909" s="21"/>
      <c r="AB909" s="14"/>
      <c r="AC909" s="21"/>
      <c r="AD909" s="21"/>
      <c r="AE909" s="7"/>
      <c r="AF909" s="11" t="str">
        <f>IF(OR(AC909&lt;&gt;"Abierto",Z909=""),"",TODAY()-Z909)</f>
        <v/>
      </c>
      <c r="AG909" s="11" t="str">
        <f>IF(AC909&lt;&gt;"Abierto","",IF(AB909="","Sin siguiente acción",IF(AB909&lt;TODAY(),"Vencido",IF(AB909=TODAY(),"Hoy","En tiempo"))))</f>
        <v/>
      </c>
      <c r="AH909" s="11" t="str">
        <f>IF(OR(B909="",V909=""),"",V909-B909)</f>
        <v/>
      </c>
      <c r="AI909" s="16" t="str">
        <f>IF(P909="","",P909-WEEKDAY(P909,3))</f>
        <v/>
      </c>
      <c r="AJ909" s="23" t="str">
        <f>IF(P909="","",DATE(YEAR(P909),MONTH(P909),1))</f>
        <v/>
      </c>
    </row>
    <row r="910">
      <c r="A910" s="21"/>
      <c r="B910" s="14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14"/>
      <c r="Q910" s="21"/>
      <c r="R910" s="21"/>
      <c r="S910" s="21"/>
      <c r="T910" s="21"/>
      <c r="U910" s="21"/>
      <c r="V910" s="14"/>
      <c r="W910" s="22"/>
      <c r="X910" s="14"/>
      <c r="Y910" s="11" t="str">
        <f>IF(V910="","",IF(X910&lt;&gt;"",IF(X910-V910&lt;30,"No","Sí"),IF(TODAY()-V910&gt;=30,"Sí","En curso")))</f>
        <v/>
      </c>
      <c r="Z910" s="14"/>
      <c r="AA910" s="21"/>
      <c r="AB910" s="14"/>
      <c r="AC910" s="21"/>
      <c r="AD910" s="21"/>
      <c r="AE910" s="7"/>
      <c r="AF910" s="11" t="str">
        <f>IF(OR(AC910&lt;&gt;"Abierto",Z910=""),"",TODAY()-Z910)</f>
        <v/>
      </c>
      <c r="AG910" s="11" t="str">
        <f>IF(AC910&lt;&gt;"Abierto","",IF(AB910="","Sin siguiente acción",IF(AB910&lt;TODAY(),"Vencido",IF(AB910=TODAY(),"Hoy","En tiempo"))))</f>
        <v/>
      </c>
      <c r="AH910" s="11" t="str">
        <f>IF(OR(B910="",V910=""),"",V910-B910)</f>
        <v/>
      </c>
      <c r="AI910" s="16" t="str">
        <f>IF(P910="","",P910-WEEKDAY(P910,3))</f>
        <v/>
      </c>
      <c r="AJ910" s="23" t="str">
        <f>IF(P910="","",DATE(YEAR(P910),MONTH(P910),1))</f>
        <v/>
      </c>
    </row>
    <row r="911">
      <c r="A911" s="21"/>
      <c r="B911" s="14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14"/>
      <c r="Q911" s="21"/>
      <c r="R911" s="21"/>
      <c r="S911" s="21"/>
      <c r="T911" s="21"/>
      <c r="U911" s="21"/>
      <c r="V911" s="14"/>
      <c r="W911" s="22"/>
      <c r="X911" s="14"/>
      <c r="Y911" s="11" t="str">
        <f>IF(V911="","",IF(X911&lt;&gt;"",IF(X911-V911&lt;30,"No","Sí"),IF(TODAY()-V911&gt;=30,"Sí","En curso")))</f>
        <v/>
      </c>
      <c r="Z911" s="14"/>
      <c r="AA911" s="21"/>
      <c r="AB911" s="14"/>
      <c r="AC911" s="21"/>
      <c r="AD911" s="21"/>
      <c r="AE911" s="7"/>
      <c r="AF911" s="11" t="str">
        <f>IF(OR(AC911&lt;&gt;"Abierto",Z911=""),"",TODAY()-Z911)</f>
        <v/>
      </c>
      <c r="AG911" s="11" t="str">
        <f>IF(AC911&lt;&gt;"Abierto","",IF(AB911="","Sin siguiente acción",IF(AB911&lt;TODAY(),"Vencido",IF(AB911=TODAY(),"Hoy","En tiempo"))))</f>
        <v/>
      </c>
      <c r="AH911" s="11" t="str">
        <f>IF(OR(B911="",V911=""),"",V911-B911)</f>
        <v/>
      </c>
      <c r="AI911" s="16" t="str">
        <f>IF(P911="","",P911-WEEKDAY(P911,3))</f>
        <v/>
      </c>
      <c r="AJ911" s="23" t="str">
        <f>IF(P911="","",DATE(YEAR(P911),MONTH(P911),1))</f>
        <v/>
      </c>
    </row>
    <row r="912">
      <c r="A912" s="21"/>
      <c r="B912" s="14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14"/>
      <c r="Q912" s="21"/>
      <c r="R912" s="21"/>
      <c r="S912" s="21"/>
      <c r="T912" s="21"/>
      <c r="U912" s="21"/>
      <c r="V912" s="14"/>
      <c r="W912" s="22"/>
      <c r="X912" s="14"/>
      <c r="Y912" s="11" t="str">
        <f>IF(V912="","",IF(X912&lt;&gt;"",IF(X912-V912&lt;30,"No","Sí"),IF(TODAY()-V912&gt;=30,"Sí","En curso")))</f>
        <v/>
      </c>
      <c r="Z912" s="14"/>
      <c r="AA912" s="21"/>
      <c r="AB912" s="14"/>
      <c r="AC912" s="21"/>
      <c r="AD912" s="21"/>
      <c r="AE912" s="7"/>
      <c r="AF912" s="11" t="str">
        <f>IF(OR(AC912&lt;&gt;"Abierto",Z912=""),"",TODAY()-Z912)</f>
        <v/>
      </c>
      <c r="AG912" s="11" t="str">
        <f>IF(AC912&lt;&gt;"Abierto","",IF(AB912="","Sin siguiente acción",IF(AB912&lt;TODAY(),"Vencido",IF(AB912=TODAY(),"Hoy","En tiempo"))))</f>
        <v/>
      </c>
      <c r="AH912" s="11" t="str">
        <f>IF(OR(B912="",V912=""),"",V912-B912)</f>
        <v/>
      </c>
      <c r="AI912" s="16" t="str">
        <f>IF(P912="","",P912-WEEKDAY(P912,3))</f>
        <v/>
      </c>
      <c r="AJ912" s="23" t="str">
        <f>IF(P912="","",DATE(YEAR(P912),MONTH(P912),1))</f>
        <v/>
      </c>
    </row>
    <row r="913">
      <c r="A913" s="21"/>
      <c r="B913" s="14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14"/>
      <c r="Q913" s="21"/>
      <c r="R913" s="21"/>
      <c r="S913" s="21"/>
      <c r="T913" s="21"/>
      <c r="U913" s="21"/>
      <c r="V913" s="14"/>
      <c r="W913" s="22"/>
      <c r="X913" s="14"/>
      <c r="Y913" s="11" t="str">
        <f>IF(V913="","",IF(X913&lt;&gt;"",IF(X913-V913&lt;30,"No","Sí"),IF(TODAY()-V913&gt;=30,"Sí","En curso")))</f>
        <v/>
      </c>
      <c r="Z913" s="14"/>
      <c r="AA913" s="21"/>
      <c r="AB913" s="14"/>
      <c r="AC913" s="21"/>
      <c r="AD913" s="21"/>
      <c r="AE913" s="7"/>
      <c r="AF913" s="11" t="str">
        <f>IF(OR(AC913&lt;&gt;"Abierto",Z913=""),"",TODAY()-Z913)</f>
        <v/>
      </c>
      <c r="AG913" s="11" t="str">
        <f>IF(AC913&lt;&gt;"Abierto","",IF(AB913="","Sin siguiente acción",IF(AB913&lt;TODAY(),"Vencido",IF(AB913=TODAY(),"Hoy","En tiempo"))))</f>
        <v/>
      </c>
      <c r="AH913" s="11" t="str">
        <f>IF(OR(B913="",V913=""),"",V913-B913)</f>
        <v/>
      </c>
      <c r="AI913" s="16" t="str">
        <f>IF(P913="","",P913-WEEKDAY(P913,3))</f>
        <v/>
      </c>
      <c r="AJ913" s="23" t="str">
        <f>IF(P913="","",DATE(YEAR(P913),MONTH(P913),1))</f>
        <v/>
      </c>
    </row>
    <row r="914">
      <c r="A914" s="21"/>
      <c r="B914" s="14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14"/>
      <c r="Q914" s="21"/>
      <c r="R914" s="21"/>
      <c r="S914" s="21"/>
      <c r="T914" s="21"/>
      <c r="U914" s="21"/>
      <c r="V914" s="14"/>
      <c r="W914" s="22"/>
      <c r="X914" s="14"/>
      <c r="Y914" s="11" t="str">
        <f>IF(V914="","",IF(X914&lt;&gt;"",IF(X914-V914&lt;30,"No","Sí"),IF(TODAY()-V914&gt;=30,"Sí","En curso")))</f>
        <v/>
      </c>
      <c r="Z914" s="14"/>
      <c r="AA914" s="21"/>
      <c r="AB914" s="14"/>
      <c r="AC914" s="21"/>
      <c r="AD914" s="21"/>
      <c r="AE914" s="7"/>
      <c r="AF914" s="11" t="str">
        <f>IF(OR(AC914&lt;&gt;"Abierto",Z914=""),"",TODAY()-Z914)</f>
        <v/>
      </c>
      <c r="AG914" s="11" t="str">
        <f>IF(AC914&lt;&gt;"Abierto","",IF(AB914="","Sin siguiente acción",IF(AB914&lt;TODAY(),"Vencido",IF(AB914=TODAY(),"Hoy","En tiempo"))))</f>
        <v/>
      </c>
      <c r="AH914" s="11" t="str">
        <f>IF(OR(B914="",V914=""),"",V914-B914)</f>
        <v/>
      </c>
      <c r="AI914" s="16" t="str">
        <f>IF(P914="","",P914-WEEKDAY(P914,3))</f>
        <v/>
      </c>
      <c r="AJ914" s="23" t="str">
        <f>IF(P914="","",DATE(YEAR(P914),MONTH(P914),1))</f>
        <v/>
      </c>
    </row>
    <row r="915">
      <c r="A915" s="21"/>
      <c r="B915" s="14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14"/>
      <c r="Q915" s="21"/>
      <c r="R915" s="21"/>
      <c r="S915" s="21"/>
      <c r="T915" s="21"/>
      <c r="U915" s="21"/>
      <c r="V915" s="14"/>
      <c r="W915" s="22"/>
      <c r="X915" s="14"/>
      <c r="Y915" s="11" t="str">
        <f>IF(V915="","",IF(X915&lt;&gt;"",IF(X915-V915&lt;30,"No","Sí"),IF(TODAY()-V915&gt;=30,"Sí","En curso")))</f>
        <v/>
      </c>
      <c r="Z915" s="14"/>
      <c r="AA915" s="21"/>
      <c r="AB915" s="14"/>
      <c r="AC915" s="21"/>
      <c r="AD915" s="21"/>
      <c r="AE915" s="7"/>
      <c r="AF915" s="11" t="str">
        <f>IF(OR(AC915&lt;&gt;"Abierto",Z915=""),"",TODAY()-Z915)</f>
        <v/>
      </c>
      <c r="AG915" s="11" t="str">
        <f>IF(AC915&lt;&gt;"Abierto","",IF(AB915="","Sin siguiente acción",IF(AB915&lt;TODAY(),"Vencido",IF(AB915=TODAY(),"Hoy","En tiempo"))))</f>
        <v/>
      </c>
      <c r="AH915" s="11" t="str">
        <f>IF(OR(B915="",V915=""),"",V915-B915)</f>
        <v/>
      </c>
      <c r="AI915" s="16" t="str">
        <f>IF(P915="","",P915-WEEKDAY(P915,3))</f>
        <v/>
      </c>
      <c r="AJ915" s="23" t="str">
        <f>IF(P915="","",DATE(YEAR(P915),MONTH(P915),1))</f>
        <v/>
      </c>
    </row>
    <row r="916">
      <c r="A916" s="21"/>
      <c r="B916" s="14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14"/>
      <c r="Q916" s="21"/>
      <c r="R916" s="21"/>
      <c r="S916" s="21"/>
      <c r="T916" s="21"/>
      <c r="U916" s="21"/>
      <c r="V916" s="14"/>
      <c r="W916" s="22"/>
      <c r="X916" s="14"/>
      <c r="Y916" s="11" t="str">
        <f>IF(V916="","",IF(X916&lt;&gt;"",IF(X916-V916&lt;30,"No","Sí"),IF(TODAY()-V916&gt;=30,"Sí","En curso")))</f>
        <v/>
      </c>
      <c r="Z916" s="14"/>
      <c r="AA916" s="21"/>
      <c r="AB916" s="14"/>
      <c r="AC916" s="21"/>
      <c r="AD916" s="21"/>
      <c r="AE916" s="7"/>
      <c r="AF916" s="11" t="str">
        <f>IF(OR(AC916&lt;&gt;"Abierto",Z916=""),"",TODAY()-Z916)</f>
        <v/>
      </c>
      <c r="AG916" s="11" t="str">
        <f>IF(AC916&lt;&gt;"Abierto","",IF(AB916="","Sin siguiente acción",IF(AB916&lt;TODAY(),"Vencido",IF(AB916=TODAY(),"Hoy","En tiempo"))))</f>
        <v/>
      </c>
      <c r="AH916" s="11" t="str">
        <f>IF(OR(B916="",V916=""),"",V916-B916)</f>
        <v/>
      </c>
      <c r="AI916" s="16" t="str">
        <f>IF(P916="","",P916-WEEKDAY(P916,3))</f>
        <v/>
      </c>
      <c r="AJ916" s="23" t="str">
        <f>IF(P916="","",DATE(YEAR(P916),MONTH(P916),1))</f>
        <v/>
      </c>
    </row>
    <row r="917">
      <c r="A917" s="21"/>
      <c r="B917" s="14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14"/>
      <c r="Q917" s="21"/>
      <c r="R917" s="21"/>
      <c r="S917" s="21"/>
      <c r="T917" s="21"/>
      <c r="U917" s="21"/>
      <c r="V917" s="14"/>
      <c r="W917" s="22"/>
      <c r="X917" s="14"/>
      <c r="Y917" s="11" t="str">
        <f>IF(V917="","",IF(X917&lt;&gt;"",IF(X917-V917&lt;30,"No","Sí"),IF(TODAY()-V917&gt;=30,"Sí","En curso")))</f>
        <v/>
      </c>
      <c r="Z917" s="14"/>
      <c r="AA917" s="21"/>
      <c r="AB917" s="14"/>
      <c r="AC917" s="21"/>
      <c r="AD917" s="21"/>
      <c r="AE917" s="7"/>
      <c r="AF917" s="11" t="str">
        <f>IF(OR(AC917&lt;&gt;"Abierto",Z917=""),"",TODAY()-Z917)</f>
        <v/>
      </c>
      <c r="AG917" s="11" t="str">
        <f>IF(AC917&lt;&gt;"Abierto","",IF(AB917="","Sin siguiente acción",IF(AB917&lt;TODAY(),"Vencido",IF(AB917=TODAY(),"Hoy","En tiempo"))))</f>
        <v/>
      </c>
      <c r="AH917" s="11" t="str">
        <f>IF(OR(B917="",V917=""),"",V917-B917)</f>
        <v/>
      </c>
      <c r="AI917" s="16" t="str">
        <f>IF(P917="","",P917-WEEKDAY(P917,3))</f>
        <v/>
      </c>
      <c r="AJ917" s="23" t="str">
        <f>IF(P917="","",DATE(YEAR(P917),MONTH(P917),1))</f>
        <v/>
      </c>
    </row>
    <row r="918">
      <c r="A918" s="21"/>
      <c r="B918" s="14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14"/>
      <c r="Q918" s="21"/>
      <c r="R918" s="21"/>
      <c r="S918" s="21"/>
      <c r="T918" s="21"/>
      <c r="U918" s="21"/>
      <c r="V918" s="14"/>
      <c r="W918" s="22"/>
      <c r="X918" s="14"/>
      <c r="Y918" s="11" t="str">
        <f>IF(V918="","",IF(X918&lt;&gt;"",IF(X918-V918&lt;30,"No","Sí"),IF(TODAY()-V918&gt;=30,"Sí","En curso")))</f>
        <v/>
      </c>
      <c r="Z918" s="14"/>
      <c r="AA918" s="21"/>
      <c r="AB918" s="14"/>
      <c r="AC918" s="21"/>
      <c r="AD918" s="21"/>
      <c r="AE918" s="7"/>
      <c r="AF918" s="11" t="str">
        <f>IF(OR(AC918&lt;&gt;"Abierto",Z918=""),"",TODAY()-Z918)</f>
        <v/>
      </c>
      <c r="AG918" s="11" t="str">
        <f>IF(AC918&lt;&gt;"Abierto","",IF(AB918="","Sin siguiente acción",IF(AB918&lt;TODAY(),"Vencido",IF(AB918=TODAY(),"Hoy","En tiempo"))))</f>
        <v/>
      </c>
      <c r="AH918" s="11" t="str">
        <f>IF(OR(B918="",V918=""),"",V918-B918)</f>
        <v/>
      </c>
      <c r="AI918" s="16" t="str">
        <f>IF(P918="","",P918-WEEKDAY(P918,3))</f>
        <v/>
      </c>
      <c r="AJ918" s="23" t="str">
        <f>IF(P918="","",DATE(YEAR(P918),MONTH(P918),1))</f>
        <v/>
      </c>
    </row>
    <row r="919">
      <c r="A919" s="21"/>
      <c r="B919" s="14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14"/>
      <c r="Q919" s="21"/>
      <c r="R919" s="21"/>
      <c r="S919" s="21"/>
      <c r="T919" s="21"/>
      <c r="U919" s="21"/>
      <c r="V919" s="14"/>
      <c r="W919" s="22"/>
      <c r="X919" s="14"/>
      <c r="Y919" s="11" t="str">
        <f>IF(V919="","",IF(X919&lt;&gt;"",IF(X919-V919&lt;30,"No","Sí"),IF(TODAY()-V919&gt;=30,"Sí","En curso")))</f>
        <v/>
      </c>
      <c r="Z919" s="14"/>
      <c r="AA919" s="21"/>
      <c r="AB919" s="14"/>
      <c r="AC919" s="21"/>
      <c r="AD919" s="21"/>
      <c r="AE919" s="7"/>
      <c r="AF919" s="11" t="str">
        <f>IF(OR(AC919&lt;&gt;"Abierto",Z919=""),"",TODAY()-Z919)</f>
        <v/>
      </c>
      <c r="AG919" s="11" t="str">
        <f>IF(AC919&lt;&gt;"Abierto","",IF(AB919="","Sin siguiente acción",IF(AB919&lt;TODAY(),"Vencido",IF(AB919=TODAY(),"Hoy","En tiempo"))))</f>
        <v/>
      </c>
      <c r="AH919" s="11" t="str">
        <f>IF(OR(B919="",V919=""),"",V919-B919)</f>
        <v/>
      </c>
      <c r="AI919" s="16" t="str">
        <f>IF(P919="","",P919-WEEKDAY(P919,3))</f>
        <v/>
      </c>
      <c r="AJ919" s="23" t="str">
        <f>IF(P919="","",DATE(YEAR(P919),MONTH(P919),1))</f>
        <v/>
      </c>
    </row>
    <row r="920">
      <c r="A920" s="21"/>
      <c r="B920" s="14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14"/>
      <c r="Q920" s="21"/>
      <c r="R920" s="21"/>
      <c r="S920" s="21"/>
      <c r="T920" s="21"/>
      <c r="U920" s="21"/>
      <c r="V920" s="14"/>
      <c r="W920" s="22"/>
      <c r="X920" s="14"/>
      <c r="Y920" s="11" t="str">
        <f>IF(V920="","",IF(X920&lt;&gt;"",IF(X920-V920&lt;30,"No","Sí"),IF(TODAY()-V920&gt;=30,"Sí","En curso")))</f>
        <v/>
      </c>
      <c r="Z920" s="14"/>
      <c r="AA920" s="21"/>
      <c r="AB920" s="14"/>
      <c r="AC920" s="21"/>
      <c r="AD920" s="21"/>
      <c r="AE920" s="7"/>
      <c r="AF920" s="11" t="str">
        <f>IF(OR(AC920&lt;&gt;"Abierto",Z920=""),"",TODAY()-Z920)</f>
        <v/>
      </c>
      <c r="AG920" s="11" t="str">
        <f>IF(AC920&lt;&gt;"Abierto","",IF(AB920="","Sin siguiente acción",IF(AB920&lt;TODAY(),"Vencido",IF(AB920=TODAY(),"Hoy","En tiempo"))))</f>
        <v/>
      </c>
      <c r="AH920" s="11" t="str">
        <f>IF(OR(B920="",V920=""),"",V920-B920)</f>
        <v/>
      </c>
      <c r="AI920" s="16" t="str">
        <f>IF(P920="","",P920-WEEKDAY(P920,3))</f>
        <v/>
      </c>
      <c r="AJ920" s="23" t="str">
        <f>IF(P920="","",DATE(YEAR(P920),MONTH(P920),1))</f>
        <v/>
      </c>
    </row>
    <row r="921">
      <c r="A921" s="21"/>
      <c r="B921" s="14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14"/>
      <c r="Q921" s="21"/>
      <c r="R921" s="21"/>
      <c r="S921" s="21"/>
      <c r="T921" s="21"/>
      <c r="U921" s="21"/>
      <c r="V921" s="14"/>
      <c r="W921" s="22"/>
      <c r="X921" s="14"/>
      <c r="Y921" s="11" t="str">
        <f>IF(V921="","",IF(X921&lt;&gt;"",IF(X921-V921&lt;30,"No","Sí"),IF(TODAY()-V921&gt;=30,"Sí","En curso")))</f>
        <v/>
      </c>
      <c r="Z921" s="14"/>
      <c r="AA921" s="21"/>
      <c r="AB921" s="14"/>
      <c r="AC921" s="21"/>
      <c r="AD921" s="21"/>
      <c r="AE921" s="7"/>
      <c r="AF921" s="11" t="str">
        <f>IF(OR(AC921&lt;&gt;"Abierto",Z921=""),"",TODAY()-Z921)</f>
        <v/>
      </c>
      <c r="AG921" s="11" t="str">
        <f>IF(AC921&lt;&gt;"Abierto","",IF(AB921="","Sin siguiente acción",IF(AB921&lt;TODAY(),"Vencido",IF(AB921=TODAY(),"Hoy","En tiempo"))))</f>
        <v/>
      </c>
      <c r="AH921" s="11" t="str">
        <f>IF(OR(B921="",V921=""),"",V921-B921)</f>
        <v/>
      </c>
      <c r="AI921" s="16" t="str">
        <f>IF(P921="","",P921-WEEKDAY(P921,3))</f>
        <v/>
      </c>
      <c r="AJ921" s="23" t="str">
        <f>IF(P921="","",DATE(YEAR(P921),MONTH(P921),1))</f>
        <v/>
      </c>
    </row>
    <row r="922">
      <c r="A922" s="21"/>
      <c r="B922" s="14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14"/>
      <c r="Q922" s="21"/>
      <c r="R922" s="21"/>
      <c r="S922" s="21"/>
      <c r="T922" s="21"/>
      <c r="U922" s="21"/>
      <c r="V922" s="14"/>
      <c r="W922" s="22"/>
      <c r="X922" s="14"/>
      <c r="Y922" s="11" t="str">
        <f>IF(V922="","",IF(X922&lt;&gt;"",IF(X922-V922&lt;30,"No","Sí"),IF(TODAY()-V922&gt;=30,"Sí","En curso")))</f>
        <v/>
      </c>
      <c r="Z922" s="14"/>
      <c r="AA922" s="21"/>
      <c r="AB922" s="14"/>
      <c r="AC922" s="21"/>
      <c r="AD922" s="21"/>
      <c r="AE922" s="7"/>
      <c r="AF922" s="11" t="str">
        <f>IF(OR(AC922&lt;&gt;"Abierto",Z922=""),"",TODAY()-Z922)</f>
        <v/>
      </c>
      <c r="AG922" s="11" t="str">
        <f>IF(AC922&lt;&gt;"Abierto","",IF(AB922="","Sin siguiente acción",IF(AB922&lt;TODAY(),"Vencido",IF(AB922=TODAY(),"Hoy","En tiempo"))))</f>
        <v/>
      </c>
      <c r="AH922" s="11" t="str">
        <f>IF(OR(B922="",V922=""),"",V922-B922)</f>
        <v/>
      </c>
      <c r="AI922" s="16" t="str">
        <f>IF(P922="","",P922-WEEKDAY(P922,3))</f>
        <v/>
      </c>
      <c r="AJ922" s="23" t="str">
        <f>IF(P922="","",DATE(YEAR(P922),MONTH(P922),1))</f>
        <v/>
      </c>
    </row>
    <row r="923">
      <c r="A923" s="21"/>
      <c r="B923" s="14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14"/>
      <c r="Q923" s="21"/>
      <c r="R923" s="21"/>
      <c r="S923" s="21"/>
      <c r="T923" s="21"/>
      <c r="U923" s="21"/>
      <c r="V923" s="14"/>
      <c r="W923" s="22"/>
      <c r="X923" s="14"/>
      <c r="Y923" s="11" t="str">
        <f>IF(V923="","",IF(X923&lt;&gt;"",IF(X923-V923&lt;30,"No","Sí"),IF(TODAY()-V923&gt;=30,"Sí","En curso")))</f>
        <v/>
      </c>
      <c r="Z923" s="14"/>
      <c r="AA923" s="21"/>
      <c r="AB923" s="14"/>
      <c r="AC923" s="21"/>
      <c r="AD923" s="21"/>
      <c r="AE923" s="7"/>
      <c r="AF923" s="11" t="str">
        <f>IF(OR(AC923&lt;&gt;"Abierto",Z923=""),"",TODAY()-Z923)</f>
        <v/>
      </c>
      <c r="AG923" s="11" t="str">
        <f>IF(AC923&lt;&gt;"Abierto","",IF(AB923="","Sin siguiente acción",IF(AB923&lt;TODAY(),"Vencido",IF(AB923=TODAY(),"Hoy","En tiempo"))))</f>
        <v/>
      </c>
      <c r="AH923" s="11" t="str">
        <f>IF(OR(B923="",V923=""),"",V923-B923)</f>
        <v/>
      </c>
      <c r="AI923" s="16" t="str">
        <f>IF(P923="","",P923-WEEKDAY(P923,3))</f>
        <v/>
      </c>
      <c r="AJ923" s="23" t="str">
        <f>IF(P923="","",DATE(YEAR(P923),MONTH(P923),1))</f>
        <v/>
      </c>
    </row>
    <row r="924">
      <c r="A924" s="21"/>
      <c r="B924" s="14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14"/>
      <c r="Q924" s="21"/>
      <c r="R924" s="21"/>
      <c r="S924" s="21"/>
      <c r="T924" s="21"/>
      <c r="U924" s="21"/>
      <c r="V924" s="14"/>
      <c r="W924" s="22"/>
      <c r="X924" s="14"/>
      <c r="Y924" s="11" t="str">
        <f>IF(V924="","",IF(X924&lt;&gt;"",IF(X924-V924&lt;30,"No","Sí"),IF(TODAY()-V924&gt;=30,"Sí","En curso")))</f>
        <v/>
      </c>
      <c r="Z924" s="14"/>
      <c r="AA924" s="21"/>
      <c r="AB924" s="14"/>
      <c r="AC924" s="21"/>
      <c r="AD924" s="21"/>
      <c r="AE924" s="7"/>
      <c r="AF924" s="11" t="str">
        <f>IF(OR(AC924&lt;&gt;"Abierto",Z924=""),"",TODAY()-Z924)</f>
        <v/>
      </c>
      <c r="AG924" s="11" t="str">
        <f>IF(AC924&lt;&gt;"Abierto","",IF(AB924="","Sin siguiente acción",IF(AB924&lt;TODAY(),"Vencido",IF(AB924=TODAY(),"Hoy","En tiempo"))))</f>
        <v/>
      </c>
      <c r="AH924" s="11" t="str">
        <f>IF(OR(B924="",V924=""),"",V924-B924)</f>
        <v/>
      </c>
      <c r="AI924" s="16" t="str">
        <f>IF(P924="","",P924-WEEKDAY(P924,3))</f>
        <v/>
      </c>
      <c r="AJ924" s="23" t="str">
        <f>IF(P924="","",DATE(YEAR(P924),MONTH(P924),1))</f>
        <v/>
      </c>
    </row>
    <row r="925">
      <c r="A925" s="21"/>
      <c r="B925" s="14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14"/>
      <c r="Q925" s="21"/>
      <c r="R925" s="21"/>
      <c r="S925" s="21"/>
      <c r="T925" s="21"/>
      <c r="U925" s="21"/>
      <c r="V925" s="14"/>
      <c r="W925" s="22"/>
      <c r="X925" s="14"/>
      <c r="Y925" s="11" t="str">
        <f>IF(V925="","",IF(X925&lt;&gt;"",IF(X925-V925&lt;30,"No","Sí"),IF(TODAY()-V925&gt;=30,"Sí","En curso")))</f>
        <v/>
      </c>
      <c r="Z925" s="14"/>
      <c r="AA925" s="21"/>
      <c r="AB925" s="14"/>
      <c r="AC925" s="21"/>
      <c r="AD925" s="21"/>
      <c r="AE925" s="7"/>
      <c r="AF925" s="11" t="str">
        <f>IF(OR(AC925&lt;&gt;"Abierto",Z925=""),"",TODAY()-Z925)</f>
        <v/>
      </c>
      <c r="AG925" s="11" t="str">
        <f>IF(AC925&lt;&gt;"Abierto","",IF(AB925="","Sin siguiente acción",IF(AB925&lt;TODAY(),"Vencido",IF(AB925=TODAY(),"Hoy","En tiempo"))))</f>
        <v/>
      </c>
      <c r="AH925" s="11" t="str">
        <f>IF(OR(B925="",V925=""),"",V925-B925)</f>
        <v/>
      </c>
      <c r="AI925" s="16" t="str">
        <f>IF(P925="","",P925-WEEKDAY(P925,3))</f>
        <v/>
      </c>
      <c r="AJ925" s="23" t="str">
        <f>IF(P925="","",DATE(YEAR(P925),MONTH(P925),1))</f>
        <v/>
      </c>
    </row>
    <row r="926">
      <c r="A926" s="21"/>
      <c r="B926" s="14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14"/>
      <c r="Q926" s="21"/>
      <c r="R926" s="21"/>
      <c r="S926" s="21"/>
      <c r="T926" s="21"/>
      <c r="U926" s="21"/>
      <c r="V926" s="14"/>
      <c r="W926" s="22"/>
      <c r="X926" s="14"/>
      <c r="Y926" s="11" t="str">
        <f>IF(V926="","",IF(X926&lt;&gt;"",IF(X926-V926&lt;30,"No","Sí"),IF(TODAY()-V926&gt;=30,"Sí","En curso")))</f>
        <v/>
      </c>
      <c r="Z926" s="14"/>
      <c r="AA926" s="21"/>
      <c r="AB926" s="14"/>
      <c r="AC926" s="21"/>
      <c r="AD926" s="21"/>
      <c r="AE926" s="7"/>
      <c r="AF926" s="11" t="str">
        <f>IF(OR(AC926&lt;&gt;"Abierto",Z926=""),"",TODAY()-Z926)</f>
        <v/>
      </c>
      <c r="AG926" s="11" t="str">
        <f>IF(AC926&lt;&gt;"Abierto","",IF(AB926="","Sin siguiente acción",IF(AB926&lt;TODAY(),"Vencido",IF(AB926=TODAY(),"Hoy","En tiempo"))))</f>
        <v/>
      </c>
      <c r="AH926" s="11" t="str">
        <f>IF(OR(B926="",V926=""),"",V926-B926)</f>
        <v/>
      </c>
      <c r="AI926" s="16" t="str">
        <f>IF(P926="","",P926-WEEKDAY(P926,3))</f>
        <v/>
      </c>
      <c r="AJ926" s="23" t="str">
        <f>IF(P926="","",DATE(YEAR(P926),MONTH(P926),1))</f>
        <v/>
      </c>
    </row>
    <row r="927">
      <c r="A927" s="21"/>
      <c r="B927" s="14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14"/>
      <c r="Q927" s="21"/>
      <c r="R927" s="21"/>
      <c r="S927" s="21"/>
      <c r="T927" s="21"/>
      <c r="U927" s="21"/>
      <c r="V927" s="14"/>
      <c r="W927" s="22"/>
      <c r="X927" s="14"/>
      <c r="Y927" s="11" t="str">
        <f>IF(V927="","",IF(X927&lt;&gt;"",IF(X927-V927&lt;30,"No","Sí"),IF(TODAY()-V927&gt;=30,"Sí","En curso")))</f>
        <v/>
      </c>
      <c r="Z927" s="14"/>
      <c r="AA927" s="21"/>
      <c r="AB927" s="14"/>
      <c r="AC927" s="21"/>
      <c r="AD927" s="21"/>
      <c r="AE927" s="7"/>
      <c r="AF927" s="11" t="str">
        <f>IF(OR(AC927&lt;&gt;"Abierto",Z927=""),"",TODAY()-Z927)</f>
        <v/>
      </c>
      <c r="AG927" s="11" t="str">
        <f>IF(AC927&lt;&gt;"Abierto","",IF(AB927="","Sin siguiente acción",IF(AB927&lt;TODAY(),"Vencido",IF(AB927=TODAY(),"Hoy","En tiempo"))))</f>
        <v/>
      </c>
      <c r="AH927" s="11" t="str">
        <f>IF(OR(B927="",V927=""),"",V927-B927)</f>
        <v/>
      </c>
      <c r="AI927" s="16" t="str">
        <f>IF(P927="","",P927-WEEKDAY(P927,3))</f>
        <v/>
      </c>
      <c r="AJ927" s="23" t="str">
        <f>IF(P927="","",DATE(YEAR(P927),MONTH(P927),1))</f>
        <v/>
      </c>
    </row>
    <row r="928">
      <c r="A928" s="21"/>
      <c r="B928" s="14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14"/>
      <c r="Q928" s="21"/>
      <c r="R928" s="21"/>
      <c r="S928" s="21"/>
      <c r="T928" s="21"/>
      <c r="U928" s="21"/>
      <c r="V928" s="14"/>
      <c r="W928" s="22"/>
      <c r="X928" s="14"/>
      <c r="Y928" s="11" t="str">
        <f>IF(V928="","",IF(X928&lt;&gt;"",IF(X928-V928&lt;30,"No","Sí"),IF(TODAY()-V928&gt;=30,"Sí","En curso")))</f>
        <v/>
      </c>
      <c r="Z928" s="14"/>
      <c r="AA928" s="21"/>
      <c r="AB928" s="14"/>
      <c r="AC928" s="21"/>
      <c r="AD928" s="21"/>
      <c r="AE928" s="7"/>
      <c r="AF928" s="11" t="str">
        <f>IF(OR(AC928&lt;&gt;"Abierto",Z928=""),"",TODAY()-Z928)</f>
        <v/>
      </c>
      <c r="AG928" s="11" t="str">
        <f>IF(AC928&lt;&gt;"Abierto","",IF(AB928="","Sin siguiente acción",IF(AB928&lt;TODAY(),"Vencido",IF(AB928=TODAY(),"Hoy","En tiempo"))))</f>
        <v/>
      </c>
      <c r="AH928" s="11" t="str">
        <f>IF(OR(B928="",V928=""),"",V928-B928)</f>
        <v/>
      </c>
      <c r="AI928" s="16" t="str">
        <f>IF(P928="","",P928-WEEKDAY(P928,3))</f>
        <v/>
      </c>
      <c r="AJ928" s="23" t="str">
        <f>IF(P928="","",DATE(YEAR(P928),MONTH(P928),1))</f>
        <v/>
      </c>
    </row>
    <row r="929">
      <c r="A929" s="21"/>
      <c r="B929" s="14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14"/>
      <c r="Q929" s="21"/>
      <c r="R929" s="21"/>
      <c r="S929" s="21"/>
      <c r="T929" s="21"/>
      <c r="U929" s="21"/>
      <c r="V929" s="14"/>
      <c r="W929" s="22"/>
      <c r="X929" s="14"/>
      <c r="Y929" s="11" t="str">
        <f>IF(V929="","",IF(X929&lt;&gt;"",IF(X929-V929&lt;30,"No","Sí"),IF(TODAY()-V929&gt;=30,"Sí","En curso")))</f>
        <v/>
      </c>
      <c r="Z929" s="14"/>
      <c r="AA929" s="21"/>
      <c r="AB929" s="14"/>
      <c r="AC929" s="21"/>
      <c r="AD929" s="21"/>
      <c r="AE929" s="7"/>
      <c r="AF929" s="11" t="str">
        <f>IF(OR(AC929&lt;&gt;"Abierto",Z929=""),"",TODAY()-Z929)</f>
        <v/>
      </c>
      <c r="AG929" s="11" t="str">
        <f>IF(AC929&lt;&gt;"Abierto","",IF(AB929="","Sin siguiente acción",IF(AB929&lt;TODAY(),"Vencido",IF(AB929=TODAY(),"Hoy","En tiempo"))))</f>
        <v/>
      </c>
      <c r="AH929" s="11" t="str">
        <f>IF(OR(B929="",V929=""),"",V929-B929)</f>
        <v/>
      </c>
      <c r="AI929" s="16" t="str">
        <f>IF(P929="","",P929-WEEKDAY(P929,3))</f>
        <v/>
      </c>
      <c r="AJ929" s="23" t="str">
        <f>IF(P929="","",DATE(YEAR(P929),MONTH(P929),1))</f>
        <v/>
      </c>
    </row>
    <row r="930">
      <c r="A930" s="21"/>
      <c r="B930" s="14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14"/>
      <c r="Q930" s="21"/>
      <c r="R930" s="21"/>
      <c r="S930" s="21"/>
      <c r="T930" s="21"/>
      <c r="U930" s="21"/>
      <c r="V930" s="14"/>
      <c r="W930" s="22"/>
      <c r="X930" s="14"/>
      <c r="Y930" s="11" t="str">
        <f>IF(V930="","",IF(X930&lt;&gt;"",IF(X930-V930&lt;30,"No","Sí"),IF(TODAY()-V930&gt;=30,"Sí","En curso")))</f>
        <v/>
      </c>
      <c r="Z930" s="14"/>
      <c r="AA930" s="21"/>
      <c r="AB930" s="14"/>
      <c r="AC930" s="21"/>
      <c r="AD930" s="21"/>
      <c r="AE930" s="7"/>
      <c r="AF930" s="11" t="str">
        <f>IF(OR(AC930&lt;&gt;"Abierto",Z930=""),"",TODAY()-Z930)</f>
        <v/>
      </c>
      <c r="AG930" s="11" t="str">
        <f>IF(AC930&lt;&gt;"Abierto","",IF(AB930="","Sin siguiente acción",IF(AB930&lt;TODAY(),"Vencido",IF(AB930=TODAY(),"Hoy","En tiempo"))))</f>
        <v/>
      </c>
      <c r="AH930" s="11" t="str">
        <f>IF(OR(B930="",V930=""),"",V930-B930)</f>
        <v/>
      </c>
      <c r="AI930" s="16" t="str">
        <f>IF(P930="","",P930-WEEKDAY(P930,3))</f>
        <v/>
      </c>
      <c r="AJ930" s="23" t="str">
        <f>IF(P930="","",DATE(YEAR(P930),MONTH(P930),1))</f>
        <v/>
      </c>
    </row>
    <row r="931">
      <c r="A931" s="21"/>
      <c r="B931" s="14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14"/>
      <c r="Q931" s="21"/>
      <c r="R931" s="21"/>
      <c r="S931" s="21"/>
      <c r="T931" s="21"/>
      <c r="U931" s="21"/>
      <c r="V931" s="14"/>
      <c r="W931" s="22"/>
      <c r="X931" s="14"/>
      <c r="Y931" s="11" t="str">
        <f>IF(V931="","",IF(X931&lt;&gt;"",IF(X931-V931&lt;30,"No","Sí"),IF(TODAY()-V931&gt;=30,"Sí","En curso")))</f>
        <v/>
      </c>
      <c r="Z931" s="14"/>
      <c r="AA931" s="21"/>
      <c r="AB931" s="14"/>
      <c r="AC931" s="21"/>
      <c r="AD931" s="21"/>
      <c r="AE931" s="7"/>
      <c r="AF931" s="11" t="str">
        <f>IF(OR(AC931&lt;&gt;"Abierto",Z931=""),"",TODAY()-Z931)</f>
        <v/>
      </c>
      <c r="AG931" s="11" t="str">
        <f>IF(AC931&lt;&gt;"Abierto","",IF(AB931="","Sin siguiente acción",IF(AB931&lt;TODAY(),"Vencido",IF(AB931=TODAY(),"Hoy","En tiempo"))))</f>
        <v/>
      </c>
      <c r="AH931" s="11" t="str">
        <f>IF(OR(B931="",V931=""),"",V931-B931)</f>
        <v/>
      </c>
      <c r="AI931" s="16" t="str">
        <f>IF(P931="","",P931-WEEKDAY(P931,3))</f>
        <v/>
      </c>
      <c r="AJ931" s="23" t="str">
        <f>IF(P931="","",DATE(YEAR(P931),MONTH(P931),1))</f>
        <v/>
      </c>
    </row>
    <row r="932">
      <c r="A932" s="21"/>
      <c r="B932" s="14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14"/>
      <c r="Q932" s="21"/>
      <c r="R932" s="21"/>
      <c r="S932" s="21"/>
      <c r="T932" s="21"/>
      <c r="U932" s="21"/>
      <c r="V932" s="14"/>
      <c r="W932" s="22"/>
      <c r="X932" s="14"/>
      <c r="Y932" s="11" t="str">
        <f>IF(V932="","",IF(X932&lt;&gt;"",IF(X932-V932&lt;30,"No","Sí"),IF(TODAY()-V932&gt;=30,"Sí","En curso")))</f>
        <v/>
      </c>
      <c r="Z932" s="14"/>
      <c r="AA932" s="21"/>
      <c r="AB932" s="14"/>
      <c r="AC932" s="21"/>
      <c r="AD932" s="21"/>
      <c r="AE932" s="7"/>
      <c r="AF932" s="11" t="str">
        <f>IF(OR(AC932&lt;&gt;"Abierto",Z932=""),"",TODAY()-Z932)</f>
        <v/>
      </c>
      <c r="AG932" s="11" t="str">
        <f>IF(AC932&lt;&gt;"Abierto","",IF(AB932="","Sin siguiente acción",IF(AB932&lt;TODAY(),"Vencido",IF(AB932=TODAY(),"Hoy","En tiempo"))))</f>
        <v/>
      </c>
      <c r="AH932" s="11" t="str">
        <f>IF(OR(B932="",V932=""),"",V932-B932)</f>
        <v/>
      </c>
      <c r="AI932" s="16" t="str">
        <f>IF(P932="","",P932-WEEKDAY(P932,3))</f>
        <v/>
      </c>
      <c r="AJ932" s="23" t="str">
        <f>IF(P932="","",DATE(YEAR(P932),MONTH(P932),1))</f>
        <v/>
      </c>
    </row>
    <row r="933">
      <c r="A933" s="21"/>
      <c r="B933" s="14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14"/>
      <c r="Q933" s="21"/>
      <c r="R933" s="21"/>
      <c r="S933" s="21"/>
      <c r="T933" s="21"/>
      <c r="U933" s="21"/>
      <c r="V933" s="14"/>
      <c r="W933" s="22"/>
      <c r="X933" s="14"/>
      <c r="Y933" s="11" t="str">
        <f>IF(V933="","",IF(X933&lt;&gt;"",IF(X933-V933&lt;30,"No","Sí"),IF(TODAY()-V933&gt;=30,"Sí","En curso")))</f>
        <v/>
      </c>
      <c r="Z933" s="14"/>
      <c r="AA933" s="21"/>
      <c r="AB933" s="14"/>
      <c r="AC933" s="21"/>
      <c r="AD933" s="21"/>
      <c r="AE933" s="7"/>
      <c r="AF933" s="11" t="str">
        <f>IF(OR(AC933&lt;&gt;"Abierto",Z933=""),"",TODAY()-Z933)</f>
        <v/>
      </c>
      <c r="AG933" s="11" t="str">
        <f>IF(AC933&lt;&gt;"Abierto","",IF(AB933="","Sin siguiente acción",IF(AB933&lt;TODAY(),"Vencido",IF(AB933=TODAY(),"Hoy","En tiempo"))))</f>
        <v/>
      </c>
      <c r="AH933" s="11" t="str">
        <f>IF(OR(B933="",V933=""),"",V933-B933)</f>
        <v/>
      </c>
      <c r="AI933" s="16" t="str">
        <f>IF(P933="","",P933-WEEKDAY(P933,3))</f>
        <v/>
      </c>
      <c r="AJ933" s="23" t="str">
        <f>IF(P933="","",DATE(YEAR(P933),MONTH(P933),1))</f>
        <v/>
      </c>
    </row>
    <row r="934">
      <c r="A934" s="21"/>
      <c r="B934" s="14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14"/>
      <c r="Q934" s="21"/>
      <c r="R934" s="21"/>
      <c r="S934" s="21"/>
      <c r="T934" s="21"/>
      <c r="U934" s="21"/>
      <c r="V934" s="14"/>
      <c r="W934" s="22"/>
      <c r="X934" s="14"/>
      <c r="Y934" s="11" t="str">
        <f>IF(V934="","",IF(X934&lt;&gt;"",IF(X934-V934&lt;30,"No","Sí"),IF(TODAY()-V934&gt;=30,"Sí","En curso")))</f>
        <v/>
      </c>
      <c r="Z934" s="14"/>
      <c r="AA934" s="21"/>
      <c r="AB934" s="14"/>
      <c r="AC934" s="21"/>
      <c r="AD934" s="21"/>
      <c r="AE934" s="7"/>
      <c r="AF934" s="11" t="str">
        <f>IF(OR(AC934&lt;&gt;"Abierto",Z934=""),"",TODAY()-Z934)</f>
        <v/>
      </c>
      <c r="AG934" s="11" t="str">
        <f>IF(AC934&lt;&gt;"Abierto","",IF(AB934="","Sin siguiente acción",IF(AB934&lt;TODAY(),"Vencido",IF(AB934=TODAY(),"Hoy","En tiempo"))))</f>
        <v/>
      </c>
      <c r="AH934" s="11" t="str">
        <f>IF(OR(B934="",V934=""),"",V934-B934)</f>
        <v/>
      </c>
      <c r="AI934" s="16" t="str">
        <f>IF(P934="","",P934-WEEKDAY(P934,3))</f>
        <v/>
      </c>
      <c r="AJ934" s="23" t="str">
        <f>IF(P934="","",DATE(YEAR(P934),MONTH(P934),1))</f>
        <v/>
      </c>
    </row>
    <row r="935">
      <c r="A935" s="21"/>
      <c r="B935" s="14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14"/>
      <c r="Q935" s="21"/>
      <c r="R935" s="21"/>
      <c r="S935" s="21"/>
      <c r="T935" s="21"/>
      <c r="U935" s="21"/>
      <c r="V935" s="14"/>
      <c r="W935" s="22"/>
      <c r="X935" s="14"/>
      <c r="Y935" s="11" t="str">
        <f>IF(V935="","",IF(X935&lt;&gt;"",IF(X935-V935&lt;30,"No","Sí"),IF(TODAY()-V935&gt;=30,"Sí","En curso")))</f>
        <v/>
      </c>
      <c r="Z935" s="14"/>
      <c r="AA935" s="21"/>
      <c r="AB935" s="14"/>
      <c r="AC935" s="21"/>
      <c r="AD935" s="21"/>
      <c r="AE935" s="7"/>
      <c r="AF935" s="11" t="str">
        <f>IF(OR(AC935&lt;&gt;"Abierto",Z935=""),"",TODAY()-Z935)</f>
        <v/>
      </c>
      <c r="AG935" s="11" t="str">
        <f>IF(AC935&lt;&gt;"Abierto","",IF(AB935="","Sin siguiente acción",IF(AB935&lt;TODAY(),"Vencido",IF(AB935=TODAY(),"Hoy","En tiempo"))))</f>
        <v/>
      </c>
      <c r="AH935" s="11" t="str">
        <f>IF(OR(B935="",V935=""),"",V935-B935)</f>
        <v/>
      </c>
      <c r="AI935" s="16" t="str">
        <f>IF(P935="","",P935-WEEKDAY(P935,3))</f>
        <v/>
      </c>
      <c r="AJ935" s="23" t="str">
        <f>IF(P935="","",DATE(YEAR(P935),MONTH(P935),1))</f>
        <v/>
      </c>
    </row>
    <row r="936">
      <c r="A936" s="21"/>
      <c r="B936" s="14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14"/>
      <c r="Q936" s="21"/>
      <c r="R936" s="21"/>
      <c r="S936" s="21"/>
      <c r="T936" s="21"/>
      <c r="U936" s="21"/>
      <c r="V936" s="14"/>
      <c r="W936" s="22"/>
      <c r="X936" s="14"/>
      <c r="Y936" s="11" t="str">
        <f>IF(V936="","",IF(X936&lt;&gt;"",IF(X936-V936&lt;30,"No","Sí"),IF(TODAY()-V936&gt;=30,"Sí","En curso")))</f>
        <v/>
      </c>
      <c r="Z936" s="14"/>
      <c r="AA936" s="21"/>
      <c r="AB936" s="14"/>
      <c r="AC936" s="21"/>
      <c r="AD936" s="21"/>
      <c r="AE936" s="7"/>
      <c r="AF936" s="11" t="str">
        <f>IF(OR(AC936&lt;&gt;"Abierto",Z936=""),"",TODAY()-Z936)</f>
        <v/>
      </c>
      <c r="AG936" s="11" t="str">
        <f>IF(AC936&lt;&gt;"Abierto","",IF(AB936="","Sin siguiente acción",IF(AB936&lt;TODAY(),"Vencido",IF(AB936=TODAY(),"Hoy","En tiempo"))))</f>
        <v/>
      </c>
      <c r="AH936" s="11" t="str">
        <f>IF(OR(B936="",V936=""),"",V936-B936)</f>
        <v/>
      </c>
      <c r="AI936" s="16" t="str">
        <f>IF(P936="","",P936-WEEKDAY(P936,3))</f>
        <v/>
      </c>
      <c r="AJ936" s="23" t="str">
        <f>IF(P936="","",DATE(YEAR(P936),MONTH(P936),1))</f>
        <v/>
      </c>
    </row>
    <row r="937">
      <c r="A937" s="21"/>
      <c r="B937" s="14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14"/>
      <c r="Q937" s="21"/>
      <c r="R937" s="21"/>
      <c r="S937" s="21"/>
      <c r="T937" s="21"/>
      <c r="U937" s="21"/>
      <c r="V937" s="14"/>
      <c r="W937" s="22"/>
      <c r="X937" s="14"/>
      <c r="Y937" s="11" t="str">
        <f>IF(V937="","",IF(X937&lt;&gt;"",IF(X937-V937&lt;30,"No","Sí"),IF(TODAY()-V937&gt;=30,"Sí","En curso")))</f>
        <v/>
      </c>
      <c r="Z937" s="14"/>
      <c r="AA937" s="21"/>
      <c r="AB937" s="14"/>
      <c r="AC937" s="21"/>
      <c r="AD937" s="21"/>
      <c r="AE937" s="7"/>
      <c r="AF937" s="11" t="str">
        <f>IF(OR(AC937&lt;&gt;"Abierto",Z937=""),"",TODAY()-Z937)</f>
        <v/>
      </c>
      <c r="AG937" s="11" t="str">
        <f>IF(AC937&lt;&gt;"Abierto","",IF(AB937="","Sin siguiente acción",IF(AB937&lt;TODAY(),"Vencido",IF(AB937=TODAY(),"Hoy","En tiempo"))))</f>
        <v/>
      </c>
      <c r="AH937" s="11" t="str">
        <f>IF(OR(B937="",V937=""),"",V937-B937)</f>
        <v/>
      </c>
      <c r="AI937" s="16" t="str">
        <f>IF(P937="","",P937-WEEKDAY(P937,3))</f>
        <v/>
      </c>
      <c r="AJ937" s="23" t="str">
        <f>IF(P937="","",DATE(YEAR(P937),MONTH(P937),1))</f>
        <v/>
      </c>
    </row>
    <row r="938">
      <c r="A938" s="21"/>
      <c r="B938" s="14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14"/>
      <c r="Q938" s="21"/>
      <c r="R938" s="21"/>
      <c r="S938" s="21"/>
      <c r="T938" s="21"/>
      <c r="U938" s="21"/>
      <c r="V938" s="14"/>
      <c r="W938" s="22"/>
      <c r="X938" s="14"/>
      <c r="Y938" s="11" t="str">
        <f>IF(V938="","",IF(X938&lt;&gt;"",IF(X938-V938&lt;30,"No","Sí"),IF(TODAY()-V938&gt;=30,"Sí","En curso")))</f>
        <v/>
      </c>
      <c r="Z938" s="14"/>
      <c r="AA938" s="21"/>
      <c r="AB938" s="14"/>
      <c r="AC938" s="21"/>
      <c r="AD938" s="21"/>
      <c r="AE938" s="7"/>
      <c r="AF938" s="11" t="str">
        <f>IF(OR(AC938&lt;&gt;"Abierto",Z938=""),"",TODAY()-Z938)</f>
        <v/>
      </c>
      <c r="AG938" s="11" t="str">
        <f>IF(AC938&lt;&gt;"Abierto","",IF(AB938="","Sin siguiente acción",IF(AB938&lt;TODAY(),"Vencido",IF(AB938=TODAY(),"Hoy","En tiempo"))))</f>
        <v/>
      </c>
      <c r="AH938" s="11" t="str">
        <f>IF(OR(B938="",V938=""),"",V938-B938)</f>
        <v/>
      </c>
      <c r="AI938" s="16" t="str">
        <f>IF(P938="","",P938-WEEKDAY(P938,3))</f>
        <v/>
      </c>
      <c r="AJ938" s="23" t="str">
        <f>IF(P938="","",DATE(YEAR(P938),MONTH(P938),1))</f>
        <v/>
      </c>
    </row>
    <row r="939">
      <c r="A939" s="21"/>
      <c r="B939" s="14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14"/>
      <c r="Q939" s="21"/>
      <c r="R939" s="21"/>
      <c r="S939" s="21"/>
      <c r="T939" s="21"/>
      <c r="U939" s="21"/>
      <c r="V939" s="14"/>
      <c r="W939" s="22"/>
      <c r="X939" s="14"/>
      <c r="Y939" s="11" t="str">
        <f>IF(V939="","",IF(X939&lt;&gt;"",IF(X939-V939&lt;30,"No","Sí"),IF(TODAY()-V939&gt;=30,"Sí","En curso")))</f>
        <v/>
      </c>
      <c r="Z939" s="14"/>
      <c r="AA939" s="21"/>
      <c r="AB939" s="14"/>
      <c r="AC939" s="21"/>
      <c r="AD939" s="21"/>
      <c r="AE939" s="7"/>
      <c r="AF939" s="11" t="str">
        <f>IF(OR(AC939&lt;&gt;"Abierto",Z939=""),"",TODAY()-Z939)</f>
        <v/>
      </c>
      <c r="AG939" s="11" t="str">
        <f>IF(AC939&lt;&gt;"Abierto","",IF(AB939="","Sin siguiente acción",IF(AB939&lt;TODAY(),"Vencido",IF(AB939=TODAY(),"Hoy","En tiempo"))))</f>
        <v/>
      </c>
      <c r="AH939" s="11" t="str">
        <f>IF(OR(B939="",V939=""),"",V939-B939)</f>
        <v/>
      </c>
      <c r="AI939" s="16" t="str">
        <f>IF(P939="","",P939-WEEKDAY(P939,3))</f>
        <v/>
      </c>
      <c r="AJ939" s="23" t="str">
        <f>IF(P939="","",DATE(YEAR(P939),MONTH(P939),1))</f>
        <v/>
      </c>
    </row>
    <row r="940">
      <c r="A940" s="21"/>
      <c r="B940" s="14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14"/>
      <c r="Q940" s="21"/>
      <c r="R940" s="21"/>
      <c r="S940" s="21"/>
      <c r="T940" s="21"/>
      <c r="U940" s="21"/>
      <c r="V940" s="14"/>
      <c r="W940" s="22"/>
      <c r="X940" s="14"/>
      <c r="Y940" s="11" t="str">
        <f>IF(V940="","",IF(X940&lt;&gt;"",IF(X940-V940&lt;30,"No","Sí"),IF(TODAY()-V940&gt;=30,"Sí","En curso")))</f>
        <v/>
      </c>
      <c r="Z940" s="14"/>
      <c r="AA940" s="21"/>
      <c r="AB940" s="14"/>
      <c r="AC940" s="21"/>
      <c r="AD940" s="21"/>
      <c r="AE940" s="7"/>
      <c r="AF940" s="11" t="str">
        <f>IF(OR(AC940&lt;&gt;"Abierto",Z940=""),"",TODAY()-Z940)</f>
        <v/>
      </c>
      <c r="AG940" s="11" t="str">
        <f>IF(AC940&lt;&gt;"Abierto","",IF(AB940="","Sin siguiente acción",IF(AB940&lt;TODAY(),"Vencido",IF(AB940=TODAY(),"Hoy","En tiempo"))))</f>
        <v/>
      </c>
      <c r="AH940" s="11" t="str">
        <f>IF(OR(B940="",V940=""),"",V940-B940)</f>
        <v/>
      </c>
      <c r="AI940" s="16" t="str">
        <f>IF(P940="","",P940-WEEKDAY(P940,3))</f>
        <v/>
      </c>
      <c r="AJ940" s="23" t="str">
        <f>IF(P940="","",DATE(YEAR(P940),MONTH(P940),1))</f>
        <v/>
      </c>
    </row>
    <row r="941">
      <c r="A941" s="21"/>
      <c r="B941" s="14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14"/>
      <c r="Q941" s="21"/>
      <c r="R941" s="21"/>
      <c r="S941" s="21"/>
      <c r="T941" s="21"/>
      <c r="U941" s="21"/>
      <c r="V941" s="14"/>
      <c r="W941" s="22"/>
      <c r="X941" s="14"/>
      <c r="Y941" s="11" t="str">
        <f>IF(V941="","",IF(X941&lt;&gt;"",IF(X941-V941&lt;30,"No","Sí"),IF(TODAY()-V941&gt;=30,"Sí","En curso")))</f>
        <v/>
      </c>
      <c r="Z941" s="14"/>
      <c r="AA941" s="21"/>
      <c r="AB941" s="14"/>
      <c r="AC941" s="21"/>
      <c r="AD941" s="21"/>
      <c r="AE941" s="7"/>
      <c r="AF941" s="11" t="str">
        <f>IF(OR(AC941&lt;&gt;"Abierto",Z941=""),"",TODAY()-Z941)</f>
        <v/>
      </c>
      <c r="AG941" s="11" t="str">
        <f>IF(AC941&lt;&gt;"Abierto","",IF(AB941="","Sin siguiente acción",IF(AB941&lt;TODAY(),"Vencido",IF(AB941=TODAY(),"Hoy","En tiempo"))))</f>
        <v/>
      </c>
      <c r="AH941" s="11" t="str">
        <f>IF(OR(B941="",V941=""),"",V941-B941)</f>
        <v/>
      </c>
      <c r="AI941" s="16" t="str">
        <f>IF(P941="","",P941-WEEKDAY(P941,3))</f>
        <v/>
      </c>
      <c r="AJ941" s="23" t="str">
        <f>IF(P941="","",DATE(YEAR(P941),MONTH(P941),1))</f>
        <v/>
      </c>
    </row>
    <row r="942">
      <c r="A942" s="21"/>
      <c r="B942" s="14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14"/>
      <c r="Q942" s="21"/>
      <c r="R942" s="21"/>
      <c r="S942" s="21"/>
      <c r="T942" s="21"/>
      <c r="U942" s="21"/>
      <c r="V942" s="14"/>
      <c r="W942" s="22"/>
      <c r="X942" s="14"/>
      <c r="Y942" s="11" t="str">
        <f>IF(V942="","",IF(X942&lt;&gt;"",IF(X942-V942&lt;30,"No","Sí"),IF(TODAY()-V942&gt;=30,"Sí","En curso")))</f>
        <v/>
      </c>
      <c r="Z942" s="14"/>
      <c r="AA942" s="21"/>
      <c r="AB942" s="14"/>
      <c r="AC942" s="21"/>
      <c r="AD942" s="21"/>
      <c r="AE942" s="7"/>
      <c r="AF942" s="11" t="str">
        <f>IF(OR(AC942&lt;&gt;"Abierto",Z942=""),"",TODAY()-Z942)</f>
        <v/>
      </c>
      <c r="AG942" s="11" t="str">
        <f>IF(AC942&lt;&gt;"Abierto","",IF(AB942="","Sin siguiente acción",IF(AB942&lt;TODAY(),"Vencido",IF(AB942=TODAY(),"Hoy","En tiempo"))))</f>
        <v/>
      </c>
      <c r="AH942" s="11" t="str">
        <f>IF(OR(B942="",V942=""),"",V942-B942)</f>
        <v/>
      </c>
      <c r="AI942" s="16" t="str">
        <f>IF(P942="","",P942-WEEKDAY(P942,3))</f>
        <v/>
      </c>
      <c r="AJ942" s="23" t="str">
        <f>IF(P942="","",DATE(YEAR(P942),MONTH(P942),1))</f>
        <v/>
      </c>
    </row>
    <row r="943">
      <c r="A943" s="21"/>
      <c r="B943" s="14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14"/>
      <c r="Q943" s="21"/>
      <c r="R943" s="21"/>
      <c r="S943" s="21"/>
      <c r="T943" s="21"/>
      <c r="U943" s="21"/>
      <c r="V943" s="14"/>
      <c r="W943" s="22"/>
      <c r="X943" s="14"/>
      <c r="Y943" s="11" t="str">
        <f>IF(V943="","",IF(X943&lt;&gt;"",IF(X943-V943&lt;30,"No","Sí"),IF(TODAY()-V943&gt;=30,"Sí","En curso")))</f>
        <v/>
      </c>
      <c r="Z943" s="14"/>
      <c r="AA943" s="21"/>
      <c r="AB943" s="14"/>
      <c r="AC943" s="21"/>
      <c r="AD943" s="21"/>
      <c r="AE943" s="7"/>
      <c r="AF943" s="11" t="str">
        <f>IF(OR(AC943&lt;&gt;"Abierto",Z943=""),"",TODAY()-Z943)</f>
        <v/>
      </c>
      <c r="AG943" s="11" t="str">
        <f>IF(AC943&lt;&gt;"Abierto","",IF(AB943="","Sin siguiente acción",IF(AB943&lt;TODAY(),"Vencido",IF(AB943=TODAY(),"Hoy","En tiempo"))))</f>
        <v/>
      </c>
      <c r="AH943" s="11" t="str">
        <f>IF(OR(B943="",V943=""),"",V943-B943)</f>
        <v/>
      </c>
      <c r="AI943" s="16" t="str">
        <f>IF(P943="","",P943-WEEKDAY(P943,3))</f>
        <v/>
      </c>
      <c r="AJ943" s="23" t="str">
        <f>IF(P943="","",DATE(YEAR(P943),MONTH(P943),1))</f>
        <v/>
      </c>
    </row>
    <row r="944">
      <c r="A944" s="21"/>
      <c r="B944" s="14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14"/>
      <c r="Q944" s="21"/>
      <c r="R944" s="21"/>
      <c r="S944" s="21"/>
      <c r="T944" s="21"/>
      <c r="U944" s="21"/>
      <c r="V944" s="14"/>
      <c r="W944" s="22"/>
      <c r="X944" s="14"/>
      <c r="Y944" s="11" t="str">
        <f>IF(V944="","",IF(X944&lt;&gt;"",IF(X944-V944&lt;30,"No","Sí"),IF(TODAY()-V944&gt;=30,"Sí","En curso")))</f>
        <v/>
      </c>
      <c r="Z944" s="14"/>
      <c r="AA944" s="21"/>
      <c r="AB944" s="14"/>
      <c r="AC944" s="21"/>
      <c r="AD944" s="21"/>
      <c r="AE944" s="7"/>
      <c r="AF944" s="11" t="str">
        <f>IF(OR(AC944&lt;&gt;"Abierto",Z944=""),"",TODAY()-Z944)</f>
        <v/>
      </c>
      <c r="AG944" s="11" t="str">
        <f>IF(AC944&lt;&gt;"Abierto","",IF(AB944="","Sin siguiente acción",IF(AB944&lt;TODAY(),"Vencido",IF(AB944=TODAY(),"Hoy","En tiempo"))))</f>
        <v/>
      </c>
      <c r="AH944" s="11" t="str">
        <f>IF(OR(B944="",V944=""),"",V944-B944)</f>
        <v/>
      </c>
      <c r="AI944" s="16" t="str">
        <f>IF(P944="","",P944-WEEKDAY(P944,3))</f>
        <v/>
      </c>
      <c r="AJ944" s="23" t="str">
        <f>IF(P944="","",DATE(YEAR(P944),MONTH(P944),1))</f>
        <v/>
      </c>
    </row>
    <row r="945">
      <c r="A945" s="21"/>
      <c r="B945" s="14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14"/>
      <c r="Q945" s="21"/>
      <c r="R945" s="21"/>
      <c r="S945" s="21"/>
      <c r="T945" s="21"/>
      <c r="U945" s="21"/>
      <c r="V945" s="14"/>
      <c r="W945" s="22"/>
      <c r="X945" s="14"/>
      <c r="Y945" s="11" t="str">
        <f>IF(V945="","",IF(X945&lt;&gt;"",IF(X945-V945&lt;30,"No","Sí"),IF(TODAY()-V945&gt;=30,"Sí","En curso")))</f>
        <v/>
      </c>
      <c r="Z945" s="14"/>
      <c r="AA945" s="21"/>
      <c r="AB945" s="14"/>
      <c r="AC945" s="21"/>
      <c r="AD945" s="21"/>
      <c r="AE945" s="7"/>
      <c r="AF945" s="11" t="str">
        <f>IF(OR(AC945&lt;&gt;"Abierto",Z945=""),"",TODAY()-Z945)</f>
        <v/>
      </c>
      <c r="AG945" s="11" t="str">
        <f>IF(AC945&lt;&gt;"Abierto","",IF(AB945="","Sin siguiente acción",IF(AB945&lt;TODAY(),"Vencido",IF(AB945=TODAY(),"Hoy","En tiempo"))))</f>
        <v/>
      </c>
      <c r="AH945" s="11" t="str">
        <f>IF(OR(B945="",V945=""),"",V945-B945)</f>
        <v/>
      </c>
      <c r="AI945" s="16" t="str">
        <f>IF(P945="","",P945-WEEKDAY(P945,3))</f>
        <v/>
      </c>
      <c r="AJ945" s="23" t="str">
        <f>IF(P945="","",DATE(YEAR(P945),MONTH(P945),1))</f>
        <v/>
      </c>
    </row>
    <row r="946">
      <c r="A946" s="21"/>
      <c r="B946" s="14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14"/>
      <c r="Q946" s="21"/>
      <c r="R946" s="21"/>
      <c r="S946" s="21"/>
      <c r="T946" s="21"/>
      <c r="U946" s="21"/>
      <c r="V946" s="14"/>
      <c r="W946" s="22"/>
      <c r="X946" s="14"/>
      <c r="Y946" s="11" t="str">
        <f>IF(V946="","",IF(X946&lt;&gt;"",IF(X946-V946&lt;30,"No","Sí"),IF(TODAY()-V946&gt;=30,"Sí","En curso")))</f>
        <v/>
      </c>
      <c r="Z946" s="14"/>
      <c r="AA946" s="21"/>
      <c r="AB946" s="14"/>
      <c r="AC946" s="21"/>
      <c r="AD946" s="21"/>
      <c r="AE946" s="7"/>
      <c r="AF946" s="11" t="str">
        <f>IF(OR(AC946&lt;&gt;"Abierto",Z946=""),"",TODAY()-Z946)</f>
        <v/>
      </c>
      <c r="AG946" s="11" t="str">
        <f>IF(AC946&lt;&gt;"Abierto","",IF(AB946="","Sin siguiente acción",IF(AB946&lt;TODAY(),"Vencido",IF(AB946=TODAY(),"Hoy","En tiempo"))))</f>
        <v/>
      </c>
      <c r="AH946" s="11" t="str">
        <f>IF(OR(B946="",V946=""),"",V946-B946)</f>
        <v/>
      </c>
      <c r="AI946" s="16" t="str">
        <f>IF(P946="","",P946-WEEKDAY(P946,3))</f>
        <v/>
      </c>
      <c r="AJ946" s="23" t="str">
        <f>IF(P946="","",DATE(YEAR(P946),MONTH(P946),1))</f>
        <v/>
      </c>
    </row>
    <row r="947">
      <c r="A947" s="21"/>
      <c r="B947" s="14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14"/>
      <c r="Q947" s="21"/>
      <c r="R947" s="21"/>
      <c r="S947" s="21"/>
      <c r="T947" s="21"/>
      <c r="U947" s="21"/>
      <c r="V947" s="14"/>
      <c r="W947" s="22"/>
      <c r="X947" s="14"/>
      <c r="Y947" s="11" t="str">
        <f>IF(V947="","",IF(X947&lt;&gt;"",IF(X947-V947&lt;30,"No","Sí"),IF(TODAY()-V947&gt;=30,"Sí","En curso")))</f>
        <v/>
      </c>
      <c r="Z947" s="14"/>
      <c r="AA947" s="21"/>
      <c r="AB947" s="14"/>
      <c r="AC947" s="21"/>
      <c r="AD947" s="21"/>
      <c r="AE947" s="7"/>
      <c r="AF947" s="11" t="str">
        <f>IF(OR(AC947&lt;&gt;"Abierto",Z947=""),"",TODAY()-Z947)</f>
        <v/>
      </c>
      <c r="AG947" s="11" t="str">
        <f>IF(AC947&lt;&gt;"Abierto","",IF(AB947="","Sin siguiente acción",IF(AB947&lt;TODAY(),"Vencido",IF(AB947=TODAY(),"Hoy","En tiempo"))))</f>
        <v/>
      </c>
      <c r="AH947" s="11" t="str">
        <f>IF(OR(B947="",V947=""),"",V947-B947)</f>
        <v/>
      </c>
      <c r="AI947" s="16" t="str">
        <f>IF(P947="","",P947-WEEKDAY(P947,3))</f>
        <v/>
      </c>
      <c r="AJ947" s="23" t="str">
        <f>IF(P947="","",DATE(YEAR(P947),MONTH(P947),1))</f>
        <v/>
      </c>
    </row>
    <row r="948">
      <c r="A948" s="21"/>
      <c r="B948" s="14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14"/>
      <c r="Q948" s="21"/>
      <c r="R948" s="21"/>
      <c r="S948" s="21"/>
      <c r="T948" s="21"/>
      <c r="U948" s="21"/>
      <c r="V948" s="14"/>
      <c r="W948" s="22"/>
      <c r="X948" s="14"/>
      <c r="Y948" s="11" t="str">
        <f>IF(V948="","",IF(X948&lt;&gt;"",IF(X948-V948&lt;30,"No","Sí"),IF(TODAY()-V948&gt;=30,"Sí","En curso")))</f>
        <v/>
      </c>
      <c r="Z948" s="14"/>
      <c r="AA948" s="21"/>
      <c r="AB948" s="14"/>
      <c r="AC948" s="21"/>
      <c r="AD948" s="21"/>
      <c r="AE948" s="7"/>
      <c r="AF948" s="11" t="str">
        <f>IF(OR(AC948&lt;&gt;"Abierto",Z948=""),"",TODAY()-Z948)</f>
        <v/>
      </c>
      <c r="AG948" s="11" t="str">
        <f>IF(AC948&lt;&gt;"Abierto","",IF(AB948="","Sin siguiente acción",IF(AB948&lt;TODAY(),"Vencido",IF(AB948=TODAY(),"Hoy","En tiempo"))))</f>
        <v/>
      </c>
      <c r="AH948" s="11" t="str">
        <f>IF(OR(B948="",V948=""),"",V948-B948)</f>
        <v/>
      </c>
      <c r="AI948" s="16" t="str">
        <f>IF(P948="","",P948-WEEKDAY(P948,3))</f>
        <v/>
      </c>
      <c r="AJ948" s="23" t="str">
        <f>IF(P948="","",DATE(YEAR(P948),MONTH(P948),1))</f>
        <v/>
      </c>
    </row>
    <row r="949">
      <c r="A949" s="21"/>
      <c r="B949" s="14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14"/>
      <c r="Q949" s="21"/>
      <c r="R949" s="21"/>
      <c r="S949" s="21"/>
      <c r="T949" s="21"/>
      <c r="U949" s="21"/>
      <c r="V949" s="14"/>
      <c r="W949" s="22"/>
      <c r="X949" s="14"/>
      <c r="Y949" s="11" t="str">
        <f>IF(V949="","",IF(X949&lt;&gt;"",IF(X949-V949&lt;30,"No","Sí"),IF(TODAY()-V949&gt;=30,"Sí","En curso")))</f>
        <v/>
      </c>
      <c r="Z949" s="14"/>
      <c r="AA949" s="21"/>
      <c r="AB949" s="14"/>
      <c r="AC949" s="21"/>
      <c r="AD949" s="21"/>
      <c r="AE949" s="7"/>
      <c r="AF949" s="11" t="str">
        <f>IF(OR(AC949&lt;&gt;"Abierto",Z949=""),"",TODAY()-Z949)</f>
        <v/>
      </c>
      <c r="AG949" s="11" t="str">
        <f>IF(AC949&lt;&gt;"Abierto","",IF(AB949="","Sin siguiente acción",IF(AB949&lt;TODAY(),"Vencido",IF(AB949=TODAY(),"Hoy","En tiempo"))))</f>
        <v/>
      </c>
      <c r="AH949" s="11" t="str">
        <f>IF(OR(B949="",V949=""),"",V949-B949)</f>
        <v/>
      </c>
      <c r="AI949" s="16" t="str">
        <f>IF(P949="","",P949-WEEKDAY(P949,3))</f>
        <v/>
      </c>
      <c r="AJ949" s="23" t="str">
        <f>IF(P949="","",DATE(YEAR(P949),MONTH(P949),1))</f>
        <v/>
      </c>
    </row>
    <row r="950">
      <c r="A950" s="21"/>
      <c r="B950" s="14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14"/>
      <c r="Q950" s="21"/>
      <c r="R950" s="21"/>
      <c r="S950" s="21"/>
      <c r="T950" s="21"/>
      <c r="U950" s="21"/>
      <c r="V950" s="14"/>
      <c r="W950" s="22"/>
      <c r="X950" s="14"/>
      <c r="Y950" s="11" t="str">
        <f>IF(V950="","",IF(X950&lt;&gt;"",IF(X950-V950&lt;30,"No","Sí"),IF(TODAY()-V950&gt;=30,"Sí","En curso")))</f>
        <v/>
      </c>
      <c r="Z950" s="14"/>
      <c r="AA950" s="21"/>
      <c r="AB950" s="14"/>
      <c r="AC950" s="21"/>
      <c r="AD950" s="21"/>
      <c r="AE950" s="7"/>
      <c r="AF950" s="11" t="str">
        <f>IF(OR(AC950&lt;&gt;"Abierto",Z950=""),"",TODAY()-Z950)</f>
        <v/>
      </c>
      <c r="AG950" s="11" t="str">
        <f>IF(AC950&lt;&gt;"Abierto","",IF(AB950="","Sin siguiente acción",IF(AB950&lt;TODAY(),"Vencido",IF(AB950=TODAY(),"Hoy","En tiempo"))))</f>
        <v/>
      </c>
      <c r="AH950" s="11" t="str">
        <f>IF(OR(B950="",V950=""),"",V950-B950)</f>
        <v/>
      </c>
      <c r="AI950" s="16" t="str">
        <f>IF(P950="","",P950-WEEKDAY(P950,3))</f>
        <v/>
      </c>
      <c r="AJ950" s="23" t="str">
        <f>IF(P950="","",DATE(YEAR(P950),MONTH(P950),1))</f>
        <v/>
      </c>
    </row>
    <row r="951">
      <c r="A951" s="21"/>
      <c r="B951" s="14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14"/>
      <c r="Q951" s="21"/>
      <c r="R951" s="21"/>
      <c r="S951" s="21"/>
      <c r="T951" s="21"/>
      <c r="U951" s="21"/>
      <c r="V951" s="14"/>
      <c r="W951" s="22"/>
      <c r="X951" s="14"/>
      <c r="Y951" s="11" t="str">
        <f>IF(V951="","",IF(X951&lt;&gt;"",IF(X951-V951&lt;30,"No","Sí"),IF(TODAY()-V951&gt;=30,"Sí","En curso")))</f>
        <v/>
      </c>
      <c r="Z951" s="14"/>
      <c r="AA951" s="21"/>
      <c r="AB951" s="14"/>
      <c r="AC951" s="21"/>
      <c r="AD951" s="21"/>
      <c r="AE951" s="7"/>
      <c r="AF951" s="11" t="str">
        <f>IF(OR(AC951&lt;&gt;"Abierto",Z951=""),"",TODAY()-Z951)</f>
        <v/>
      </c>
      <c r="AG951" s="11" t="str">
        <f>IF(AC951&lt;&gt;"Abierto","",IF(AB951="","Sin siguiente acción",IF(AB951&lt;TODAY(),"Vencido",IF(AB951=TODAY(),"Hoy","En tiempo"))))</f>
        <v/>
      </c>
      <c r="AH951" s="11" t="str">
        <f>IF(OR(B951="",V951=""),"",V951-B951)</f>
        <v/>
      </c>
      <c r="AI951" s="16" t="str">
        <f>IF(P951="","",P951-WEEKDAY(P951,3))</f>
        <v/>
      </c>
      <c r="AJ951" s="23" t="str">
        <f>IF(P951="","",DATE(YEAR(P951),MONTH(P951),1))</f>
        <v/>
      </c>
    </row>
    <row r="952">
      <c r="A952" s="21"/>
      <c r="B952" s="14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14"/>
      <c r="Q952" s="21"/>
      <c r="R952" s="21"/>
      <c r="S952" s="21"/>
      <c r="T952" s="21"/>
      <c r="U952" s="21"/>
      <c r="V952" s="14"/>
      <c r="W952" s="22"/>
      <c r="X952" s="14"/>
      <c r="Y952" s="11" t="str">
        <f>IF(V952="","",IF(X952&lt;&gt;"",IF(X952-V952&lt;30,"No","Sí"),IF(TODAY()-V952&gt;=30,"Sí","En curso")))</f>
        <v/>
      </c>
      <c r="Z952" s="14"/>
      <c r="AA952" s="21"/>
      <c r="AB952" s="14"/>
      <c r="AC952" s="21"/>
      <c r="AD952" s="21"/>
      <c r="AE952" s="7"/>
      <c r="AF952" s="11" t="str">
        <f>IF(OR(AC952&lt;&gt;"Abierto",Z952=""),"",TODAY()-Z952)</f>
        <v/>
      </c>
      <c r="AG952" s="11" t="str">
        <f>IF(AC952&lt;&gt;"Abierto","",IF(AB952="","Sin siguiente acción",IF(AB952&lt;TODAY(),"Vencido",IF(AB952=TODAY(),"Hoy","En tiempo"))))</f>
        <v/>
      </c>
      <c r="AH952" s="11" t="str">
        <f>IF(OR(B952="",V952=""),"",V952-B952)</f>
        <v/>
      </c>
      <c r="AI952" s="16" t="str">
        <f>IF(P952="","",P952-WEEKDAY(P952,3))</f>
        <v/>
      </c>
      <c r="AJ952" s="23" t="str">
        <f>IF(P952="","",DATE(YEAR(P952),MONTH(P952),1))</f>
        <v/>
      </c>
    </row>
    <row r="953">
      <c r="A953" s="21"/>
      <c r="B953" s="14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14"/>
      <c r="Q953" s="21"/>
      <c r="R953" s="21"/>
      <c r="S953" s="21"/>
      <c r="T953" s="21"/>
      <c r="U953" s="21"/>
      <c r="V953" s="14"/>
      <c r="W953" s="22"/>
      <c r="X953" s="14"/>
      <c r="Y953" s="11" t="str">
        <f>IF(V953="","",IF(X953&lt;&gt;"",IF(X953-V953&lt;30,"No","Sí"),IF(TODAY()-V953&gt;=30,"Sí","En curso")))</f>
        <v/>
      </c>
      <c r="Z953" s="14"/>
      <c r="AA953" s="21"/>
      <c r="AB953" s="14"/>
      <c r="AC953" s="21"/>
      <c r="AD953" s="21"/>
      <c r="AE953" s="7"/>
      <c r="AF953" s="11" t="str">
        <f>IF(OR(AC953&lt;&gt;"Abierto",Z953=""),"",TODAY()-Z953)</f>
        <v/>
      </c>
      <c r="AG953" s="11" t="str">
        <f>IF(AC953&lt;&gt;"Abierto","",IF(AB953="","Sin siguiente acción",IF(AB953&lt;TODAY(),"Vencido",IF(AB953=TODAY(),"Hoy","En tiempo"))))</f>
        <v/>
      </c>
      <c r="AH953" s="11" t="str">
        <f>IF(OR(B953="",V953=""),"",V953-B953)</f>
        <v/>
      </c>
      <c r="AI953" s="16" t="str">
        <f>IF(P953="","",P953-WEEKDAY(P953,3))</f>
        <v/>
      </c>
      <c r="AJ953" s="23" t="str">
        <f>IF(P953="","",DATE(YEAR(P953),MONTH(P953),1))</f>
        <v/>
      </c>
    </row>
    <row r="954">
      <c r="A954" s="21"/>
      <c r="B954" s="14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14"/>
      <c r="Q954" s="21"/>
      <c r="R954" s="21"/>
      <c r="S954" s="21"/>
      <c r="T954" s="21"/>
      <c r="U954" s="21"/>
      <c r="V954" s="14"/>
      <c r="W954" s="22"/>
      <c r="X954" s="14"/>
      <c r="Y954" s="11" t="str">
        <f>IF(V954="","",IF(X954&lt;&gt;"",IF(X954-V954&lt;30,"No","Sí"),IF(TODAY()-V954&gt;=30,"Sí","En curso")))</f>
        <v/>
      </c>
      <c r="Z954" s="14"/>
      <c r="AA954" s="21"/>
      <c r="AB954" s="14"/>
      <c r="AC954" s="21"/>
      <c r="AD954" s="21"/>
      <c r="AE954" s="7"/>
      <c r="AF954" s="11" t="str">
        <f>IF(OR(AC954&lt;&gt;"Abierto",Z954=""),"",TODAY()-Z954)</f>
        <v/>
      </c>
      <c r="AG954" s="11" t="str">
        <f>IF(AC954&lt;&gt;"Abierto","",IF(AB954="","Sin siguiente acción",IF(AB954&lt;TODAY(),"Vencido",IF(AB954=TODAY(),"Hoy","En tiempo"))))</f>
        <v/>
      </c>
      <c r="AH954" s="11" t="str">
        <f>IF(OR(B954="",V954=""),"",V954-B954)</f>
        <v/>
      </c>
      <c r="AI954" s="16" t="str">
        <f>IF(P954="","",P954-WEEKDAY(P954,3))</f>
        <v/>
      </c>
      <c r="AJ954" s="23" t="str">
        <f>IF(P954="","",DATE(YEAR(P954),MONTH(P954),1))</f>
        <v/>
      </c>
    </row>
    <row r="955">
      <c r="A955" s="21"/>
      <c r="B955" s="14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14"/>
      <c r="Q955" s="21"/>
      <c r="R955" s="21"/>
      <c r="S955" s="21"/>
      <c r="T955" s="21"/>
      <c r="U955" s="21"/>
      <c r="V955" s="14"/>
      <c r="W955" s="22"/>
      <c r="X955" s="14"/>
      <c r="Y955" s="11" t="str">
        <f>IF(V955="","",IF(X955&lt;&gt;"",IF(X955-V955&lt;30,"No","Sí"),IF(TODAY()-V955&gt;=30,"Sí","En curso")))</f>
        <v/>
      </c>
      <c r="Z955" s="14"/>
      <c r="AA955" s="21"/>
      <c r="AB955" s="14"/>
      <c r="AC955" s="21"/>
      <c r="AD955" s="21"/>
      <c r="AE955" s="7"/>
      <c r="AF955" s="11" t="str">
        <f>IF(OR(AC955&lt;&gt;"Abierto",Z955=""),"",TODAY()-Z955)</f>
        <v/>
      </c>
      <c r="AG955" s="11" t="str">
        <f>IF(AC955&lt;&gt;"Abierto","",IF(AB955="","Sin siguiente acción",IF(AB955&lt;TODAY(),"Vencido",IF(AB955=TODAY(),"Hoy","En tiempo"))))</f>
        <v/>
      </c>
      <c r="AH955" s="11" t="str">
        <f>IF(OR(B955="",V955=""),"",V955-B955)</f>
        <v/>
      </c>
      <c r="AI955" s="16" t="str">
        <f>IF(P955="","",P955-WEEKDAY(P955,3))</f>
        <v/>
      </c>
      <c r="AJ955" s="23" t="str">
        <f>IF(P955="","",DATE(YEAR(P955),MONTH(P955),1))</f>
        <v/>
      </c>
    </row>
    <row r="956">
      <c r="A956" s="21"/>
      <c r="B956" s="14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14"/>
      <c r="Q956" s="21"/>
      <c r="R956" s="21"/>
      <c r="S956" s="21"/>
      <c r="T956" s="21"/>
      <c r="U956" s="21"/>
      <c r="V956" s="14"/>
      <c r="W956" s="22"/>
      <c r="X956" s="14"/>
      <c r="Y956" s="11" t="str">
        <f>IF(V956="","",IF(X956&lt;&gt;"",IF(X956-V956&lt;30,"No","Sí"),IF(TODAY()-V956&gt;=30,"Sí","En curso")))</f>
        <v/>
      </c>
      <c r="Z956" s="14"/>
      <c r="AA956" s="21"/>
      <c r="AB956" s="14"/>
      <c r="AC956" s="21"/>
      <c r="AD956" s="21"/>
      <c r="AE956" s="7"/>
      <c r="AF956" s="11" t="str">
        <f>IF(OR(AC956&lt;&gt;"Abierto",Z956=""),"",TODAY()-Z956)</f>
        <v/>
      </c>
      <c r="AG956" s="11" t="str">
        <f>IF(AC956&lt;&gt;"Abierto","",IF(AB956="","Sin siguiente acción",IF(AB956&lt;TODAY(),"Vencido",IF(AB956=TODAY(),"Hoy","En tiempo"))))</f>
        <v/>
      </c>
      <c r="AH956" s="11" t="str">
        <f>IF(OR(B956="",V956=""),"",V956-B956)</f>
        <v/>
      </c>
      <c r="AI956" s="16" t="str">
        <f>IF(P956="","",P956-WEEKDAY(P956,3))</f>
        <v/>
      </c>
      <c r="AJ956" s="23" t="str">
        <f>IF(P956="","",DATE(YEAR(P956),MONTH(P956),1))</f>
        <v/>
      </c>
    </row>
    <row r="957">
      <c r="A957" s="21"/>
      <c r="B957" s="14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14"/>
      <c r="Q957" s="21"/>
      <c r="R957" s="21"/>
      <c r="S957" s="21"/>
      <c r="T957" s="21"/>
      <c r="U957" s="21"/>
      <c r="V957" s="14"/>
      <c r="W957" s="22"/>
      <c r="X957" s="14"/>
      <c r="Y957" s="11" t="str">
        <f>IF(V957="","",IF(X957&lt;&gt;"",IF(X957-V957&lt;30,"No","Sí"),IF(TODAY()-V957&gt;=30,"Sí","En curso")))</f>
        <v/>
      </c>
      <c r="Z957" s="14"/>
      <c r="AA957" s="21"/>
      <c r="AB957" s="14"/>
      <c r="AC957" s="21"/>
      <c r="AD957" s="21"/>
      <c r="AE957" s="7"/>
      <c r="AF957" s="11" t="str">
        <f>IF(OR(AC957&lt;&gt;"Abierto",Z957=""),"",TODAY()-Z957)</f>
        <v/>
      </c>
      <c r="AG957" s="11" t="str">
        <f>IF(AC957&lt;&gt;"Abierto","",IF(AB957="","Sin siguiente acción",IF(AB957&lt;TODAY(),"Vencido",IF(AB957=TODAY(),"Hoy","En tiempo"))))</f>
        <v/>
      </c>
      <c r="AH957" s="11" t="str">
        <f>IF(OR(B957="",V957=""),"",V957-B957)</f>
        <v/>
      </c>
      <c r="AI957" s="16" t="str">
        <f>IF(P957="","",P957-WEEKDAY(P957,3))</f>
        <v/>
      </c>
      <c r="AJ957" s="23" t="str">
        <f>IF(P957="","",DATE(YEAR(P957),MONTH(P957),1))</f>
        <v/>
      </c>
    </row>
    <row r="958">
      <c r="A958" s="21"/>
      <c r="B958" s="14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14"/>
      <c r="Q958" s="21"/>
      <c r="R958" s="21"/>
      <c r="S958" s="21"/>
      <c r="T958" s="21"/>
      <c r="U958" s="21"/>
      <c r="V958" s="14"/>
      <c r="W958" s="22"/>
      <c r="X958" s="14"/>
      <c r="Y958" s="11" t="str">
        <f>IF(V958="","",IF(X958&lt;&gt;"",IF(X958-V958&lt;30,"No","Sí"),IF(TODAY()-V958&gt;=30,"Sí","En curso")))</f>
        <v/>
      </c>
      <c r="Z958" s="14"/>
      <c r="AA958" s="21"/>
      <c r="AB958" s="14"/>
      <c r="AC958" s="21"/>
      <c r="AD958" s="21"/>
      <c r="AE958" s="7"/>
      <c r="AF958" s="11" t="str">
        <f>IF(OR(AC958&lt;&gt;"Abierto",Z958=""),"",TODAY()-Z958)</f>
        <v/>
      </c>
      <c r="AG958" s="11" t="str">
        <f>IF(AC958&lt;&gt;"Abierto","",IF(AB958="","Sin siguiente acción",IF(AB958&lt;TODAY(),"Vencido",IF(AB958=TODAY(),"Hoy","En tiempo"))))</f>
        <v/>
      </c>
      <c r="AH958" s="11" t="str">
        <f>IF(OR(B958="",V958=""),"",V958-B958)</f>
        <v/>
      </c>
      <c r="AI958" s="16" t="str">
        <f>IF(P958="","",P958-WEEKDAY(P958,3))</f>
        <v/>
      </c>
      <c r="AJ958" s="23" t="str">
        <f>IF(P958="","",DATE(YEAR(P958),MONTH(P958),1))</f>
        <v/>
      </c>
    </row>
    <row r="959">
      <c r="A959" s="21"/>
      <c r="B959" s="14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14"/>
      <c r="Q959" s="21"/>
      <c r="R959" s="21"/>
      <c r="S959" s="21"/>
      <c r="T959" s="21"/>
      <c r="U959" s="21"/>
      <c r="V959" s="14"/>
      <c r="W959" s="22"/>
      <c r="X959" s="14"/>
      <c r="Y959" s="11" t="str">
        <f>IF(V959="","",IF(X959&lt;&gt;"",IF(X959-V959&lt;30,"No","Sí"),IF(TODAY()-V959&gt;=30,"Sí","En curso")))</f>
        <v/>
      </c>
      <c r="Z959" s="14"/>
      <c r="AA959" s="21"/>
      <c r="AB959" s="14"/>
      <c r="AC959" s="21"/>
      <c r="AD959" s="21"/>
      <c r="AE959" s="7"/>
      <c r="AF959" s="11" t="str">
        <f>IF(OR(AC959&lt;&gt;"Abierto",Z959=""),"",TODAY()-Z959)</f>
        <v/>
      </c>
      <c r="AG959" s="11" t="str">
        <f>IF(AC959&lt;&gt;"Abierto","",IF(AB959="","Sin siguiente acción",IF(AB959&lt;TODAY(),"Vencido",IF(AB959=TODAY(),"Hoy","En tiempo"))))</f>
        <v/>
      </c>
      <c r="AH959" s="11" t="str">
        <f>IF(OR(B959="",V959=""),"",V959-B959)</f>
        <v/>
      </c>
      <c r="AI959" s="16" t="str">
        <f>IF(P959="","",P959-WEEKDAY(P959,3))</f>
        <v/>
      </c>
      <c r="AJ959" s="23" t="str">
        <f>IF(P959="","",DATE(YEAR(P959),MONTH(P959),1))</f>
        <v/>
      </c>
    </row>
    <row r="960">
      <c r="A960" s="21"/>
      <c r="B960" s="14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14"/>
      <c r="Q960" s="21"/>
      <c r="R960" s="21"/>
      <c r="S960" s="21"/>
      <c r="T960" s="21"/>
      <c r="U960" s="21"/>
      <c r="V960" s="14"/>
      <c r="W960" s="22"/>
      <c r="X960" s="14"/>
      <c r="Y960" s="11" t="str">
        <f>IF(V960="","",IF(X960&lt;&gt;"",IF(X960-V960&lt;30,"No","Sí"),IF(TODAY()-V960&gt;=30,"Sí","En curso")))</f>
        <v/>
      </c>
      <c r="Z960" s="14"/>
      <c r="AA960" s="21"/>
      <c r="AB960" s="14"/>
      <c r="AC960" s="21"/>
      <c r="AD960" s="21"/>
      <c r="AE960" s="7"/>
      <c r="AF960" s="11" t="str">
        <f>IF(OR(AC960&lt;&gt;"Abierto",Z960=""),"",TODAY()-Z960)</f>
        <v/>
      </c>
      <c r="AG960" s="11" t="str">
        <f>IF(AC960&lt;&gt;"Abierto","",IF(AB960="","Sin siguiente acción",IF(AB960&lt;TODAY(),"Vencido",IF(AB960=TODAY(),"Hoy","En tiempo"))))</f>
        <v/>
      </c>
      <c r="AH960" s="11" t="str">
        <f>IF(OR(B960="",V960=""),"",V960-B960)</f>
        <v/>
      </c>
      <c r="AI960" s="16" t="str">
        <f>IF(P960="","",P960-WEEKDAY(P960,3))</f>
        <v/>
      </c>
      <c r="AJ960" s="23" t="str">
        <f>IF(P960="","",DATE(YEAR(P960),MONTH(P960),1))</f>
        <v/>
      </c>
    </row>
    <row r="961">
      <c r="A961" s="21"/>
      <c r="B961" s="14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14"/>
      <c r="Q961" s="21"/>
      <c r="R961" s="21"/>
      <c r="S961" s="21"/>
      <c r="T961" s="21"/>
      <c r="U961" s="21"/>
      <c r="V961" s="14"/>
      <c r="W961" s="22"/>
      <c r="X961" s="14"/>
      <c r="Y961" s="11" t="str">
        <f>IF(V961="","",IF(X961&lt;&gt;"",IF(X961-V961&lt;30,"No","Sí"),IF(TODAY()-V961&gt;=30,"Sí","En curso")))</f>
        <v/>
      </c>
      <c r="Z961" s="14"/>
      <c r="AA961" s="21"/>
      <c r="AB961" s="14"/>
      <c r="AC961" s="21"/>
      <c r="AD961" s="21"/>
      <c r="AE961" s="7"/>
      <c r="AF961" s="11" t="str">
        <f>IF(OR(AC961&lt;&gt;"Abierto",Z961=""),"",TODAY()-Z961)</f>
        <v/>
      </c>
      <c r="AG961" s="11" t="str">
        <f>IF(AC961&lt;&gt;"Abierto","",IF(AB961="","Sin siguiente acción",IF(AB961&lt;TODAY(),"Vencido",IF(AB961=TODAY(),"Hoy","En tiempo"))))</f>
        <v/>
      </c>
      <c r="AH961" s="11" t="str">
        <f>IF(OR(B961="",V961=""),"",V961-B961)</f>
        <v/>
      </c>
      <c r="AI961" s="16" t="str">
        <f>IF(P961="","",P961-WEEKDAY(P961,3))</f>
        <v/>
      </c>
      <c r="AJ961" s="23" t="str">
        <f>IF(P961="","",DATE(YEAR(P961),MONTH(P961),1))</f>
        <v/>
      </c>
    </row>
    <row r="962">
      <c r="A962" s="21"/>
      <c r="B962" s="14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14"/>
      <c r="Q962" s="21"/>
      <c r="R962" s="21"/>
      <c r="S962" s="21"/>
      <c r="T962" s="21"/>
      <c r="U962" s="21"/>
      <c r="V962" s="14"/>
      <c r="W962" s="22"/>
      <c r="X962" s="14"/>
      <c r="Y962" s="11" t="str">
        <f>IF(V962="","",IF(X962&lt;&gt;"",IF(X962-V962&lt;30,"No","Sí"),IF(TODAY()-V962&gt;=30,"Sí","En curso")))</f>
        <v/>
      </c>
      <c r="Z962" s="14"/>
      <c r="AA962" s="21"/>
      <c r="AB962" s="14"/>
      <c r="AC962" s="21"/>
      <c r="AD962" s="21"/>
      <c r="AE962" s="7"/>
      <c r="AF962" s="11" t="str">
        <f>IF(OR(AC962&lt;&gt;"Abierto",Z962=""),"",TODAY()-Z962)</f>
        <v/>
      </c>
      <c r="AG962" s="11" t="str">
        <f>IF(AC962&lt;&gt;"Abierto","",IF(AB962="","Sin siguiente acción",IF(AB962&lt;TODAY(),"Vencido",IF(AB962=TODAY(),"Hoy","En tiempo"))))</f>
        <v/>
      </c>
      <c r="AH962" s="11" t="str">
        <f>IF(OR(B962="",V962=""),"",V962-B962)</f>
        <v/>
      </c>
      <c r="AI962" s="16" t="str">
        <f>IF(P962="","",P962-WEEKDAY(P962,3))</f>
        <v/>
      </c>
      <c r="AJ962" s="23" t="str">
        <f>IF(P962="","",DATE(YEAR(P962),MONTH(P962),1))</f>
        <v/>
      </c>
    </row>
    <row r="963">
      <c r="A963" s="21"/>
      <c r="B963" s="14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14"/>
      <c r="Q963" s="21"/>
      <c r="R963" s="21"/>
      <c r="S963" s="21"/>
      <c r="T963" s="21"/>
      <c r="U963" s="21"/>
      <c r="V963" s="14"/>
      <c r="W963" s="22"/>
      <c r="X963" s="14"/>
      <c r="Y963" s="11" t="str">
        <f>IF(V963="","",IF(X963&lt;&gt;"",IF(X963-V963&lt;30,"No","Sí"),IF(TODAY()-V963&gt;=30,"Sí","En curso")))</f>
        <v/>
      </c>
      <c r="Z963" s="14"/>
      <c r="AA963" s="21"/>
      <c r="AB963" s="14"/>
      <c r="AC963" s="21"/>
      <c r="AD963" s="21"/>
      <c r="AE963" s="7"/>
      <c r="AF963" s="11" t="str">
        <f>IF(OR(AC963&lt;&gt;"Abierto",Z963=""),"",TODAY()-Z963)</f>
        <v/>
      </c>
      <c r="AG963" s="11" t="str">
        <f>IF(AC963&lt;&gt;"Abierto","",IF(AB963="","Sin siguiente acción",IF(AB963&lt;TODAY(),"Vencido",IF(AB963=TODAY(),"Hoy","En tiempo"))))</f>
        <v/>
      </c>
      <c r="AH963" s="11" t="str">
        <f>IF(OR(B963="",V963=""),"",V963-B963)</f>
        <v/>
      </c>
      <c r="AI963" s="16" t="str">
        <f>IF(P963="","",P963-WEEKDAY(P963,3))</f>
        <v/>
      </c>
      <c r="AJ963" s="23" t="str">
        <f>IF(P963="","",DATE(YEAR(P963),MONTH(P963),1))</f>
        <v/>
      </c>
    </row>
    <row r="964">
      <c r="A964" s="21"/>
      <c r="B964" s="14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14"/>
      <c r="Q964" s="21"/>
      <c r="R964" s="21"/>
      <c r="S964" s="21"/>
      <c r="T964" s="21"/>
      <c r="U964" s="21"/>
      <c r="V964" s="14"/>
      <c r="W964" s="22"/>
      <c r="X964" s="14"/>
      <c r="Y964" s="11" t="str">
        <f>IF(V964="","",IF(X964&lt;&gt;"",IF(X964-V964&lt;30,"No","Sí"),IF(TODAY()-V964&gt;=30,"Sí","En curso")))</f>
        <v/>
      </c>
      <c r="Z964" s="14"/>
      <c r="AA964" s="21"/>
      <c r="AB964" s="14"/>
      <c r="AC964" s="21"/>
      <c r="AD964" s="21"/>
      <c r="AE964" s="7"/>
      <c r="AF964" s="11" t="str">
        <f>IF(OR(AC964&lt;&gt;"Abierto",Z964=""),"",TODAY()-Z964)</f>
        <v/>
      </c>
      <c r="AG964" s="11" t="str">
        <f>IF(AC964&lt;&gt;"Abierto","",IF(AB964="","Sin siguiente acción",IF(AB964&lt;TODAY(),"Vencido",IF(AB964=TODAY(),"Hoy","En tiempo"))))</f>
        <v/>
      </c>
      <c r="AH964" s="11" t="str">
        <f>IF(OR(B964="",V964=""),"",V964-B964)</f>
        <v/>
      </c>
      <c r="AI964" s="16" t="str">
        <f>IF(P964="","",P964-WEEKDAY(P964,3))</f>
        <v/>
      </c>
      <c r="AJ964" s="23" t="str">
        <f>IF(P964="","",DATE(YEAR(P964),MONTH(P964),1))</f>
        <v/>
      </c>
    </row>
    <row r="965">
      <c r="A965" s="21"/>
      <c r="B965" s="14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14"/>
      <c r="Q965" s="21"/>
      <c r="R965" s="21"/>
      <c r="S965" s="21"/>
      <c r="T965" s="21"/>
      <c r="U965" s="21"/>
      <c r="V965" s="14"/>
      <c r="W965" s="22"/>
      <c r="X965" s="14"/>
      <c r="Y965" s="11" t="str">
        <f>IF(V965="","",IF(X965&lt;&gt;"",IF(X965-V965&lt;30,"No","Sí"),IF(TODAY()-V965&gt;=30,"Sí","En curso")))</f>
        <v/>
      </c>
      <c r="Z965" s="14"/>
      <c r="AA965" s="21"/>
      <c r="AB965" s="14"/>
      <c r="AC965" s="21"/>
      <c r="AD965" s="21"/>
      <c r="AE965" s="7"/>
      <c r="AF965" s="11" t="str">
        <f>IF(OR(AC965&lt;&gt;"Abierto",Z965=""),"",TODAY()-Z965)</f>
        <v/>
      </c>
      <c r="AG965" s="11" t="str">
        <f>IF(AC965&lt;&gt;"Abierto","",IF(AB965="","Sin siguiente acción",IF(AB965&lt;TODAY(),"Vencido",IF(AB965=TODAY(),"Hoy","En tiempo"))))</f>
        <v/>
      </c>
      <c r="AH965" s="11" t="str">
        <f>IF(OR(B965="",V965=""),"",V965-B965)</f>
        <v/>
      </c>
      <c r="AI965" s="16" t="str">
        <f>IF(P965="","",P965-WEEKDAY(P965,3))</f>
        <v/>
      </c>
      <c r="AJ965" s="23" t="str">
        <f>IF(P965="","",DATE(YEAR(P965),MONTH(P965),1))</f>
        <v/>
      </c>
    </row>
    <row r="966">
      <c r="A966" s="21"/>
      <c r="B966" s="14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14"/>
      <c r="Q966" s="21"/>
      <c r="R966" s="21"/>
      <c r="S966" s="21"/>
      <c r="T966" s="21"/>
      <c r="U966" s="21"/>
      <c r="V966" s="14"/>
      <c r="W966" s="22"/>
      <c r="X966" s="14"/>
      <c r="Y966" s="11" t="str">
        <f>IF(V966="","",IF(X966&lt;&gt;"",IF(X966-V966&lt;30,"No","Sí"),IF(TODAY()-V966&gt;=30,"Sí","En curso")))</f>
        <v/>
      </c>
      <c r="Z966" s="14"/>
      <c r="AA966" s="21"/>
      <c r="AB966" s="14"/>
      <c r="AC966" s="21"/>
      <c r="AD966" s="21"/>
      <c r="AE966" s="7"/>
      <c r="AF966" s="11" t="str">
        <f>IF(OR(AC966&lt;&gt;"Abierto",Z966=""),"",TODAY()-Z966)</f>
        <v/>
      </c>
      <c r="AG966" s="11" t="str">
        <f>IF(AC966&lt;&gt;"Abierto","",IF(AB966="","Sin siguiente acción",IF(AB966&lt;TODAY(),"Vencido",IF(AB966=TODAY(),"Hoy","En tiempo"))))</f>
        <v/>
      </c>
      <c r="AH966" s="11" t="str">
        <f>IF(OR(B966="",V966=""),"",V966-B966)</f>
        <v/>
      </c>
      <c r="AI966" s="16" t="str">
        <f>IF(P966="","",P966-WEEKDAY(P966,3))</f>
        <v/>
      </c>
      <c r="AJ966" s="23" t="str">
        <f>IF(P966="","",DATE(YEAR(P966),MONTH(P966),1))</f>
        <v/>
      </c>
    </row>
    <row r="967">
      <c r="A967" s="21"/>
      <c r="B967" s="14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14"/>
      <c r="Q967" s="21"/>
      <c r="R967" s="21"/>
      <c r="S967" s="21"/>
      <c r="T967" s="21"/>
      <c r="U967" s="21"/>
      <c r="V967" s="14"/>
      <c r="W967" s="22"/>
      <c r="X967" s="14"/>
      <c r="Y967" s="11" t="str">
        <f>IF(V967="","",IF(X967&lt;&gt;"",IF(X967-V967&lt;30,"No","Sí"),IF(TODAY()-V967&gt;=30,"Sí","En curso")))</f>
        <v/>
      </c>
      <c r="Z967" s="14"/>
      <c r="AA967" s="21"/>
      <c r="AB967" s="14"/>
      <c r="AC967" s="21"/>
      <c r="AD967" s="21"/>
      <c r="AE967" s="7"/>
      <c r="AF967" s="11" t="str">
        <f>IF(OR(AC967&lt;&gt;"Abierto",Z967=""),"",TODAY()-Z967)</f>
        <v/>
      </c>
      <c r="AG967" s="11" t="str">
        <f>IF(AC967&lt;&gt;"Abierto","",IF(AB967="","Sin siguiente acción",IF(AB967&lt;TODAY(),"Vencido",IF(AB967=TODAY(),"Hoy","En tiempo"))))</f>
        <v/>
      </c>
      <c r="AH967" s="11" t="str">
        <f>IF(OR(B967="",V967=""),"",V967-B967)</f>
        <v/>
      </c>
      <c r="AI967" s="16" t="str">
        <f>IF(P967="","",P967-WEEKDAY(P967,3))</f>
        <v/>
      </c>
      <c r="AJ967" s="23" t="str">
        <f>IF(P967="","",DATE(YEAR(P967),MONTH(P967),1))</f>
        <v/>
      </c>
    </row>
    <row r="968">
      <c r="A968" s="21"/>
      <c r="B968" s="14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14"/>
      <c r="Q968" s="21"/>
      <c r="R968" s="21"/>
      <c r="S968" s="21"/>
      <c r="T968" s="21"/>
      <c r="U968" s="21"/>
      <c r="V968" s="14"/>
      <c r="W968" s="22"/>
      <c r="X968" s="14"/>
      <c r="Y968" s="11" t="str">
        <f>IF(V968="","",IF(X968&lt;&gt;"",IF(X968-V968&lt;30,"No","Sí"),IF(TODAY()-V968&gt;=30,"Sí","En curso")))</f>
        <v/>
      </c>
      <c r="Z968" s="14"/>
      <c r="AA968" s="21"/>
      <c r="AB968" s="14"/>
      <c r="AC968" s="21"/>
      <c r="AD968" s="21"/>
      <c r="AE968" s="7"/>
      <c r="AF968" s="11" t="str">
        <f>IF(OR(AC968&lt;&gt;"Abierto",Z968=""),"",TODAY()-Z968)</f>
        <v/>
      </c>
      <c r="AG968" s="11" t="str">
        <f>IF(AC968&lt;&gt;"Abierto","",IF(AB968="","Sin siguiente acción",IF(AB968&lt;TODAY(),"Vencido",IF(AB968=TODAY(),"Hoy","En tiempo"))))</f>
        <v/>
      </c>
      <c r="AH968" s="11" t="str">
        <f>IF(OR(B968="",V968=""),"",V968-B968)</f>
        <v/>
      </c>
      <c r="AI968" s="16" t="str">
        <f>IF(P968="","",P968-WEEKDAY(P968,3))</f>
        <v/>
      </c>
      <c r="AJ968" s="23" t="str">
        <f>IF(P968="","",DATE(YEAR(P968),MONTH(P968),1))</f>
        <v/>
      </c>
    </row>
    <row r="969">
      <c r="A969" s="21"/>
      <c r="B969" s="14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14"/>
      <c r="Q969" s="21"/>
      <c r="R969" s="21"/>
      <c r="S969" s="21"/>
      <c r="T969" s="21"/>
      <c r="U969" s="21"/>
      <c r="V969" s="14"/>
      <c r="W969" s="22"/>
      <c r="X969" s="14"/>
      <c r="Y969" s="11" t="str">
        <f>IF(V969="","",IF(X969&lt;&gt;"",IF(X969-V969&lt;30,"No","Sí"),IF(TODAY()-V969&gt;=30,"Sí","En curso")))</f>
        <v/>
      </c>
      <c r="Z969" s="14"/>
      <c r="AA969" s="21"/>
      <c r="AB969" s="14"/>
      <c r="AC969" s="21"/>
      <c r="AD969" s="21"/>
      <c r="AE969" s="7"/>
      <c r="AF969" s="11" t="str">
        <f>IF(OR(AC969&lt;&gt;"Abierto",Z969=""),"",TODAY()-Z969)</f>
        <v/>
      </c>
      <c r="AG969" s="11" t="str">
        <f>IF(AC969&lt;&gt;"Abierto","",IF(AB969="","Sin siguiente acción",IF(AB969&lt;TODAY(),"Vencido",IF(AB969=TODAY(),"Hoy","En tiempo"))))</f>
        <v/>
      </c>
      <c r="AH969" s="11" t="str">
        <f>IF(OR(B969="",V969=""),"",V969-B969)</f>
        <v/>
      </c>
      <c r="AI969" s="16" t="str">
        <f>IF(P969="","",P969-WEEKDAY(P969,3))</f>
        <v/>
      </c>
      <c r="AJ969" s="23" t="str">
        <f>IF(P969="","",DATE(YEAR(P969),MONTH(P969),1))</f>
        <v/>
      </c>
    </row>
    <row r="970">
      <c r="A970" s="21"/>
      <c r="B970" s="14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14"/>
      <c r="Q970" s="21"/>
      <c r="R970" s="21"/>
      <c r="S970" s="21"/>
      <c r="T970" s="21"/>
      <c r="U970" s="21"/>
      <c r="V970" s="14"/>
      <c r="W970" s="22"/>
      <c r="X970" s="14"/>
      <c r="Y970" s="11" t="str">
        <f>IF(V970="","",IF(X970&lt;&gt;"",IF(X970-V970&lt;30,"No","Sí"),IF(TODAY()-V970&gt;=30,"Sí","En curso")))</f>
        <v/>
      </c>
      <c r="Z970" s="14"/>
      <c r="AA970" s="21"/>
      <c r="AB970" s="14"/>
      <c r="AC970" s="21"/>
      <c r="AD970" s="21"/>
      <c r="AE970" s="7"/>
      <c r="AF970" s="11" t="str">
        <f>IF(OR(AC970&lt;&gt;"Abierto",Z970=""),"",TODAY()-Z970)</f>
        <v/>
      </c>
      <c r="AG970" s="11" t="str">
        <f>IF(AC970&lt;&gt;"Abierto","",IF(AB970="","Sin siguiente acción",IF(AB970&lt;TODAY(),"Vencido",IF(AB970=TODAY(),"Hoy","En tiempo"))))</f>
        <v/>
      </c>
      <c r="AH970" s="11" t="str">
        <f>IF(OR(B970="",V970=""),"",V970-B970)</f>
        <v/>
      </c>
      <c r="AI970" s="16" t="str">
        <f>IF(P970="","",P970-WEEKDAY(P970,3))</f>
        <v/>
      </c>
      <c r="AJ970" s="23" t="str">
        <f>IF(P970="","",DATE(YEAR(P970),MONTH(P970),1))</f>
        <v/>
      </c>
    </row>
    <row r="971">
      <c r="A971" s="21"/>
      <c r="B971" s="14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14"/>
      <c r="Q971" s="21"/>
      <c r="R971" s="21"/>
      <c r="S971" s="21"/>
      <c r="T971" s="21"/>
      <c r="U971" s="21"/>
      <c r="V971" s="14"/>
      <c r="W971" s="22"/>
      <c r="X971" s="14"/>
      <c r="Y971" s="11" t="str">
        <f>IF(V971="","",IF(X971&lt;&gt;"",IF(X971-V971&lt;30,"No","Sí"),IF(TODAY()-V971&gt;=30,"Sí","En curso")))</f>
        <v/>
      </c>
      <c r="Z971" s="14"/>
      <c r="AA971" s="21"/>
      <c r="AB971" s="14"/>
      <c r="AC971" s="21"/>
      <c r="AD971" s="21"/>
      <c r="AE971" s="7"/>
      <c r="AF971" s="11" t="str">
        <f>IF(OR(AC971&lt;&gt;"Abierto",Z971=""),"",TODAY()-Z971)</f>
        <v/>
      </c>
      <c r="AG971" s="11" t="str">
        <f>IF(AC971&lt;&gt;"Abierto","",IF(AB971="","Sin siguiente acción",IF(AB971&lt;TODAY(),"Vencido",IF(AB971=TODAY(),"Hoy","En tiempo"))))</f>
        <v/>
      </c>
      <c r="AH971" s="11" t="str">
        <f>IF(OR(B971="",V971=""),"",V971-B971)</f>
        <v/>
      </c>
      <c r="AI971" s="16" t="str">
        <f>IF(P971="","",P971-WEEKDAY(P971,3))</f>
        <v/>
      </c>
      <c r="AJ971" s="23" t="str">
        <f>IF(P971="","",DATE(YEAR(P971),MONTH(P971),1))</f>
        <v/>
      </c>
    </row>
    <row r="972">
      <c r="A972" s="21"/>
      <c r="B972" s="14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14"/>
      <c r="Q972" s="21"/>
      <c r="R972" s="21"/>
      <c r="S972" s="21"/>
      <c r="T972" s="21"/>
      <c r="U972" s="21"/>
      <c r="V972" s="14"/>
      <c r="W972" s="22"/>
      <c r="X972" s="14"/>
      <c r="Y972" s="11" t="str">
        <f>IF(V972="","",IF(X972&lt;&gt;"",IF(X972-V972&lt;30,"No","Sí"),IF(TODAY()-V972&gt;=30,"Sí","En curso")))</f>
        <v/>
      </c>
      <c r="Z972" s="14"/>
      <c r="AA972" s="21"/>
      <c r="AB972" s="14"/>
      <c r="AC972" s="21"/>
      <c r="AD972" s="21"/>
      <c r="AE972" s="7"/>
      <c r="AF972" s="11" t="str">
        <f>IF(OR(AC972&lt;&gt;"Abierto",Z972=""),"",TODAY()-Z972)</f>
        <v/>
      </c>
      <c r="AG972" s="11" t="str">
        <f>IF(AC972&lt;&gt;"Abierto","",IF(AB972="","Sin siguiente acción",IF(AB972&lt;TODAY(),"Vencido",IF(AB972=TODAY(),"Hoy","En tiempo"))))</f>
        <v/>
      </c>
      <c r="AH972" s="11" t="str">
        <f>IF(OR(B972="",V972=""),"",V972-B972)</f>
        <v/>
      </c>
      <c r="AI972" s="16" t="str">
        <f>IF(P972="","",P972-WEEKDAY(P972,3))</f>
        <v/>
      </c>
      <c r="AJ972" s="23" t="str">
        <f>IF(P972="","",DATE(YEAR(P972),MONTH(P972),1))</f>
        <v/>
      </c>
    </row>
    <row r="973">
      <c r="A973" s="21"/>
      <c r="B973" s="14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14"/>
      <c r="Q973" s="21"/>
      <c r="R973" s="21"/>
      <c r="S973" s="21"/>
      <c r="T973" s="21"/>
      <c r="U973" s="21"/>
      <c r="V973" s="14"/>
      <c r="W973" s="22"/>
      <c r="X973" s="14"/>
      <c r="Y973" s="11" t="str">
        <f>IF(V973="","",IF(X973&lt;&gt;"",IF(X973-V973&lt;30,"No","Sí"),IF(TODAY()-V973&gt;=30,"Sí","En curso")))</f>
        <v/>
      </c>
      <c r="Z973" s="14"/>
      <c r="AA973" s="21"/>
      <c r="AB973" s="14"/>
      <c r="AC973" s="21"/>
      <c r="AD973" s="21"/>
      <c r="AE973" s="7"/>
      <c r="AF973" s="11" t="str">
        <f>IF(OR(AC973&lt;&gt;"Abierto",Z973=""),"",TODAY()-Z973)</f>
        <v/>
      </c>
      <c r="AG973" s="11" t="str">
        <f>IF(AC973&lt;&gt;"Abierto","",IF(AB973="","Sin siguiente acción",IF(AB973&lt;TODAY(),"Vencido",IF(AB973=TODAY(),"Hoy","En tiempo"))))</f>
        <v/>
      </c>
      <c r="AH973" s="11" t="str">
        <f>IF(OR(B973="",V973=""),"",V973-B973)</f>
        <v/>
      </c>
      <c r="AI973" s="16" t="str">
        <f>IF(P973="","",P973-WEEKDAY(P973,3))</f>
        <v/>
      </c>
      <c r="AJ973" s="23" t="str">
        <f>IF(P973="","",DATE(YEAR(P973),MONTH(P973),1))</f>
        <v/>
      </c>
    </row>
    <row r="974">
      <c r="A974" s="21"/>
      <c r="B974" s="14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14"/>
      <c r="Q974" s="21"/>
      <c r="R974" s="21"/>
      <c r="S974" s="21"/>
      <c r="T974" s="21"/>
      <c r="U974" s="21"/>
      <c r="V974" s="14"/>
      <c r="W974" s="22"/>
      <c r="X974" s="14"/>
      <c r="Y974" s="11" t="str">
        <f>IF(V974="","",IF(X974&lt;&gt;"",IF(X974-V974&lt;30,"No","Sí"),IF(TODAY()-V974&gt;=30,"Sí","En curso")))</f>
        <v/>
      </c>
      <c r="Z974" s="14"/>
      <c r="AA974" s="21"/>
      <c r="AB974" s="14"/>
      <c r="AC974" s="21"/>
      <c r="AD974" s="21"/>
      <c r="AE974" s="7"/>
      <c r="AF974" s="11" t="str">
        <f>IF(OR(AC974&lt;&gt;"Abierto",Z974=""),"",TODAY()-Z974)</f>
        <v/>
      </c>
      <c r="AG974" s="11" t="str">
        <f>IF(AC974&lt;&gt;"Abierto","",IF(AB974="","Sin siguiente acción",IF(AB974&lt;TODAY(),"Vencido",IF(AB974=TODAY(),"Hoy","En tiempo"))))</f>
        <v/>
      </c>
      <c r="AH974" s="11" t="str">
        <f>IF(OR(B974="",V974=""),"",V974-B974)</f>
        <v/>
      </c>
      <c r="AI974" s="16" t="str">
        <f>IF(P974="","",P974-WEEKDAY(P974,3))</f>
        <v/>
      </c>
      <c r="AJ974" s="23" t="str">
        <f>IF(P974="","",DATE(YEAR(P974),MONTH(P974),1))</f>
        <v/>
      </c>
    </row>
    <row r="975">
      <c r="A975" s="21"/>
      <c r="B975" s="14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14"/>
      <c r="Q975" s="21"/>
      <c r="R975" s="21"/>
      <c r="S975" s="21"/>
      <c r="T975" s="21"/>
      <c r="U975" s="21"/>
      <c r="V975" s="14"/>
      <c r="W975" s="22"/>
      <c r="X975" s="14"/>
      <c r="Y975" s="11" t="str">
        <f>IF(V975="","",IF(X975&lt;&gt;"",IF(X975-V975&lt;30,"No","Sí"),IF(TODAY()-V975&gt;=30,"Sí","En curso")))</f>
        <v/>
      </c>
      <c r="Z975" s="14"/>
      <c r="AA975" s="21"/>
      <c r="AB975" s="14"/>
      <c r="AC975" s="21"/>
      <c r="AD975" s="21"/>
      <c r="AE975" s="7"/>
      <c r="AF975" s="11" t="str">
        <f>IF(OR(AC975&lt;&gt;"Abierto",Z975=""),"",TODAY()-Z975)</f>
        <v/>
      </c>
      <c r="AG975" s="11" t="str">
        <f>IF(AC975&lt;&gt;"Abierto","",IF(AB975="","Sin siguiente acción",IF(AB975&lt;TODAY(),"Vencido",IF(AB975=TODAY(),"Hoy","En tiempo"))))</f>
        <v/>
      </c>
      <c r="AH975" s="11" t="str">
        <f>IF(OR(B975="",V975=""),"",V975-B975)</f>
        <v/>
      </c>
      <c r="AI975" s="16" t="str">
        <f>IF(P975="","",P975-WEEKDAY(P975,3))</f>
        <v/>
      </c>
      <c r="AJ975" s="23" t="str">
        <f>IF(P975="","",DATE(YEAR(P975),MONTH(P975),1))</f>
        <v/>
      </c>
    </row>
    <row r="976">
      <c r="A976" s="21"/>
      <c r="B976" s="14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14"/>
      <c r="Q976" s="21"/>
      <c r="R976" s="21"/>
      <c r="S976" s="21"/>
      <c r="T976" s="21"/>
      <c r="U976" s="21"/>
      <c r="V976" s="14"/>
      <c r="W976" s="22"/>
      <c r="X976" s="14"/>
      <c r="Y976" s="11" t="str">
        <f>IF(V976="","",IF(X976&lt;&gt;"",IF(X976-V976&lt;30,"No","Sí"),IF(TODAY()-V976&gt;=30,"Sí","En curso")))</f>
        <v/>
      </c>
      <c r="Z976" s="14"/>
      <c r="AA976" s="21"/>
      <c r="AB976" s="14"/>
      <c r="AC976" s="21"/>
      <c r="AD976" s="21"/>
      <c r="AE976" s="7"/>
      <c r="AF976" s="11" t="str">
        <f>IF(OR(AC976&lt;&gt;"Abierto",Z976=""),"",TODAY()-Z976)</f>
        <v/>
      </c>
      <c r="AG976" s="11" t="str">
        <f>IF(AC976&lt;&gt;"Abierto","",IF(AB976="","Sin siguiente acción",IF(AB976&lt;TODAY(),"Vencido",IF(AB976=TODAY(),"Hoy","En tiempo"))))</f>
        <v/>
      </c>
      <c r="AH976" s="11" t="str">
        <f>IF(OR(B976="",V976=""),"",V976-B976)</f>
        <v/>
      </c>
      <c r="AI976" s="16" t="str">
        <f>IF(P976="","",P976-WEEKDAY(P976,3))</f>
        <v/>
      </c>
      <c r="AJ976" s="23" t="str">
        <f>IF(P976="","",DATE(YEAR(P976),MONTH(P976),1))</f>
        <v/>
      </c>
    </row>
    <row r="977">
      <c r="A977" s="21"/>
      <c r="B977" s="14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14"/>
      <c r="Q977" s="21"/>
      <c r="R977" s="21"/>
      <c r="S977" s="21"/>
      <c r="T977" s="21"/>
      <c r="U977" s="21"/>
      <c r="V977" s="14"/>
      <c r="W977" s="22"/>
      <c r="X977" s="14"/>
      <c r="Y977" s="11" t="str">
        <f>IF(V977="","",IF(X977&lt;&gt;"",IF(X977-V977&lt;30,"No","Sí"),IF(TODAY()-V977&gt;=30,"Sí","En curso")))</f>
        <v/>
      </c>
      <c r="Z977" s="14"/>
      <c r="AA977" s="21"/>
      <c r="AB977" s="14"/>
      <c r="AC977" s="21"/>
      <c r="AD977" s="21"/>
      <c r="AE977" s="7"/>
      <c r="AF977" s="11" t="str">
        <f>IF(OR(AC977&lt;&gt;"Abierto",Z977=""),"",TODAY()-Z977)</f>
        <v/>
      </c>
      <c r="AG977" s="11" t="str">
        <f>IF(AC977&lt;&gt;"Abierto","",IF(AB977="","Sin siguiente acción",IF(AB977&lt;TODAY(),"Vencido",IF(AB977=TODAY(),"Hoy","En tiempo"))))</f>
        <v/>
      </c>
      <c r="AH977" s="11" t="str">
        <f>IF(OR(B977="",V977=""),"",V977-B977)</f>
        <v/>
      </c>
      <c r="AI977" s="16" t="str">
        <f>IF(P977="","",P977-WEEKDAY(P977,3))</f>
        <v/>
      </c>
      <c r="AJ977" s="23" t="str">
        <f>IF(P977="","",DATE(YEAR(P977),MONTH(P977),1))</f>
        <v/>
      </c>
    </row>
    <row r="978">
      <c r="A978" s="21"/>
      <c r="B978" s="14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14"/>
      <c r="Q978" s="21"/>
      <c r="R978" s="21"/>
      <c r="S978" s="21"/>
      <c r="T978" s="21"/>
      <c r="U978" s="21"/>
      <c r="V978" s="14"/>
      <c r="W978" s="22"/>
      <c r="X978" s="14"/>
      <c r="Y978" s="11" t="str">
        <f>IF(V978="","",IF(X978&lt;&gt;"",IF(X978-V978&lt;30,"No","Sí"),IF(TODAY()-V978&gt;=30,"Sí","En curso")))</f>
        <v/>
      </c>
      <c r="Z978" s="14"/>
      <c r="AA978" s="21"/>
      <c r="AB978" s="14"/>
      <c r="AC978" s="21"/>
      <c r="AD978" s="21"/>
      <c r="AE978" s="7"/>
      <c r="AF978" s="11" t="str">
        <f>IF(OR(AC978&lt;&gt;"Abierto",Z978=""),"",TODAY()-Z978)</f>
        <v/>
      </c>
      <c r="AG978" s="11" t="str">
        <f>IF(AC978&lt;&gt;"Abierto","",IF(AB978="","Sin siguiente acción",IF(AB978&lt;TODAY(),"Vencido",IF(AB978=TODAY(),"Hoy","En tiempo"))))</f>
        <v/>
      </c>
      <c r="AH978" s="11" t="str">
        <f>IF(OR(B978="",V978=""),"",V978-B978)</f>
        <v/>
      </c>
      <c r="AI978" s="16" t="str">
        <f>IF(P978="","",P978-WEEKDAY(P978,3))</f>
        <v/>
      </c>
      <c r="AJ978" s="23" t="str">
        <f>IF(P978="","",DATE(YEAR(P978),MONTH(P978),1))</f>
        <v/>
      </c>
    </row>
    <row r="979">
      <c r="A979" s="21"/>
      <c r="B979" s="14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14"/>
      <c r="Q979" s="21"/>
      <c r="R979" s="21"/>
      <c r="S979" s="21"/>
      <c r="T979" s="21"/>
      <c r="U979" s="21"/>
      <c r="V979" s="14"/>
      <c r="W979" s="22"/>
      <c r="X979" s="14"/>
      <c r="Y979" s="11" t="str">
        <f>IF(V979="","",IF(X979&lt;&gt;"",IF(X979-V979&lt;30,"No","Sí"),IF(TODAY()-V979&gt;=30,"Sí","En curso")))</f>
        <v/>
      </c>
      <c r="Z979" s="14"/>
      <c r="AA979" s="21"/>
      <c r="AB979" s="14"/>
      <c r="AC979" s="21"/>
      <c r="AD979" s="21"/>
      <c r="AE979" s="7"/>
      <c r="AF979" s="11" t="str">
        <f>IF(OR(AC979&lt;&gt;"Abierto",Z979=""),"",TODAY()-Z979)</f>
        <v/>
      </c>
      <c r="AG979" s="11" t="str">
        <f>IF(AC979&lt;&gt;"Abierto","",IF(AB979="","Sin siguiente acción",IF(AB979&lt;TODAY(),"Vencido",IF(AB979=TODAY(),"Hoy","En tiempo"))))</f>
        <v/>
      </c>
      <c r="AH979" s="11" t="str">
        <f>IF(OR(B979="",V979=""),"",V979-B979)</f>
        <v/>
      </c>
      <c r="AI979" s="16" t="str">
        <f>IF(P979="","",P979-WEEKDAY(P979,3))</f>
        <v/>
      </c>
      <c r="AJ979" s="23" t="str">
        <f>IF(P979="","",DATE(YEAR(P979),MONTH(P979),1))</f>
        <v/>
      </c>
    </row>
    <row r="980">
      <c r="A980" s="21"/>
      <c r="B980" s="14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14"/>
      <c r="Q980" s="21"/>
      <c r="R980" s="21"/>
      <c r="S980" s="21"/>
      <c r="T980" s="21"/>
      <c r="U980" s="21"/>
      <c r="V980" s="14"/>
      <c r="W980" s="22"/>
      <c r="X980" s="14"/>
      <c r="Y980" s="11" t="str">
        <f>IF(V980="","",IF(X980&lt;&gt;"",IF(X980-V980&lt;30,"No","Sí"),IF(TODAY()-V980&gt;=30,"Sí","En curso")))</f>
        <v/>
      </c>
      <c r="Z980" s="14"/>
      <c r="AA980" s="21"/>
      <c r="AB980" s="14"/>
      <c r="AC980" s="21"/>
      <c r="AD980" s="21"/>
      <c r="AE980" s="7"/>
      <c r="AF980" s="11" t="str">
        <f>IF(OR(AC980&lt;&gt;"Abierto",Z980=""),"",TODAY()-Z980)</f>
        <v/>
      </c>
      <c r="AG980" s="11" t="str">
        <f>IF(AC980&lt;&gt;"Abierto","",IF(AB980="","Sin siguiente acción",IF(AB980&lt;TODAY(),"Vencido",IF(AB980=TODAY(),"Hoy","En tiempo"))))</f>
        <v/>
      </c>
      <c r="AH980" s="11" t="str">
        <f>IF(OR(B980="",V980=""),"",V980-B980)</f>
        <v/>
      </c>
      <c r="AI980" s="16" t="str">
        <f>IF(P980="","",P980-WEEKDAY(P980,3))</f>
        <v/>
      </c>
      <c r="AJ980" s="23" t="str">
        <f>IF(P980="","",DATE(YEAR(P980),MONTH(P980),1))</f>
        <v/>
      </c>
    </row>
    <row r="981">
      <c r="A981" s="21"/>
      <c r="B981" s="14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14"/>
      <c r="Q981" s="21"/>
      <c r="R981" s="21"/>
      <c r="S981" s="21"/>
      <c r="T981" s="21"/>
      <c r="U981" s="21"/>
      <c r="V981" s="14"/>
      <c r="W981" s="22"/>
      <c r="X981" s="14"/>
      <c r="Y981" s="11" t="str">
        <f>IF(V981="","",IF(X981&lt;&gt;"",IF(X981-V981&lt;30,"No","Sí"),IF(TODAY()-V981&gt;=30,"Sí","En curso")))</f>
        <v/>
      </c>
      <c r="Z981" s="14"/>
      <c r="AA981" s="21"/>
      <c r="AB981" s="14"/>
      <c r="AC981" s="21"/>
      <c r="AD981" s="21"/>
      <c r="AE981" s="7"/>
      <c r="AF981" s="11" t="str">
        <f>IF(OR(AC981&lt;&gt;"Abierto",Z981=""),"",TODAY()-Z981)</f>
        <v/>
      </c>
      <c r="AG981" s="11" t="str">
        <f>IF(AC981&lt;&gt;"Abierto","",IF(AB981="","Sin siguiente acción",IF(AB981&lt;TODAY(),"Vencido",IF(AB981=TODAY(),"Hoy","En tiempo"))))</f>
        <v/>
      </c>
      <c r="AH981" s="11" t="str">
        <f>IF(OR(B981="",V981=""),"",V981-B981)</f>
        <v/>
      </c>
      <c r="AI981" s="16" t="str">
        <f>IF(P981="","",P981-WEEKDAY(P981,3))</f>
        <v/>
      </c>
      <c r="AJ981" s="23" t="str">
        <f>IF(P981="","",DATE(YEAR(P981),MONTH(P981),1))</f>
        <v/>
      </c>
    </row>
    <row r="982">
      <c r="A982" s="21"/>
      <c r="B982" s="14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14"/>
      <c r="Q982" s="21"/>
      <c r="R982" s="21"/>
      <c r="S982" s="21"/>
      <c r="T982" s="21"/>
      <c r="U982" s="21"/>
      <c r="V982" s="14"/>
      <c r="W982" s="22"/>
      <c r="X982" s="14"/>
      <c r="Y982" s="11" t="str">
        <f>IF(V982="","",IF(X982&lt;&gt;"",IF(X982-V982&lt;30,"No","Sí"),IF(TODAY()-V982&gt;=30,"Sí","En curso")))</f>
        <v/>
      </c>
      <c r="Z982" s="14"/>
      <c r="AA982" s="21"/>
      <c r="AB982" s="14"/>
      <c r="AC982" s="21"/>
      <c r="AD982" s="21"/>
      <c r="AE982" s="7"/>
      <c r="AF982" s="11" t="str">
        <f>IF(OR(AC982&lt;&gt;"Abierto",Z982=""),"",TODAY()-Z982)</f>
        <v/>
      </c>
      <c r="AG982" s="11" t="str">
        <f>IF(AC982&lt;&gt;"Abierto","",IF(AB982="","Sin siguiente acción",IF(AB982&lt;TODAY(),"Vencido",IF(AB982=TODAY(),"Hoy","En tiempo"))))</f>
        <v/>
      </c>
      <c r="AH982" s="11" t="str">
        <f>IF(OR(B982="",V982=""),"",V982-B982)</f>
        <v/>
      </c>
      <c r="AI982" s="16" t="str">
        <f>IF(P982="","",P982-WEEKDAY(P982,3))</f>
        <v/>
      </c>
      <c r="AJ982" s="23" t="str">
        <f>IF(P982="","",DATE(YEAR(P982),MONTH(P982),1))</f>
        <v/>
      </c>
    </row>
    <row r="983">
      <c r="A983" s="21"/>
      <c r="B983" s="14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14"/>
      <c r="Q983" s="21"/>
      <c r="R983" s="21"/>
      <c r="S983" s="21"/>
      <c r="T983" s="21"/>
      <c r="U983" s="21"/>
      <c r="V983" s="14"/>
      <c r="W983" s="22"/>
      <c r="X983" s="14"/>
      <c r="Y983" s="11" t="str">
        <f>IF(V983="","",IF(X983&lt;&gt;"",IF(X983-V983&lt;30,"No","Sí"),IF(TODAY()-V983&gt;=30,"Sí","En curso")))</f>
        <v/>
      </c>
      <c r="Z983" s="14"/>
      <c r="AA983" s="21"/>
      <c r="AB983" s="14"/>
      <c r="AC983" s="21"/>
      <c r="AD983" s="21"/>
      <c r="AE983" s="7"/>
      <c r="AF983" s="11" t="str">
        <f>IF(OR(AC983&lt;&gt;"Abierto",Z983=""),"",TODAY()-Z983)</f>
        <v/>
      </c>
      <c r="AG983" s="11" t="str">
        <f>IF(AC983&lt;&gt;"Abierto","",IF(AB983="","Sin siguiente acción",IF(AB983&lt;TODAY(),"Vencido",IF(AB983=TODAY(),"Hoy","En tiempo"))))</f>
        <v/>
      </c>
      <c r="AH983" s="11" t="str">
        <f>IF(OR(B983="",V983=""),"",V983-B983)</f>
        <v/>
      </c>
      <c r="AI983" s="16" t="str">
        <f>IF(P983="","",P983-WEEKDAY(P983,3))</f>
        <v/>
      </c>
      <c r="AJ983" s="23" t="str">
        <f>IF(P983="","",DATE(YEAR(P983),MONTH(P983),1))</f>
        <v/>
      </c>
    </row>
    <row r="984">
      <c r="A984" s="21"/>
      <c r="B984" s="14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14"/>
      <c r="Q984" s="21"/>
      <c r="R984" s="21"/>
      <c r="S984" s="21"/>
      <c r="T984" s="21"/>
      <c r="U984" s="21"/>
      <c r="V984" s="14"/>
      <c r="W984" s="22"/>
      <c r="X984" s="14"/>
      <c r="Y984" s="11" t="str">
        <f>IF(V984="","",IF(X984&lt;&gt;"",IF(X984-V984&lt;30,"No","Sí"),IF(TODAY()-V984&gt;=30,"Sí","En curso")))</f>
        <v/>
      </c>
      <c r="Z984" s="14"/>
      <c r="AA984" s="21"/>
      <c r="AB984" s="14"/>
      <c r="AC984" s="21"/>
      <c r="AD984" s="21"/>
      <c r="AE984" s="7"/>
      <c r="AF984" s="11" t="str">
        <f>IF(OR(AC984&lt;&gt;"Abierto",Z984=""),"",TODAY()-Z984)</f>
        <v/>
      </c>
      <c r="AG984" s="11" t="str">
        <f>IF(AC984&lt;&gt;"Abierto","",IF(AB984="","Sin siguiente acción",IF(AB984&lt;TODAY(),"Vencido",IF(AB984=TODAY(),"Hoy","En tiempo"))))</f>
        <v/>
      </c>
      <c r="AH984" s="11" t="str">
        <f>IF(OR(B984="",V984=""),"",V984-B984)</f>
        <v/>
      </c>
      <c r="AI984" s="16" t="str">
        <f>IF(P984="","",P984-WEEKDAY(P984,3))</f>
        <v/>
      </c>
      <c r="AJ984" s="23" t="str">
        <f>IF(P984="","",DATE(YEAR(P984),MONTH(P984),1))</f>
        <v/>
      </c>
    </row>
    <row r="985">
      <c r="A985" s="21"/>
      <c r="B985" s="14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14"/>
      <c r="Q985" s="21"/>
      <c r="R985" s="21"/>
      <c r="S985" s="21"/>
      <c r="T985" s="21"/>
      <c r="U985" s="21"/>
      <c r="V985" s="14"/>
      <c r="W985" s="22"/>
      <c r="X985" s="14"/>
      <c r="Y985" s="11" t="str">
        <f>IF(V985="","",IF(X985&lt;&gt;"",IF(X985-V985&lt;30,"No","Sí"),IF(TODAY()-V985&gt;=30,"Sí","En curso")))</f>
        <v/>
      </c>
      <c r="Z985" s="14"/>
      <c r="AA985" s="21"/>
      <c r="AB985" s="14"/>
      <c r="AC985" s="21"/>
      <c r="AD985" s="21"/>
      <c r="AE985" s="7"/>
      <c r="AF985" s="11" t="str">
        <f>IF(OR(AC985&lt;&gt;"Abierto",Z985=""),"",TODAY()-Z985)</f>
        <v/>
      </c>
      <c r="AG985" s="11" t="str">
        <f>IF(AC985&lt;&gt;"Abierto","",IF(AB985="","Sin siguiente acción",IF(AB985&lt;TODAY(),"Vencido",IF(AB985=TODAY(),"Hoy","En tiempo"))))</f>
        <v/>
      </c>
      <c r="AH985" s="11" t="str">
        <f>IF(OR(B985="",V985=""),"",V985-B985)</f>
        <v/>
      </c>
      <c r="AI985" s="16" t="str">
        <f>IF(P985="","",P985-WEEKDAY(P985,3))</f>
        <v/>
      </c>
      <c r="AJ985" s="23" t="str">
        <f>IF(P985="","",DATE(YEAR(P985),MONTH(P985),1))</f>
        <v/>
      </c>
    </row>
    <row r="986">
      <c r="A986" s="21"/>
      <c r="B986" s="14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14"/>
      <c r="Q986" s="21"/>
      <c r="R986" s="21"/>
      <c r="S986" s="21"/>
      <c r="T986" s="21"/>
      <c r="U986" s="21"/>
      <c r="V986" s="14"/>
      <c r="W986" s="22"/>
      <c r="X986" s="14"/>
      <c r="Y986" s="11" t="str">
        <f>IF(V986="","",IF(X986&lt;&gt;"",IF(X986-V986&lt;30,"No","Sí"),IF(TODAY()-V986&gt;=30,"Sí","En curso")))</f>
        <v/>
      </c>
      <c r="Z986" s="14"/>
      <c r="AA986" s="21"/>
      <c r="AB986" s="14"/>
      <c r="AC986" s="21"/>
      <c r="AD986" s="21"/>
      <c r="AE986" s="7"/>
      <c r="AF986" s="11" t="str">
        <f>IF(OR(AC986&lt;&gt;"Abierto",Z986=""),"",TODAY()-Z986)</f>
        <v/>
      </c>
      <c r="AG986" s="11" t="str">
        <f>IF(AC986&lt;&gt;"Abierto","",IF(AB986="","Sin siguiente acción",IF(AB986&lt;TODAY(),"Vencido",IF(AB986=TODAY(),"Hoy","En tiempo"))))</f>
        <v/>
      </c>
      <c r="AH986" s="11" t="str">
        <f>IF(OR(B986="",V986=""),"",V986-B986)</f>
        <v/>
      </c>
      <c r="AI986" s="16" t="str">
        <f>IF(P986="","",P986-WEEKDAY(P986,3))</f>
        <v/>
      </c>
      <c r="AJ986" s="23" t="str">
        <f>IF(P986="","",DATE(YEAR(P986),MONTH(P986),1))</f>
        <v/>
      </c>
    </row>
    <row r="987">
      <c r="A987" s="21"/>
      <c r="B987" s="14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14"/>
      <c r="Q987" s="21"/>
      <c r="R987" s="21"/>
      <c r="S987" s="21"/>
      <c r="T987" s="21"/>
      <c r="U987" s="21"/>
      <c r="V987" s="14"/>
      <c r="W987" s="22"/>
      <c r="X987" s="14"/>
      <c r="Y987" s="11" t="str">
        <f>IF(V987="","",IF(X987&lt;&gt;"",IF(X987-V987&lt;30,"No","Sí"),IF(TODAY()-V987&gt;=30,"Sí","En curso")))</f>
        <v/>
      </c>
      <c r="Z987" s="14"/>
      <c r="AA987" s="21"/>
      <c r="AB987" s="14"/>
      <c r="AC987" s="21"/>
      <c r="AD987" s="21"/>
      <c r="AE987" s="7"/>
      <c r="AF987" s="11" t="str">
        <f>IF(OR(AC987&lt;&gt;"Abierto",Z987=""),"",TODAY()-Z987)</f>
        <v/>
      </c>
      <c r="AG987" s="11" t="str">
        <f>IF(AC987&lt;&gt;"Abierto","",IF(AB987="","Sin siguiente acción",IF(AB987&lt;TODAY(),"Vencido",IF(AB987=TODAY(),"Hoy","En tiempo"))))</f>
        <v/>
      </c>
      <c r="AH987" s="11" t="str">
        <f>IF(OR(B987="",V987=""),"",V987-B987)</f>
        <v/>
      </c>
      <c r="AI987" s="16" t="str">
        <f>IF(P987="","",P987-WEEKDAY(P987,3))</f>
        <v/>
      </c>
      <c r="AJ987" s="23" t="str">
        <f>IF(P987="","",DATE(YEAR(P987),MONTH(P987),1))</f>
        <v/>
      </c>
    </row>
    <row r="988">
      <c r="A988" s="21"/>
      <c r="B988" s="14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14"/>
      <c r="Q988" s="21"/>
      <c r="R988" s="21"/>
      <c r="S988" s="21"/>
      <c r="T988" s="21"/>
      <c r="U988" s="21"/>
      <c r="V988" s="14"/>
      <c r="W988" s="22"/>
      <c r="X988" s="14"/>
      <c r="Y988" s="11" t="str">
        <f>IF(V988="","",IF(X988&lt;&gt;"",IF(X988-V988&lt;30,"No","Sí"),IF(TODAY()-V988&gt;=30,"Sí","En curso")))</f>
        <v/>
      </c>
      <c r="Z988" s="14"/>
      <c r="AA988" s="21"/>
      <c r="AB988" s="14"/>
      <c r="AC988" s="21"/>
      <c r="AD988" s="21"/>
      <c r="AE988" s="7"/>
      <c r="AF988" s="11" t="str">
        <f>IF(OR(AC988&lt;&gt;"Abierto",Z988=""),"",TODAY()-Z988)</f>
        <v/>
      </c>
      <c r="AG988" s="11" t="str">
        <f>IF(AC988&lt;&gt;"Abierto","",IF(AB988="","Sin siguiente acción",IF(AB988&lt;TODAY(),"Vencido",IF(AB988=TODAY(),"Hoy","En tiempo"))))</f>
        <v/>
      </c>
      <c r="AH988" s="11" t="str">
        <f>IF(OR(B988="",V988=""),"",V988-B988)</f>
        <v/>
      </c>
      <c r="AI988" s="16" t="str">
        <f>IF(P988="","",P988-WEEKDAY(P988,3))</f>
        <v/>
      </c>
      <c r="AJ988" s="23" t="str">
        <f>IF(P988="","",DATE(YEAR(P988),MONTH(P988),1))</f>
        <v/>
      </c>
    </row>
    <row r="989">
      <c r="A989" s="21"/>
      <c r="B989" s="14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14"/>
      <c r="Q989" s="21"/>
      <c r="R989" s="21"/>
      <c r="S989" s="21"/>
      <c r="T989" s="21"/>
      <c r="U989" s="21"/>
      <c r="V989" s="14"/>
      <c r="W989" s="22"/>
      <c r="X989" s="14"/>
      <c r="Y989" s="11" t="str">
        <f>IF(V989="","",IF(X989&lt;&gt;"",IF(X989-V989&lt;30,"No","Sí"),IF(TODAY()-V989&gt;=30,"Sí","En curso")))</f>
        <v/>
      </c>
      <c r="Z989" s="14"/>
      <c r="AA989" s="21"/>
      <c r="AB989" s="14"/>
      <c r="AC989" s="21"/>
      <c r="AD989" s="21"/>
      <c r="AE989" s="7"/>
      <c r="AF989" s="11" t="str">
        <f>IF(OR(AC989&lt;&gt;"Abierto",Z989=""),"",TODAY()-Z989)</f>
        <v/>
      </c>
      <c r="AG989" s="11" t="str">
        <f>IF(AC989&lt;&gt;"Abierto","",IF(AB989="","Sin siguiente acción",IF(AB989&lt;TODAY(),"Vencido",IF(AB989=TODAY(),"Hoy","En tiempo"))))</f>
        <v/>
      </c>
      <c r="AH989" s="11" t="str">
        <f>IF(OR(B989="",V989=""),"",V989-B989)</f>
        <v/>
      </c>
      <c r="AI989" s="16" t="str">
        <f>IF(P989="","",P989-WEEKDAY(P989,3))</f>
        <v/>
      </c>
      <c r="AJ989" s="23" t="str">
        <f>IF(P989="","",DATE(YEAR(P989),MONTH(P989),1))</f>
        <v/>
      </c>
    </row>
    <row r="990">
      <c r="A990" s="21"/>
      <c r="B990" s="14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14"/>
      <c r="Q990" s="21"/>
      <c r="R990" s="21"/>
      <c r="S990" s="21"/>
      <c r="T990" s="21"/>
      <c r="U990" s="21"/>
      <c r="V990" s="14"/>
      <c r="W990" s="22"/>
      <c r="X990" s="14"/>
      <c r="Y990" s="11" t="str">
        <f>IF(V990="","",IF(X990&lt;&gt;"",IF(X990-V990&lt;30,"No","Sí"),IF(TODAY()-V990&gt;=30,"Sí","En curso")))</f>
        <v/>
      </c>
      <c r="Z990" s="14"/>
      <c r="AA990" s="21"/>
      <c r="AB990" s="14"/>
      <c r="AC990" s="21"/>
      <c r="AD990" s="21"/>
      <c r="AE990" s="7"/>
      <c r="AF990" s="11" t="str">
        <f>IF(OR(AC990&lt;&gt;"Abierto",Z990=""),"",TODAY()-Z990)</f>
        <v/>
      </c>
      <c r="AG990" s="11" t="str">
        <f>IF(AC990&lt;&gt;"Abierto","",IF(AB990="","Sin siguiente acción",IF(AB990&lt;TODAY(),"Vencido",IF(AB990=TODAY(),"Hoy","En tiempo"))))</f>
        <v/>
      </c>
      <c r="AH990" s="11" t="str">
        <f>IF(OR(B990="",V990=""),"",V990-B990)</f>
        <v/>
      </c>
      <c r="AI990" s="16" t="str">
        <f>IF(P990="","",P990-WEEKDAY(P990,3))</f>
        <v/>
      </c>
      <c r="AJ990" s="23" t="str">
        <f>IF(P990="","",DATE(YEAR(P990),MONTH(P990),1))</f>
        <v/>
      </c>
    </row>
    <row r="991">
      <c r="A991" s="21"/>
      <c r="B991" s="14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14"/>
      <c r="Q991" s="21"/>
      <c r="R991" s="21"/>
      <c r="S991" s="21"/>
      <c r="T991" s="21"/>
      <c r="U991" s="21"/>
      <c r="V991" s="14"/>
      <c r="W991" s="22"/>
      <c r="X991" s="14"/>
      <c r="Y991" s="11" t="str">
        <f>IF(V991="","",IF(X991&lt;&gt;"",IF(X991-V991&lt;30,"No","Sí"),IF(TODAY()-V991&gt;=30,"Sí","En curso")))</f>
        <v/>
      </c>
      <c r="Z991" s="14"/>
      <c r="AA991" s="21"/>
      <c r="AB991" s="14"/>
      <c r="AC991" s="21"/>
      <c r="AD991" s="21"/>
      <c r="AE991" s="7"/>
      <c r="AF991" s="11" t="str">
        <f>IF(OR(AC991&lt;&gt;"Abierto",Z991=""),"",TODAY()-Z991)</f>
        <v/>
      </c>
      <c r="AG991" s="11" t="str">
        <f>IF(AC991&lt;&gt;"Abierto","",IF(AB991="","Sin siguiente acción",IF(AB991&lt;TODAY(),"Vencido",IF(AB991=TODAY(),"Hoy","En tiempo"))))</f>
        <v/>
      </c>
      <c r="AH991" s="11" t="str">
        <f>IF(OR(B991="",V991=""),"",V991-B991)</f>
        <v/>
      </c>
      <c r="AI991" s="16" t="str">
        <f>IF(P991="","",P991-WEEKDAY(P991,3))</f>
        <v/>
      </c>
      <c r="AJ991" s="23" t="str">
        <f>IF(P991="","",DATE(YEAR(P991),MONTH(P991),1))</f>
        <v/>
      </c>
    </row>
    <row r="992">
      <c r="A992" s="21"/>
      <c r="B992" s="14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14"/>
      <c r="Q992" s="21"/>
      <c r="R992" s="21"/>
      <c r="S992" s="21"/>
      <c r="T992" s="21"/>
      <c r="U992" s="21"/>
      <c r="V992" s="14"/>
      <c r="W992" s="22"/>
      <c r="X992" s="14"/>
      <c r="Y992" s="11" t="str">
        <f>IF(V992="","",IF(X992&lt;&gt;"",IF(X992-V992&lt;30,"No","Sí"),IF(TODAY()-V992&gt;=30,"Sí","En curso")))</f>
        <v/>
      </c>
      <c r="Z992" s="14"/>
      <c r="AA992" s="21"/>
      <c r="AB992" s="14"/>
      <c r="AC992" s="21"/>
      <c r="AD992" s="21"/>
      <c r="AE992" s="7"/>
      <c r="AF992" s="11" t="str">
        <f>IF(OR(AC992&lt;&gt;"Abierto",Z992=""),"",TODAY()-Z992)</f>
        <v/>
      </c>
      <c r="AG992" s="11" t="str">
        <f>IF(AC992&lt;&gt;"Abierto","",IF(AB992="","Sin siguiente acción",IF(AB992&lt;TODAY(),"Vencido",IF(AB992=TODAY(),"Hoy","En tiempo"))))</f>
        <v/>
      </c>
      <c r="AH992" s="11" t="str">
        <f>IF(OR(B992="",V992=""),"",V992-B992)</f>
        <v/>
      </c>
      <c r="AI992" s="16" t="str">
        <f>IF(P992="","",P992-WEEKDAY(P992,3))</f>
        <v/>
      </c>
      <c r="AJ992" s="23" t="str">
        <f>IF(P992="","",DATE(YEAR(P992),MONTH(P992),1))</f>
        <v/>
      </c>
    </row>
    <row r="993">
      <c r="A993" s="21"/>
      <c r="B993" s="14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14"/>
      <c r="Q993" s="21"/>
      <c r="R993" s="21"/>
      <c r="S993" s="21"/>
      <c r="T993" s="21"/>
      <c r="U993" s="21"/>
      <c r="V993" s="14"/>
      <c r="W993" s="22"/>
      <c r="X993" s="14"/>
      <c r="Y993" s="11" t="str">
        <f>IF(V993="","",IF(X993&lt;&gt;"",IF(X993-V993&lt;30,"No","Sí"),IF(TODAY()-V993&gt;=30,"Sí","En curso")))</f>
        <v/>
      </c>
      <c r="Z993" s="14"/>
      <c r="AA993" s="21"/>
      <c r="AB993" s="14"/>
      <c r="AC993" s="21"/>
      <c r="AD993" s="21"/>
      <c r="AE993" s="7"/>
      <c r="AF993" s="11" t="str">
        <f>IF(OR(AC993&lt;&gt;"Abierto",Z993=""),"",TODAY()-Z993)</f>
        <v/>
      </c>
      <c r="AG993" s="11" t="str">
        <f>IF(AC993&lt;&gt;"Abierto","",IF(AB993="","Sin siguiente acción",IF(AB993&lt;TODAY(),"Vencido",IF(AB993=TODAY(),"Hoy","En tiempo"))))</f>
        <v/>
      </c>
      <c r="AH993" s="11" t="str">
        <f>IF(OR(B993="",V993=""),"",V993-B993)</f>
        <v/>
      </c>
      <c r="AI993" s="16" t="str">
        <f>IF(P993="","",P993-WEEKDAY(P993,3))</f>
        <v/>
      </c>
      <c r="AJ993" s="23" t="str">
        <f>IF(P993="","",DATE(YEAR(P993),MONTH(P993),1))</f>
        <v/>
      </c>
    </row>
    <row r="994">
      <c r="A994" s="21"/>
      <c r="B994" s="14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14"/>
      <c r="Q994" s="21"/>
      <c r="R994" s="21"/>
      <c r="S994" s="21"/>
      <c r="T994" s="21"/>
      <c r="U994" s="21"/>
      <c r="V994" s="14"/>
      <c r="W994" s="22"/>
      <c r="X994" s="14"/>
      <c r="Y994" s="11" t="str">
        <f>IF(V994="","",IF(X994&lt;&gt;"",IF(X994-V994&lt;30,"No","Sí"),IF(TODAY()-V994&gt;=30,"Sí","En curso")))</f>
        <v/>
      </c>
      <c r="Z994" s="14"/>
      <c r="AA994" s="21"/>
      <c r="AB994" s="14"/>
      <c r="AC994" s="21"/>
      <c r="AD994" s="21"/>
      <c r="AE994" s="7"/>
      <c r="AF994" s="11" t="str">
        <f>IF(OR(AC994&lt;&gt;"Abierto",Z994=""),"",TODAY()-Z994)</f>
        <v/>
      </c>
      <c r="AG994" s="11" t="str">
        <f>IF(AC994&lt;&gt;"Abierto","",IF(AB994="","Sin siguiente acción",IF(AB994&lt;TODAY(),"Vencido",IF(AB994=TODAY(),"Hoy","En tiempo"))))</f>
        <v/>
      </c>
      <c r="AH994" s="11" t="str">
        <f>IF(OR(B994="",V994=""),"",V994-B994)</f>
        <v/>
      </c>
      <c r="AI994" s="16" t="str">
        <f>IF(P994="","",P994-WEEKDAY(P994,3))</f>
        <v/>
      </c>
      <c r="AJ994" s="23" t="str">
        <f>IF(P994="","",DATE(YEAR(P994),MONTH(P994),1))</f>
        <v/>
      </c>
    </row>
    <row r="995">
      <c r="A995" s="21"/>
      <c r="B995" s="14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14"/>
      <c r="Q995" s="21"/>
      <c r="R995" s="21"/>
      <c r="S995" s="21"/>
      <c r="T995" s="21"/>
      <c r="U995" s="21"/>
      <c r="V995" s="14"/>
      <c r="W995" s="22"/>
      <c r="X995" s="14"/>
      <c r="Y995" s="11" t="str">
        <f>IF(V995="","",IF(X995&lt;&gt;"",IF(X995-V995&lt;30,"No","Sí"),IF(TODAY()-V995&gt;=30,"Sí","En curso")))</f>
        <v/>
      </c>
      <c r="Z995" s="14"/>
      <c r="AA995" s="21"/>
      <c r="AB995" s="14"/>
      <c r="AC995" s="21"/>
      <c r="AD995" s="21"/>
      <c r="AE995" s="7"/>
      <c r="AF995" s="11" t="str">
        <f>IF(OR(AC995&lt;&gt;"Abierto",Z995=""),"",TODAY()-Z995)</f>
        <v/>
      </c>
      <c r="AG995" s="11" t="str">
        <f>IF(AC995&lt;&gt;"Abierto","",IF(AB995="","Sin siguiente acción",IF(AB995&lt;TODAY(),"Vencido",IF(AB995=TODAY(),"Hoy","En tiempo"))))</f>
        <v/>
      </c>
      <c r="AH995" s="11" t="str">
        <f>IF(OR(B995="",V995=""),"",V995-B995)</f>
        <v/>
      </c>
      <c r="AI995" s="16" t="str">
        <f>IF(P995="","",P995-WEEKDAY(P995,3))</f>
        <v/>
      </c>
      <c r="AJ995" s="23" t="str">
        <f>IF(P995="","",DATE(YEAR(P995),MONTH(P995),1))</f>
        <v/>
      </c>
    </row>
    <row r="996">
      <c r="A996" s="21"/>
      <c r="B996" s="14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14"/>
      <c r="Q996" s="21"/>
      <c r="R996" s="21"/>
      <c r="S996" s="21"/>
      <c r="T996" s="21"/>
      <c r="U996" s="21"/>
      <c r="V996" s="14"/>
      <c r="W996" s="22"/>
      <c r="X996" s="14"/>
      <c r="Y996" s="11" t="str">
        <f>IF(V996="","",IF(X996&lt;&gt;"",IF(X996-V996&lt;30,"No","Sí"),IF(TODAY()-V996&gt;=30,"Sí","En curso")))</f>
        <v/>
      </c>
      <c r="Z996" s="14"/>
      <c r="AA996" s="21"/>
      <c r="AB996" s="14"/>
      <c r="AC996" s="21"/>
      <c r="AD996" s="21"/>
      <c r="AE996" s="7"/>
      <c r="AF996" s="11" t="str">
        <f>IF(OR(AC996&lt;&gt;"Abierto",Z996=""),"",TODAY()-Z996)</f>
        <v/>
      </c>
      <c r="AG996" s="11" t="str">
        <f>IF(AC996&lt;&gt;"Abierto","",IF(AB996="","Sin siguiente acción",IF(AB996&lt;TODAY(),"Vencido",IF(AB996=TODAY(),"Hoy","En tiempo"))))</f>
        <v/>
      </c>
      <c r="AH996" s="11" t="str">
        <f>IF(OR(B996="",V996=""),"",V996-B996)</f>
        <v/>
      </c>
      <c r="AI996" s="16" t="str">
        <f>IF(P996="","",P996-WEEKDAY(P996,3))</f>
        <v/>
      </c>
      <c r="AJ996" s="23" t="str">
        <f>IF(P996="","",DATE(YEAR(P996),MONTH(P996),1))</f>
        <v/>
      </c>
    </row>
    <row r="997">
      <c r="A997" s="21"/>
      <c r="B997" s="14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14"/>
      <c r="Q997" s="21"/>
      <c r="R997" s="21"/>
      <c r="S997" s="21"/>
      <c r="T997" s="21"/>
      <c r="U997" s="21"/>
      <c r="V997" s="14"/>
      <c r="W997" s="22"/>
      <c r="X997" s="14"/>
      <c r="Y997" s="11" t="str">
        <f>IF(V997="","",IF(X997&lt;&gt;"",IF(X997-V997&lt;30,"No","Sí"),IF(TODAY()-V997&gt;=30,"Sí","En curso")))</f>
        <v/>
      </c>
      <c r="Z997" s="14"/>
      <c r="AA997" s="21"/>
      <c r="AB997" s="14"/>
      <c r="AC997" s="21"/>
      <c r="AD997" s="21"/>
      <c r="AE997" s="7"/>
      <c r="AF997" s="11" t="str">
        <f>IF(OR(AC997&lt;&gt;"Abierto",Z997=""),"",TODAY()-Z997)</f>
        <v/>
      </c>
      <c r="AG997" s="11" t="str">
        <f>IF(AC997&lt;&gt;"Abierto","",IF(AB997="","Sin siguiente acción",IF(AB997&lt;TODAY(),"Vencido",IF(AB997=TODAY(),"Hoy","En tiempo"))))</f>
        <v/>
      </c>
      <c r="AH997" s="11" t="str">
        <f>IF(OR(B997="",V997=""),"",V997-B997)</f>
        <v/>
      </c>
      <c r="AI997" s="16" t="str">
        <f>IF(P997="","",P997-WEEKDAY(P997,3))</f>
        <v/>
      </c>
      <c r="AJ997" s="23" t="str">
        <f>IF(P997="","",DATE(YEAR(P997),MONTH(P997),1))</f>
        <v/>
      </c>
    </row>
    <row r="998">
      <c r="A998" s="21"/>
      <c r="B998" s="14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14"/>
      <c r="Q998" s="21"/>
      <c r="R998" s="21"/>
      <c r="S998" s="21"/>
      <c r="T998" s="21"/>
      <c r="U998" s="21"/>
      <c r="V998" s="14"/>
      <c r="W998" s="22"/>
      <c r="X998" s="14"/>
      <c r="Y998" s="11" t="str">
        <f>IF(V998="","",IF(X998&lt;&gt;"",IF(X998-V998&lt;30,"No","Sí"),IF(TODAY()-V998&gt;=30,"Sí","En curso")))</f>
        <v/>
      </c>
      <c r="Z998" s="14"/>
      <c r="AA998" s="21"/>
      <c r="AB998" s="14"/>
      <c r="AC998" s="21"/>
      <c r="AD998" s="21"/>
      <c r="AE998" s="7"/>
      <c r="AF998" s="11" t="str">
        <f>IF(OR(AC998&lt;&gt;"Abierto",Z998=""),"",TODAY()-Z998)</f>
        <v/>
      </c>
      <c r="AG998" s="11" t="str">
        <f>IF(AC998&lt;&gt;"Abierto","",IF(AB998="","Sin siguiente acción",IF(AB998&lt;TODAY(),"Vencido",IF(AB998=TODAY(),"Hoy","En tiempo"))))</f>
        <v/>
      </c>
      <c r="AH998" s="11" t="str">
        <f>IF(OR(B998="",V998=""),"",V998-B998)</f>
        <v/>
      </c>
      <c r="AI998" s="16" t="str">
        <f>IF(P998="","",P998-WEEKDAY(P998,3))</f>
        <v/>
      </c>
      <c r="AJ998" s="23" t="str">
        <f>IF(P998="","",DATE(YEAR(P998),MONTH(P998),1))</f>
        <v/>
      </c>
    </row>
    <row r="999">
      <c r="A999" s="21"/>
      <c r="B999" s="14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14"/>
      <c r="Q999" s="21"/>
      <c r="R999" s="21"/>
      <c r="S999" s="21"/>
      <c r="T999" s="21"/>
      <c r="U999" s="21"/>
      <c r="V999" s="14"/>
      <c r="W999" s="22"/>
      <c r="X999" s="14"/>
      <c r="Y999" s="11" t="str">
        <f>IF(V999="","",IF(X999&lt;&gt;"",IF(X999-V999&lt;30,"No","Sí"),IF(TODAY()-V999&gt;=30,"Sí","En curso")))</f>
        <v/>
      </c>
      <c r="Z999" s="14"/>
      <c r="AA999" s="21"/>
      <c r="AB999" s="14"/>
      <c r="AC999" s="21"/>
      <c r="AD999" s="21"/>
      <c r="AE999" s="7"/>
      <c r="AF999" s="11" t="str">
        <f>IF(OR(AC999&lt;&gt;"Abierto",Z999=""),"",TODAY()-Z999)</f>
        <v/>
      </c>
      <c r="AG999" s="11" t="str">
        <f>IF(AC999&lt;&gt;"Abierto","",IF(AB999="","Sin siguiente acción",IF(AB999&lt;TODAY(),"Vencido",IF(AB999=TODAY(),"Hoy","En tiempo"))))</f>
        <v/>
      </c>
      <c r="AH999" s="11" t="str">
        <f>IF(OR(B999="",V999=""),"",V999-B999)</f>
        <v/>
      </c>
      <c r="AI999" s="16" t="str">
        <f>IF(P999="","",P999-WEEKDAY(P999,3))</f>
        <v/>
      </c>
      <c r="AJ999" s="23" t="str">
        <f>IF(P999="","",DATE(YEAR(P999),MONTH(P999),1))</f>
        <v/>
      </c>
    </row>
    <row r="1000">
      <c r="A1000" s="21"/>
      <c r="B1000" s="14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14"/>
      <c r="Q1000" s="21"/>
      <c r="R1000" s="21"/>
      <c r="S1000" s="21"/>
      <c r="T1000" s="21"/>
      <c r="U1000" s="21"/>
      <c r="V1000" s="14"/>
      <c r="W1000" s="22"/>
      <c r="X1000" s="14"/>
      <c r="Y1000" s="11" t="str">
        <f>IF(V1000="","",IF(X1000&lt;&gt;"",IF(X1000-V1000&lt;30,"No","Sí"),IF(TODAY()-V1000&gt;=30,"Sí","En curso")))</f>
        <v/>
      </c>
      <c r="Z1000" s="14"/>
      <c r="AA1000" s="21"/>
      <c r="AB1000" s="14"/>
      <c r="AC1000" s="21"/>
      <c r="AD1000" s="21"/>
      <c r="AE1000" s="7"/>
      <c r="AF1000" s="11" t="str">
        <f>IF(OR(AC1000&lt;&gt;"Abierto",Z1000=""),"",TODAY()-Z1000)</f>
        <v/>
      </c>
      <c r="AG1000" s="11" t="str">
        <f>IF(AC1000&lt;&gt;"Abierto","",IF(AB1000="","Sin siguiente acción",IF(AB1000&lt;TODAY(),"Vencido",IF(AB1000=TODAY(),"Hoy","En tiempo"))))</f>
        <v/>
      </c>
      <c r="AH1000" s="11" t="str">
        <f>IF(OR(B1000="",V1000=""),"",V1000-B1000)</f>
        <v/>
      </c>
      <c r="AI1000" s="16" t="str">
        <f>IF(P1000="","",P1000-WEEKDAY(P1000,3))</f>
        <v/>
      </c>
      <c r="AJ1000" s="23" t="str">
        <f>IF(P1000="","",DATE(YEAR(P1000),MONTH(P1000),1))</f>
        <v/>
      </c>
    </row>
    <row r="1001">
      <c r="A1001" s="21"/>
      <c r="B1001" s="14"/>
      <c r="C1001" s="21"/>
      <c r="D1001" s="21"/>
      <c r="E1001" s="21"/>
      <c r="F1001" s="21"/>
      <c r="G1001" s="21"/>
      <c r="H1001" s="21"/>
      <c r="I1001" s="21"/>
      <c r="J1001" s="21"/>
      <c r="K1001" s="21"/>
      <c r="L1001" s="21"/>
      <c r="M1001" s="21"/>
      <c r="N1001" s="21"/>
      <c r="O1001" s="21"/>
      <c r="P1001" s="14"/>
      <c r="Q1001" s="21"/>
      <c r="R1001" s="21"/>
      <c r="S1001" s="21"/>
      <c r="T1001" s="21"/>
      <c r="U1001" s="21"/>
      <c r="V1001" s="14"/>
      <c r="W1001" s="22"/>
      <c r="X1001" s="14"/>
      <c r="Y1001" s="11" t="str">
        <f>IF(V1001="","",IF(X1001&lt;&gt;"",IF(X1001-V1001&lt;30,"No","Sí"),IF(TODAY()-V1001&gt;=30,"Sí","En curso")))</f>
        <v/>
      </c>
      <c r="Z1001" s="14"/>
      <c r="AA1001" s="21"/>
      <c r="AB1001" s="14"/>
      <c r="AC1001" s="21"/>
      <c r="AD1001" s="21"/>
      <c r="AE1001" s="7"/>
      <c r="AF1001" s="11" t="str">
        <f>IF(OR(AC1001&lt;&gt;"Abierto",Z1001=""),"",TODAY()-Z1001)</f>
        <v/>
      </c>
      <c r="AG1001" s="11" t="str">
        <f>IF(AC1001&lt;&gt;"Abierto","",IF(AB1001="","Sin siguiente acción",IF(AB1001&lt;TODAY(),"Vencido",IF(AB1001=TODAY(),"Hoy","En tiempo"))))</f>
        <v/>
      </c>
      <c r="AH1001" s="11" t="str">
        <f>IF(OR(B1001="",V1001=""),"",V1001-B1001)</f>
        <v/>
      </c>
      <c r="AI1001" s="16" t="str">
        <f>IF(P1001="","",P1001-WEEKDAY(P1001,3))</f>
        <v/>
      </c>
      <c r="AJ1001" s="23" t="str">
        <f>IF(P1001="","",DATE(YEAR(P1001),MONTH(P1001),1))</f>
        <v/>
      </c>
    </row>
  </sheetData>
  <autoFilter ref="A1:AJ1001"/>
  <conditionalFormatting sqref="AG2:AG1001">
    <cfRule type="expression" dxfId="0" priority="1">
      <formula>$AG2="Vencido"</formula>
    </cfRule>
  </conditionalFormatting>
  <conditionalFormatting sqref="AG2:AG1001">
    <cfRule type="expression" dxfId="1" priority="2">
      <formula>$AG2="Sin siguiente acción"</formula>
    </cfRule>
  </conditionalFormatting>
  <conditionalFormatting sqref="AG2:AG1001">
    <cfRule type="expression" dxfId="2" priority="3">
      <formula>$AG2="Hoy"</formula>
    </cfRule>
  </conditionalFormatting>
  <conditionalFormatting sqref="A2:AE1001">
    <cfRule type="expression" dxfId="3" priority="4">
      <formula>$AC2="Inscrito"</formula>
    </cfRule>
  </conditionalFormatting>
  <conditionalFormatting sqref="A2:AE1001">
    <cfRule type="expression" dxfId="4" priority="5">
      <formula>$AC2="Perdido"</formula>
    </cfRule>
  </conditionalFormatting>
  <conditionalFormatting sqref="Y2:Y1001">
    <cfRule type="expression" dxfId="0" priority="6">
      <formula>$Y2="No"</formula>
    </cfRule>
  </conditionalFormatting>
  <dataValidations count="15">
    <dataValidation type="list" allowBlank="1" showErrorMessage="1" errorStyle="warning" errorTitle="Valor fuera de catálogo" error="Usa un valor de la lista para que el tablero lo cuente." showInputMessage="1" promptTitle="Selecciona" prompt="Nuevo, alumno actual o exalumno" sqref="C2:C1001">
      <formula1>L_Tipo</formula1>
    </dataValidation>
    <dataValidation type="list" allowBlank="1" showErrorMessage="1" errorStyle="warning" errorTitle="Valor fuera de catálogo" error="Usa un valor de la lista para que el tablero lo cuente." showInputMessage="1" promptTitle="Selecciona" prompt="Dónde nos conoció (no por dónde escribió)" sqref="G2:G1001">
      <formula1>L_Canal</formula1>
    </dataValidation>
    <dataValidation type="list" allowBlank="1" showErrorMessage="1" errorStyle="warning" errorTitle="Valor fuera de catálogo" error="Usa un valor de la lista para que el tablero lo cuente." showInputMessage="1" promptTitle="Selecciona" prompt="Por dónde escribió o llamó" sqref="I2:I1001">
      <formula1>L_Medio</formula1>
    </dataValidation>
    <dataValidation type="list" allowBlank="1" showErrorMessage="1" errorStyle="warning" errorTitle="Valor fuera de catálogo" error="Usa un valor de la lista para que el tablero lo cuente." sqref="J2:J1001">
      <formula1>L_Programa</formula1>
    </dataValidation>
    <dataValidation type="list" allowBlank="1" showErrorMessage="1" errorStyle="warning" errorTitle="Valor fuera de catálogo" error="Usa un valor de la lista para que el tablero lo cuente." sqref="L2:L1001">
      <formula1>L_Idioma</formula1>
    </dataValidation>
    <dataValidation type="list" allowBlank="1" showErrorMessage="1" errorStyle="warning" errorTitle="Valor fuera de catálogo" error="Usa un valor de la lista para que el tablero lo cuente." showInputMessage="1" promptTitle="Selecciona" prompt="Pregúntalo en el primer contacto" sqref="M2:M1001">
      <formula1>L_Horario</formula1>
    </dataValidation>
    <dataValidation type="list" allowBlank="1" showErrorMessage="1" errorStyle="warning" errorTitle="Valor fuera de catálogo" error="Usa un valor de la lista para que el tablero lo cuente." sqref="N2:N1001">
      <formula1>L_Responsable</formula1>
    </dataValidation>
    <dataValidation type="list" allowBlank="1" showErrorMessage="1" errorStyle="warning" errorTitle="Valor fuera de catálogo" error="Usa un valor de la lista para que el tablero lo cuente." showInputMessage="1" promptTitle="Selecciona" prompt="Etapa actual del prospecto" sqref="O2:O1001">
      <formula1>L_Etapa</formula1>
    </dataValidation>
    <dataValidation type="list" allowBlank="1" showErrorMessage="1" errorStyle="warning" errorTitle="Valor fuera de catálogo" error="Usa un valor de la lista para que el tablero lo cuente." showInputMessage="1" promptTitle="Selecciona" prompt="Confirmación 1 día antes o el mismo día" sqref="S2:S1001">
      <formula1>L_SiNo</formula1>
    </dataValidation>
    <dataValidation type="list" allowBlank="1" showErrorMessage="1" errorStyle="warning" errorTitle="Valor fuera de catálogo" error="Usa un valor de la lista para que el tablero lo cuente." sqref="T2:T1001">
      <formula1>L_ResultadoCM</formula1>
    </dataValidation>
    <dataValidation type="list" allowBlank="1" showErrorMessage="1" errorStyle="warning" errorTitle="Valor fuera de catálogo" error="Usa un valor de la lista para que el tablero lo cuente." sqref="U2:U1001">
      <formula1>L_Motivo</formula1>
    </dataValidation>
    <dataValidation type="list" allowBlank="1" showErrorMessage="1" errorStyle="warning" errorTitle="Valor fuera de catálogo" error="Usa un valor de la lista para que el tablero lo cuente." showInputMessage="1" promptTitle="Selecciona" prompt="Toda fila abierta necesita siguiente acción y fecha" sqref="AA2:AA1001">
      <formula1>L_Accion</formula1>
    </dataValidation>
    <dataValidation type="list" allowBlank="1" showErrorMessage="1" errorStyle="warning" errorTitle="Valor fuera de catálogo" error="Usa un valor de la lista para que el tablero lo cuente." sqref="AC2:AC1001">
      <formula1>L_Resultado</formula1>
    </dataValidation>
    <dataValidation type="list" allowBlank="1" showErrorMessage="1" errorStyle="warning" errorTitle="Valor fuera de catálogo" error="Usa un valor de la lista para que el tablero lo cuente." showInputMessage="1" promptTitle="Selecciona" prompt="Obligatorio si el resultado es Perdido" sqref="AD2:AD1001">
      <formula1>L_Perdida</formula1>
    </dataValidation>
    <dataValidation type="custom" allowBlank="1" showErrorMessage="1" errorStyle="warning" errorTitle="Revisa el dato" error="El teléfono debe tener 10 dígitos, sin espacios." sqref="E2:E1001">
      <formula1>OR(E2="",LEN(E2)=10)</formula1>
    </dataValidation>
  </dataValidations>
  <pageMargins left="0.5" right="0.5" top="0.6" bottom="0.6" header="0.3" footer="0.3"/>
  <pageSetup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70AD47"/>
  </sheetPr>
  <dimension ref="A1:R304"/>
  <sheetViews>
    <sheetView workbookViewId="0" zoomScale="100">
      <pane xSplit="2" ySplit="4" topLeftCell="C5" activePane="bottomRight" state="frozen"/>
      <selection pane="bottomRight" activeCell="C5" sqref="C5"/>
    </sheetView>
  </sheetViews>
  <sheetFormatPr defaultRowHeight="15"/>
  <cols>
    <col min="1" max="1" width="10" customWidth="1"/>
    <col min="2" max="2" width="30" customWidth="1"/>
    <col min="3" max="3" width="12" customWidth="1"/>
    <col min="4" max="4" width="9" customWidth="1"/>
    <col min="5" max="5" width="26" customWidth="1"/>
    <col min="6" max="6" width="11" customWidth="1"/>
    <col min="7" max="7" width="16" customWidth="1"/>
    <col min="8" max="8" width="12" customWidth="1"/>
    <col min="9" max="9" width="12" customWidth="1"/>
    <col min="10" max="10" width="12" customWidth="1"/>
    <col min="11" max="11" width="30" customWidth="1"/>
    <col min="12" max="12" width="12" customWidth="1"/>
    <col min="13" max="13" width="30" customWidth="1"/>
    <col min="14" max="14" width="26" customWidth="1"/>
    <col min="15" max="15" width="9" customWidth="1"/>
    <col min="16" max="16" width="10" customWidth="1"/>
    <col min="17" max="17" width="10" customWidth="1"/>
    <col min="18" max="18" width="22" customWidth="1"/>
  </cols>
  <sheetData>
    <row r="1">
      <c r="A1" s="1" t="inlineStr">
        <is>
          <t>Seguimiento de alumnos nuevos: primeros 60 días</t>
        </is>
      </c>
    </row>
    <row r="2">
      <c r="A2" s="2" t="inlineStr">
        <is>
          <t>Objetivo: detectar a tiempo al alumno que se va a ir. Check-in = conversación breve con el alumno o tutor sobre horario, nivel y experiencia. Precargado con altas de septiembre y octubre de 2026 (base del 19-oct).</t>
        </is>
      </c>
    </row>
    <row r="4" ht="42" customHeight="1">
      <c r="A4" s="6" t="inlineStr">
        <is>
          <t>ID alumno</t>
        </is>
      </c>
      <c r="B4" s="6" t="inlineStr">
        <is>
          <t>Nombre</t>
        </is>
      </c>
      <c r="C4" s="6" t="inlineStr">
        <is>
          <t>Programa</t>
        </is>
      </c>
      <c r="D4" s="6" t="inlineStr">
        <is>
          <t>Idioma</t>
        </is>
      </c>
      <c r="E4" s="6" t="inlineStr">
        <is>
          <t>Horario</t>
        </is>
      </c>
      <c r="F4" s="6" t="inlineStr">
        <is>
          <t>Mensualidad</t>
        </is>
      </c>
      <c r="G4" s="6" t="inlineStr">
        <is>
          <t>Canal de origen</t>
        </is>
      </c>
      <c r="H4" s="6" t="inlineStr">
        <is>
          <t>Fecha de inscripción</t>
        </is>
      </c>
      <c r="I4" s="6" t="inlineStr">
        <is>
          <t>Fecha de baja</t>
        </is>
      </c>
      <c r="J4" s="6" t="inlineStr">
        <is>
          <t>Check-in semana 1 (fecha)</t>
        </is>
      </c>
      <c r="K4" s="6" t="inlineStr">
        <is>
          <t>Comentario semana 1</t>
        </is>
      </c>
      <c r="L4" s="6" t="inlineStr">
        <is>
          <t>Check-in semana 3 (fecha)</t>
        </is>
      </c>
      <c r="M4" s="6" t="inlineStr">
        <is>
          <t>Comentario semana 3</t>
        </is>
      </c>
      <c r="N4" s="6" t="inlineStr">
        <is>
          <t>Motivo de baja</t>
        </is>
      </c>
      <c r="O4" s="20" t="inlineStr">
        <is>
          <t>Días inscrito</t>
        </is>
      </c>
      <c r="P4" s="20" t="inlineStr">
        <is>
          <t>Activo a 30 días</t>
        </is>
      </c>
      <c r="Q4" s="20" t="inlineStr">
        <is>
          <t>Activo a 60 días</t>
        </is>
      </c>
      <c r="R4" s="20" t="inlineStr">
        <is>
          <t>Alerta</t>
        </is>
      </c>
    </row>
    <row r="5">
      <c r="A5" s="7" t="inlineStr">
        <is>
          <t>CCH163</t>
        </is>
      </c>
      <c r="B5" s="7" t="inlineStr">
        <is>
          <t>Cecilia Rebeka Castelan Hernandez</t>
        </is>
      </c>
      <c r="C5" s="7" t="inlineStr">
        <is>
          <t>Junior</t>
        </is>
      </c>
      <c r="D5" s="7" t="inlineStr">
        <is>
          <t>Inglés</t>
        </is>
      </c>
      <c r="E5" s="7"/>
      <c r="F5" s="15">
        <v>800.0</v>
      </c>
      <c r="G5" s="7" t="inlineStr">
        <is>
          <t>Facebook</t>
        </is>
      </c>
      <c r="H5" s="14">
        <v>46266</v>
      </c>
      <c r="I5" s="14"/>
      <c r="J5" s="14"/>
      <c r="K5" s="7"/>
      <c r="L5" s="14"/>
      <c r="M5" s="7"/>
      <c r="N5" s="7"/>
      <c r="O5" s="11">
        <f>IF(H5="","",IF(I5&lt;&gt;"",I5,TODAY())-H5)</f>
        <v>52</v>
      </c>
      <c r="P5" s="11" t="str">
        <f>IF(H5="","",IF(I5&lt;&gt;"",IF(I5-H5&lt;30,"No","Sí"),IF(TODAY()-H5&gt;=30,"Sí","En curso")))</f>
        <v>Sí</v>
      </c>
      <c r="Q5" s="11" t="str">
        <f>IF(H5="","",IF(I5&lt;&gt;"",IF(I5-H5&lt;60,"No","Sí"),IF(TODAY()-H5&gt;=60,"Sí","En curso")))</f>
        <v>En curso</v>
      </c>
      <c r="R5" s="11" t="str">
        <f>IF(H5="","",IF(I5&lt;&gt;"","Baja",IF(AND(TODAY()-H5&gt;=7,J5=""),"Falta check-in semana 1",IF(AND(TODAY()-H5&gt;=21,L5=""),"Falta check-in semana 3",""))))</f>
        <v>Falta check-in semana 1</v>
      </c>
    </row>
    <row r="6">
      <c r="A6" s="7" t="inlineStr">
        <is>
          <t>RES162</t>
        </is>
      </c>
      <c r="B6" s="7" t="inlineStr">
        <is>
          <t>Rommel Emmanuel Escalante Serrano</t>
        </is>
      </c>
      <c r="C6" s="7" t="inlineStr">
        <is>
          <t>Junior</t>
        </is>
      </c>
      <c r="D6" s="7" t="inlineStr">
        <is>
          <t>Inglés</t>
        </is>
      </c>
      <c r="E6" s="7"/>
      <c r="F6" s="15">
        <v>400.0</v>
      </c>
      <c r="G6" s="7" t="inlineStr">
        <is>
          <t>Recomendación</t>
        </is>
      </c>
      <c r="H6" s="14">
        <v>46266</v>
      </c>
      <c r="I6" s="14"/>
      <c r="J6" s="14"/>
      <c r="K6" s="7"/>
      <c r="L6" s="14"/>
      <c r="M6" s="7"/>
      <c r="N6" s="7"/>
      <c r="O6" s="11">
        <f>IF(H6="","",IF(I6&lt;&gt;"",I6,TODAY())-H6)</f>
        <v>52</v>
      </c>
      <c r="P6" s="11" t="str">
        <f>IF(H6="","",IF(I6&lt;&gt;"",IF(I6-H6&lt;30,"No","Sí"),IF(TODAY()-H6&gt;=30,"Sí","En curso")))</f>
        <v>Sí</v>
      </c>
      <c r="Q6" s="11" t="str">
        <f>IF(H6="","",IF(I6&lt;&gt;"",IF(I6-H6&lt;60,"No","Sí"),IF(TODAY()-H6&gt;=60,"Sí","En curso")))</f>
        <v>En curso</v>
      </c>
      <c r="R6" s="11" t="str">
        <f>IF(H6="","",IF(I6&lt;&gt;"","Baja",IF(AND(TODAY()-H6&gt;=7,J6=""),"Falta check-in semana 1",IF(AND(TODAY()-H6&gt;=21,L6=""),"Falta check-in semana 3",""))))</f>
        <v>Falta check-in semana 1</v>
      </c>
    </row>
    <row r="7">
      <c r="A7" s="7" t="inlineStr">
        <is>
          <t>JMA164</t>
        </is>
      </c>
      <c r="B7" s="7" t="inlineStr">
        <is>
          <t>Janitzin Natalia Maldonado Aguilar</t>
        </is>
      </c>
      <c r="C7" s="7" t="inlineStr">
        <is>
          <t>Kids</t>
        </is>
      </c>
      <c r="D7" s="7" t="inlineStr">
        <is>
          <t>Inglés</t>
        </is>
      </c>
      <c r="E7" s="7"/>
      <c r="F7" s="15">
        <v>750.0</v>
      </c>
      <c r="G7" s="7" t="inlineStr">
        <is>
          <t>Facebook</t>
        </is>
      </c>
      <c r="H7" s="14">
        <v>46267</v>
      </c>
      <c r="I7" s="14"/>
      <c r="J7" s="14"/>
      <c r="K7" s="7"/>
      <c r="L7" s="14"/>
      <c r="M7" s="7"/>
      <c r="N7" s="7"/>
      <c r="O7" s="11">
        <f>IF(H7="","",IF(I7&lt;&gt;"",I7,TODAY())-H7)</f>
        <v>51</v>
      </c>
      <c r="P7" s="11" t="str">
        <f>IF(H7="","",IF(I7&lt;&gt;"",IF(I7-H7&lt;30,"No","Sí"),IF(TODAY()-H7&gt;=30,"Sí","En curso")))</f>
        <v>Sí</v>
      </c>
      <c r="Q7" s="11" t="str">
        <f>IF(H7="","",IF(I7&lt;&gt;"",IF(I7-H7&lt;60,"No","Sí"),IF(TODAY()-H7&gt;=60,"Sí","En curso")))</f>
        <v>En curso</v>
      </c>
      <c r="R7" s="11" t="str">
        <f>IF(H7="","",IF(I7&lt;&gt;"","Baja",IF(AND(TODAY()-H7&gt;=7,J7=""),"Falta check-in semana 1",IF(AND(TODAY()-H7&gt;=21,L7=""),"Falta check-in semana 3",""))))</f>
        <v>Falta check-in semana 1</v>
      </c>
    </row>
    <row r="8">
      <c r="A8" s="7" t="inlineStr">
        <is>
          <t>JMA165</t>
        </is>
      </c>
      <c r="B8" s="7" t="inlineStr">
        <is>
          <t>José Ricardo Maldonado Aguilar</t>
        </is>
      </c>
      <c r="C8" s="7" t="inlineStr">
        <is>
          <t>Kids</t>
        </is>
      </c>
      <c r="D8" s="7" t="inlineStr">
        <is>
          <t>Inglés</t>
        </is>
      </c>
      <c r="E8" s="7"/>
      <c r="F8" s="15">
        <v>750.0</v>
      </c>
      <c r="G8" s="7" t="inlineStr">
        <is>
          <t>Facebook</t>
        </is>
      </c>
      <c r="H8" s="14">
        <v>46267</v>
      </c>
      <c r="I8" s="14"/>
      <c r="J8" s="14"/>
      <c r="K8" s="7"/>
      <c r="L8" s="14"/>
      <c r="M8" s="7"/>
      <c r="N8" s="7"/>
      <c r="O8" s="11">
        <f>IF(H8="","",IF(I8&lt;&gt;"",I8,TODAY())-H8)</f>
        <v>51</v>
      </c>
      <c r="P8" s="11" t="str">
        <f>IF(H8="","",IF(I8&lt;&gt;"",IF(I8-H8&lt;30,"No","Sí"),IF(TODAY()-H8&gt;=30,"Sí","En curso")))</f>
        <v>Sí</v>
      </c>
      <c r="Q8" s="11" t="str">
        <f>IF(H8="","",IF(I8&lt;&gt;"",IF(I8-H8&lt;60,"No","Sí"),IF(TODAY()-H8&gt;=60,"Sí","En curso")))</f>
        <v>En curso</v>
      </c>
      <c r="R8" s="11" t="str">
        <f>IF(H8="","",IF(I8&lt;&gt;"","Baja",IF(AND(TODAY()-H8&gt;=7,J8=""),"Falta check-in semana 1",IF(AND(TODAY()-H8&gt;=21,L8=""),"Falta check-in semana 3",""))))</f>
        <v>Falta check-in semana 1</v>
      </c>
    </row>
    <row r="9">
      <c r="A9" s="7" t="inlineStr">
        <is>
          <t>ERR166</t>
        </is>
      </c>
      <c r="B9" s="7" t="inlineStr">
        <is>
          <t>Erick Samuel Rivera Rivera</t>
        </is>
      </c>
      <c r="C9" s="7" t="inlineStr">
        <is>
          <t>Kids</t>
        </is>
      </c>
      <c r="D9" s="7" t="inlineStr">
        <is>
          <t>Inglés</t>
        </is>
      </c>
      <c r="E9" s="7"/>
      <c r="F9" s="15">
        <v>800.0</v>
      </c>
      <c r="G9" s="7" t="inlineStr">
        <is>
          <t>Facebook</t>
        </is>
      </c>
      <c r="H9" s="14">
        <v>46268</v>
      </c>
      <c r="I9" s="14"/>
      <c r="J9" s="14"/>
      <c r="K9" s="7"/>
      <c r="L9" s="14"/>
      <c r="M9" s="7"/>
      <c r="N9" s="7"/>
      <c r="O9" s="11">
        <f>IF(H9="","",IF(I9&lt;&gt;"",I9,TODAY())-H9)</f>
        <v>50</v>
      </c>
      <c r="P9" s="11" t="str">
        <f>IF(H9="","",IF(I9&lt;&gt;"",IF(I9-H9&lt;30,"No","Sí"),IF(TODAY()-H9&gt;=30,"Sí","En curso")))</f>
        <v>Sí</v>
      </c>
      <c r="Q9" s="11" t="str">
        <f>IF(H9="","",IF(I9&lt;&gt;"",IF(I9-H9&lt;60,"No","Sí"),IF(TODAY()-H9&gt;=60,"Sí","En curso")))</f>
        <v>En curso</v>
      </c>
      <c r="R9" s="11" t="str">
        <f>IF(H9="","",IF(I9&lt;&gt;"","Baja",IF(AND(TODAY()-H9&gt;=7,J9=""),"Falta check-in semana 1",IF(AND(TODAY()-H9&gt;=21,L9=""),"Falta check-in semana 3",""))))</f>
        <v>Falta check-in semana 1</v>
      </c>
    </row>
    <row r="10">
      <c r="A10" s="7" t="inlineStr">
        <is>
          <t>MRR167</t>
        </is>
      </c>
      <c r="B10" s="7" t="inlineStr">
        <is>
          <t>Melissa Rivera Rivera</t>
        </is>
      </c>
      <c r="C10" s="7" t="inlineStr">
        <is>
          <t>Kids</t>
        </is>
      </c>
      <c r="D10" s="7" t="inlineStr">
        <is>
          <t>Inglés</t>
        </is>
      </c>
      <c r="E10" s="7"/>
      <c r="F10" s="15">
        <v>800.0</v>
      </c>
      <c r="G10" s="7" t="inlineStr">
        <is>
          <t>Facebook</t>
        </is>
      </c>
      <c r="H10" s="14">
        <v>46268</v>
      </c>
      <c r="I10" s="14"/>
      <c r="J10" s="14"/>
      <c r="K10" s="7"/>
      <c r="L10" s="14"/>
      <c r="M10" s="7"/>
      <c r="N10" s="7"/>
      <c r="O10" s="11">
        <f>IF(H10="","",IF(I10&lt;&gt;"",I10,TODAY())-H10)</f>
        <v>50</v>
      </c>
      <c r="P10" s="11" t="str">
        <f>IF(H10="","",IF(I10&lt;&gt;"",IF(I10-H10&lt;30,"No","Sí"),IF(TODAY()-H10&gt;=30,"Sí","En curso")))</f>
        <v>Sí</v>
      </c>
      <c r="Q10" s="11" t="str">
        <f>IF(H10="","",IF(I10&lt;&gt;"",IF(I10-H10&lt;60,"No","Sí"),IF(TODAY()-H10&gt;=60,"Sí","En curso")))</f>
        <v>En curso</v>
      </c>
      <c r="R10" s="11" t="str">
        <f>IF(H10="","",IF(I10&lt;&gt;"","Baja",IF(AND(TODAY()-H10&gt;=7,J10=""),"Falta check-in semana 1",IF(AND(TODAY()-H10&gt;=21,L10=""),"Falta check-in semana 3",""))))</f>
        <v>Falta check-in semana 1</v>
      </c>
    </row>
    <row r="11">
      <c r="A11" s="7" t="inlineStr">
        <is>
          <t>DMP169</t>
        </is>
      </c>
      <c r="B11" s="7" t="inlineStr">
        <is>
          <t>Diego Marquez Pedroza</t>
        </is>
      </c>
      <c r="C11" s="7" t="inlineStr">
        <is>
          <t>Junior</t>
        </is>
      </c>
      <c r="D11" s="7" t="inlineStr">
        <is>
          <t>Inglés</t>
        </is>
      </c>
      <c r="E11" s="7"/>
      <c r="F11" s="15">
        <v>750.0</v>
      </c>
      <c r="G11" s="7" t="inlineStr">
        <is>
          <t>Recomendación</t>
        </is>
      </c>
      <c r="H11" s="14">
        <v>46269</v>
      </c>
      <c r="I11" s="14"/>
      <c r="J11" s="14"/>
      <c r="K11" s="7"/>
      <c r="L11" s="14"/>
      <c r="M11" s="7"/>
      <c r="N11" s="7"/>
      <c r="O11" s="11">
        <f>IF(H11="","",IF(I11&lt;&gt;"",I11,TODAY())-H11)</f>
        <v>49</v>
      </c>
      <c r="P11" s="11" t="str">
        <f>IF(H11="","",IF(I11&lt;&gt;"",IF(I11-H11&lt;30,"No","Sí"),IF(TODAY()-H11&gt;=30,"Sí","En curso")))</f>
        <v>Sí</v>
      </c>
      <c r="Q11" s="11" t="str">
        <f>IF(H11="","",IF(I11&lt;&gt;"",IF(I11-H11&lt;60,"No","Sí"),IF(TODAY()-H11&gt;=60,"Sí","En curso")))</f>
        <v>En curso</v>
      </c>
      <c r="R11" s="11" t="str">
        <f>IF(H11="","",IF(I11&lt;&gt;"","Baja",IF(AND(TODAY()-H11&gt;=7,J11=""),"Falta check-in semana 1",IF(AND(TODAY()-H11&gt;=21,L11=""),"Falta check-in semana 3",""))))</f>
        <v>Falta check-in semana 1</v>
      </c>
    </row>
    <row r="12">
      <c r="A12" s="7" t="inlineStr">
        <is>
          <t>DMP170</t>
        </is>
      </c>
      <c r="B12" s="7" t="inlineStr">
        <is>
          <t>Dylan Marquez Pedroza</t>
        </is>
      </c>
      <c r="C12" s="7" t="inlineStr">
        <is>
          <t>Kids</t>
        </is>
      </c>
      <c r="D12" s="7" t="inlineStr">
        <is>
          <t>Inglés</t>
        </is>
      </c>
      <c r="E12" s="7"/>
      <c r="F12" s="15">
        <v>750.0</v>
      </c>
      <c r="G12" s="7" t="inlineStr">
        <is>
          <t>Recomendación</t>
        </is>
      </c>
      <c r="H12" s="14">
        <v>46269</v>
      </c>
      <c r="I12" s="14"/>
      <c r="J12" s="14"/>
      <c r="K12" s="7"/>
      <c r="L12" s="14"/>
      <c r="M12" s="7"/>
      <c r="N12" s="7"/>
      <c r="O12" s="11">
        <f>IF(H12="","",IF(I12&lt;&gt;"",I12,TODAY())-H12)</f>
        <v>49</v>
      </c>
      <c r="P12" s="11" t="str">
        <f>IF(H12="","",IF(I12&lt;&gt;"",IF(I12-H12&lt;30,"No","Sí"),IF(TODAY()-H12&gt;=30,"Sí","En curso")))</f>
        <v>Sí</v>
      </c>
      <c r="Q12" s="11" t="str">
        <f>IF(H12="","",IF(I12&lt;&gt;"",IF(I12-H12&lt;60,"No","Sí"),IF(TODAY()-H12&gt;=60,"Sí","En curso")))</f>
        <v>En curso</v>
      </c>
      <c r="R12" s="11" t="str">
        <f>IF(H12="","",IF(I12&lt;&gt;"","Baja",IF(AND(TODAY()-H12&gt;=7,J12=""),"Falta check-in semana 1",IF(AND(TODAY()-H12&gt;=21,L12=""),"Falta check-in semana 3",""))))</f>
        <v>Falta check-in semana 1</v>
      </c>
    </row>
    <row r="13">
      <c r="A13" s="7" t="inlineStr">
        <is>
          <t>JHM168</t>
        </is>
      </c>
      <c r="B13" s="7" t="inlineStr">
        <is>
          <t>Jacqueline Hernandez Moralez</t>
        </is>
      </c>
      <c r="C13" s="7" t="inlineStr">
        <is>
          <t>College</t>
        </is>
      </c>
      <c r="D13" s="7" t="inlineStr">
        <is>
          <t>Inglés</t>
        </is>
      </c>
      <c r="E13" s="7"/>
      <c r="F13" s="15">
        <v>800.0</v>
      </c>
      <c r="G13" s="7" t="inlineStr">
        <is>
          <t>Recomendación</t>
        </is>
      </c>
      <c r="H13" s="14">
        <v>46269</v>
      </c>
      <c r="I13" s="14"/>
      <c r="J13" s="14"/>
      <c r="K13" s="7"/>
      <c r="L13" s="14"/>
      <c r="M13" s="7"/>
      <c r="N13" s="7"/>
      <c r="O13" s="11">
        <f>IF(H13="","",IF(I13&lt;&gt;"",I13,TODAY())-H13)</f>
        <v>49</v>
      </c>
      <c r="P13" s="11" t="str">
        <f>IF(H13="","",IF(I13&lt;&gt;"",IF(I13-H13&lt;30,"No","Sí"),IF(TODAY()-H13&gt;=30,"Sí","En curso")))</f>
        <v>Sí</v>
      </c>
      <c r="Q13" s="11" t="str">
        <f>IF(H13="","",IF(I13&lt;&gt;"",IF(I13-H13&lt;60,"No","Sí"),IF(TODAY()-H13&gt;=60,"Sí","En curso")))</f>
        <v>En curso</v>
      </c>
      <c r="R13" s="11" t="str">
        <f>IF(H13="","",IF(I13&lt;&gt;"","Baja",IF(AND(TODAY()-H13&gt;=7,J13=""),"Falta check-in semana 1",IF(AND(TODAY()-H13&gt;=21,L13=""),"Falta check-in semana 3",""))))</f>
        <v>Falta check-in semana 1</v>
      </c>
    </row>
    <row r="14">
      <c r="A14" s="7" t="inlineStr">
        <is>
          <t>LPV171</t>
        </is>
      </c>
      <c r="B14" s="7" t="inlineStr">
        <is>
          <t>Laura Lizet Pedroza Villalba</t>
        </is>
      </c>
      <c r="C14" s="7" t="inlineStr">
        <is>
          <t>College</t>
        </is>
      </c>
      <c r="D14" s="7" t="inlineStr">
        <is>
          <t>Inglés</t>
        </is>
      </c>
      <c r="E14" s="7"/>
      <c r="F14" s="15">
        <v>750.0</v>
      </c>
      <c r="G14" s="7" t="inlineStr">
        <is>
          <t>Recomendación</t>
        </is>
      </c>
      <c r="H14" s="14">
        <v>46269</v>
      </c>
      <c r="I14" s="14"/>
      <c r="J14" s="14"/>
      <c r="K14" s="7"/>
      <c r="L14" s="14"/>
      <c r="M14" s="7"/>
      <c r="N14" s="7"/>
      <c r="O14" s="11">
        <f>IF(H14="","",IF(I14&lt;&gt;"",I14,TODAY())-H14)</f>
        <v>49</v>
      </c>
      <c r="P14" s="11" t="str">
        <f>IF(H14="","",IF(I14&lt;&gt;"",IF(I14-H14&lt;30,"No","Sí"),IF(TODAY()-H14&gt;=30,"Sí","En curso")))</f>
        <v>Sí</v>
      </c>
      <c r="Q14" s="11" t="str">
        <f>IF(H14="","",IF(I14&lt;&gt;"",IF(I14-H14&lt;60,"No","Sí"),IF(TODAY()-H14&gt;=60,"Sí","En curso")))</f>
        <v>En curso</v>
      </c>
      <c r="R14" s="11" t="str">
        <f>IF(H14="","",IF(I14&lt;&gt;"","Baja",IF(AND(TODAY()-H14&gt;=7,J14=""),"Falta check-in semana 1",IF(AND(TODAY()-H14&gt;=21,L14=""),"Falta check-in semana 3",""))))</f>
        <v>Falta check-in semana 1</v>
      </c>
    </row>
    <row r="15">
      <c r="A15" s="7" t="inlineStr">
        <is>
          <t>LVP172</t>
        </is>
      </c>
      <c r="B15" s="7" t="inlineStr">
        <is>
          <t>Luis Santiago Vivanco Paredes</t>
        </is>
      </c>
      <c r="C15" s="7" t="inlineStr">
        <is>
          <t>College</t>
        </is>
      </c>
      <c r="D15" s="7" t="inlineStr">
        <is>
          <t>Inglés</t>
        </is>
      </c>
      <c r="E15" s="7"/>
      <c r="F15" s="15">
        <v>800.0</v>
      </c>
      <c r="G15" s="7" t="inlineStr">
        <is>
          <t>Recomendación</t>
        </is>
      </c>
      <c r="H15" s="14">
        <v>46270</v>
      </c>
      <c r="I15" s="14"/>
      <c r="J15" s="14"/>
      <c r="K15" s="7"/>
      <c r="L15" s="14"/>
      <c r="M15" s="7"/>
      <c r="N15" s="7"/>
      <c r="O15" s="11">
        <f>IF(H15="","",IF(I15&lt;&gt;"",I15,TODAY())-H15)</f>
        <v>48</v>
      </c>
      <c r="P15" s="11" t="str">
        <f>IF(H15="","",IF(I15&lt;&gt;"",IF(I15-H15&lt;30,"No","Sí"),IF(TODAY()-H15&gt;=30,"Sí","En curso")))</f>
        <v>Sí</v>
      </c>
      <c r="Q15" s="11" t="str">
        <f>IF(H15="","",IF(I15&lt;&gt;"",IF(I15-H15&lt;60,"No","Sí"),IF(TODAY()-H15&gt;=60,"Sí","En curso")))</f>
        <v>En curso</v>
      </c>
      <c r="R15" s="11" t="str">
        <f>IF(H15="","",IF(I15&lt;&gt;"","Baja",IF(AND(TODAY()-H15&gt;=7,J15=""),"Falta check-in semana 1",IF(AND(TODAY()-H15&gt;=21,L15=""),"Falta check-in semana 3",""))))</f>
        <v>Falta check-in semana 1</v>
      </c>
    </row>
    <row r="16">
      <c r="A16" s="7" t="inlineStr">
        <is>
          <t>AAF173</t>
        </is>
      </c>
      <c r="B16" s="7" t="inlineStr">
        <is>
          <t>Ariel Eduardo Alarcon Fuentes</t>
        </is>
      </c>
      <c r="C16" s="7" t="inlineStr">
        <is>
          <t>College</t>
        </is>
      </c>
      <c r="D16" s="7" t="inlineStr">
        <is>
          <t>Inglés</t>
        </is>
      </c>
      <c r="E16" s="7"/>
      <c r="F16" s="15">
        <v>800.0</v>
      </c>
      <c r="G16" s="7" t="inlineStr">
        <is>
          <t>Recomendación</t>
        </is>
      </c>
      <c r="H16" s="14">
        <v>46273</v>
      </c>
      <c r="I16" s="14"/>
      <c r="J16" s="14"/>
      <c r="K16" s="7"/>
      <c r="L16" s="14"/>
      <c r="M16" s="7"/>
      <c r="N16" s="7"/>
      <c r="O16" s="11">
        <f>IF(H16="","",IF(I16&lt;&gt;"",I16,TODAY())-H16)</f>
        <v>45</v>
      </c>
      <c r="P16" s="11" t="str">
        <f>IF(H16="","",IF(I16&lt;&gt;"",IF(I16-H16&lt;30,"No","Sí"),IF(TODAY()-H16&gt;=30,"Sí","En curso")))</f>
        <v>Sí</v>
      </c>
      <c r="Q16" s="11" t="str">
        <f>IF(H16="","",IF(I16&lt;&gt;"",IF(I16-H16&lt;60,"No","Sí"),IF(TODAY()-H16&gt;=60,"Sí","En curso")))</f>
        <v>En curso</v>
      </c>
      <c r="R16" s="11" t="str">
        <f>IF(H16="","",IF(I16&lt;&gt;"","Baja",IF(AND(TODAY()-H16&gt;=7,J16=""),"Falta check-in semana 1",IF(AND(TODAY()-H16&gt;=21,L16=""),"Falta check-in semana 3",""))))</f>
        <v>Falta check-in semana 1</v>
      </c>
    </row>
    <row r="17">
      <c r="A17" s="7" t="inlineStr">
        <is>
          <t>XEA174</t>
        </is>
      </c>
      <c r="B17" s="7" t="inlineStr">
        <is>
          <t>Ximena Escobedo Aguirre</t>
        </is>
      </c>
      <c r="C17" s="7" t="inlineStr">
        <is>
          <t>Kids</t>
        </is>
      </c>
      <c r="D17" s="7" t="inlineStr">
        <is>
          <t>Inglés</t>
        </is>
      </c>
      <c r="E17" s="7"/>
      <c r="F17" s="15">
        <v>800.0</v>
      </c>
      <c r="G17" s="7" t="inlineStr">
        <is>
          <t>Facebook</t>
        </is>
      </c>
      <c r="H17" s="14">
        <v>46273</v>
      </c>
      <c r="I17" s="14"/>
      <c r="J17" s="14"/>
      <c r="K17" s="7"/>
      <c r="L17" s="14"/>
      <c r="M17" s="7"/>
      <c r="N17" s="7"/>
      <c r="O17" s="11">
        <f>IF(H17="","",IF(I17&lt;&gt;"",I17,TODAY())-H17)</f>
        <v>45</v>
      </c>
      <c r="P17" s="11" t="str">
        <f>IF(H17="","",IF(I17&lt;&gt;"",IF(I17-H17&lt;30,"No","Sí"),IF(TODAY()-H17&gt;=30,"Sí","En curso")))</f>
        <v>Sí</v>
      </c>
      <c r="Q17" s="11" t="str">
        <f>IF(H17="","",IF(I17&lt;&gt;"",IF(I17-H17&lt;60,"No","Sí"),IF(TODAY()-H17&gt;=60,"Sí","En curso")))</f>
        <v>En curso</v>
      </c>
      <c r="R17" s="11" t="str">
        <f>IF(H17="","",IF(I17&lt;&gt;"","Baja",IF(AND(TODAY()-H17&gt;=7,J17=""),"Falta check-in semana 1",IF(AND(TODAY()-H17&gt;=21,L17=""),"Falta check-in semana 3",""))))</f>
        <v>Falta check-in semana 1</v>
      </c>
    </row>
    <row r="18">
      <c r="A18" s="7" t="inlineStr">
        <is>
          <t>DSH176</t>
        </is>
      </c>
      <c r="B18" s="7" t="inlineStr">
        <is>
          <t>Darlene Fatima Santander Herrera</t>
        </is>
      </c>
      <c r="C18" s="7" t="inlineStr">
        <is>
          <t>Kids</t>
        </is>
      </c>
      <c r="D18" s="7" t="inlineStr">
        <is>
          <t>Inglés</t>
        </is>
      </c>
      <c r="E18" s="7"/>
      <c r="F18" s="15">
        <v>750.0</v>
      </c>
      <c r="G18" s="7" t="inlineStr">
        <is>
          <t>Facebook</t>
        </is>
      </c>
      <c r="H18" s="14">
        <v>46274</v>
      </c>
      <c r="I18" s="14"/>
      <c r="J18" s="14"/>
      <c r="K18" s="7"/>
      <c r="L18" s="14"/>
      <c r="M18" s="7"/>
      <c r="N18" s="7"/>
      <c r="O18" s="11">
        <f>IF(H18="","",IF(I18&lt;&gt;"",I18,TODAY())-H18)</f>
        <v>44</v>
      </c>
      <c r="P18" s="11" t="str">
        <f>IF(H18="","",IF(I18&lt;&gt;"",IF(I18-H18&lt;30,"No","Sí"),IF(TODAY()-H18&gt;=30,"Sí","En curso")))</f>
        <v>Sí</v>
      </c>
      <c r="Q18" s="11" t="str">
        <f>IF(H18="","",IF(I18&lt;&gt;"",IF(I18-H18&lt;60,"No","Sí"),IF(TODAY()-H18&gt;=60,"Sí","En curso")))</f>
        <v>En curso</v>
      </c>
      <c r="R18" s="11" t="str">
        <f>IF(H18="","",IF(I18&lt;&gt;"","Baja",IF(AND(TODAY()-H18&gt;=7,J18=""),"Falta check-in semana 1",IF(AND(TODAY()-H18&gt;=21,L18=""),"Falta check-in semana 3",""))))</f>
        <v>Falta check-in semana 1</v>
      </c>
    </row>
    <row r="19">
      <c r="A19" s="7" t="inlineStr">
        <is>
          <t>ZSH175</t>
        </is>
      </c>
      <c r="B19" s="7" t="inlineStr">
        <is>
          <t>Zoemy Samara Santander Herrera</t>
        </is>
      </c>
      <c r="C19" s="7" t="inlineStr">
        <is>
          <t>Kids</t>
        </is>
      </c>
      <c r="D19" s="7" t="inlineStr">
        <is>
          <t>Inglés</t>
        </is>
      </c>
      <c r="E19" s="7"/>
      <c r="F19" s="15">
        <v>750.0</v>
      </c>
      <c r="G19" s="7" t="inlineStr">
        <is>
          <t>Facebook</t>
        </is>
      </c>
      <c r="H19" s="14">
        <v>46274</v>
      </c>
      <c r="I19" s="14"/>
      <c r="J19" s="14"/>
      <c r="K19" s="7"/>
      <c r="L19" s="14"/>
      <c r="M19" s="7"/>
      <c r="N19" s="7"/>
      <c r="O19" s="11">
        <f>IF(H19="","",IF(I19&lt;&gt;"",I19,TODAY())-H19)</f>
        <v>44</v>
      </c>
      <c r="P19" s="11" t="str">
        <f>IF(H19="","",IF(I19&lt;&gt;"",IF(I19-H19&lt;30,"No","Sí"),IF(TODAY()-H19&gt;=30,"Sí","En curso")))</f>
        <v>Sí</v>
      </c>
      <c r="Q19" s="11" t="str">
        <f>IF(H19="","",IF(I19&lt;&gt;"",IF(I19-H19&lt;60,"No","Sí"),IF(TODAY()-H19&gt;=60,"Sí","En curso")))</f>
        <v>En curso</v>
      </c>
      <c r="R19" s="11" t="str">
        <f>IF(H19="","",IF(I19&lt;&gt;"","Baja",IF(AND(TODAY()-H19&gt;=7,J19=""),"Falta check-in semana 1",IF(AND(TODAY()-H19&gt;=21,L19=""),"Falta check-in semana 3",""))))</f>
        <v>Falta check-in semana 1</v>
      </c>
    </row>
    <row r="20">
      <c r="A20" s="7" t="inlineStr">
        <is>
          <t>AEE178</t>
        </is>
      </c>
      <c r="B20" s="7" t="inlineStr">
        <is>
          <t>Axel Enciso Enciso</t>
        </is>
      </c>
      <c r="C20" s="7" t="inlineStr">
        <is>
          <t>College</t>
        </is>
      </c>
      <c r="D20" s="7" t="inlineStr">
        <is>
          <t>Inglés</t>
        </is>
      </c>
      <c r="E20" s="7"/>
      <c r="F20" s="15">
        <v>800.0</v>
      </c>
      <c r="G20" s="7" t="inlineStr">
        <is>
          <t>Facebook</t>
        </is>
      </c>
      <c r="H20" s="14">
        <v>46275</v>
      </c>
      <c r="I20" s="14"/>
      <c r="J20" s="14"/>
      <c r="K20" s="7"/>
      <c r="L20" s="14"/>
      <c r="M20" s="7"/>
      <c r="N20" s="7"/>
      <c r="O20" s="11">
        <f>IF(H20="","",IF(I20&lt;&gt;"",I20,TODAY())-H20)</f>
        <v>43</v>
      </c>
      <c r="P20" s="11" t="str">
        <f>IF(H20="","",IF(I20&lt;&gt;"",IF(I20-H20&lt;30,"No","Sí"),IF(TODAY()-H20&gt;=30,"Sí","En curso")))</f>
        <v>Sí</v>
      </c>
      <c r="Q20" s="11" t="str">
        <f>IF(H20="","",IF(I20&lt;&gt;"",IF(I20-H20&lt;60,"No","Sí"),IF(TODAY()-H20&gt;=60,"Sí","En curso")))</f>
        <v>En curso</v>
      </c>
      <c r="R20" s="11" t="str">
        <f>IF(H20="","",IF(I20&lt;&gt;"","Baja",IF(AND(TODAY()-H20&gt;=7,J20=""),"Falta check-in semana 1",IF(AND(TODAY()-H20&gt;=21,L20=""),"Falta check-in semana 3",""))))</f>
        <v>Falta check-in semana 1</v>
      </c>
    </row>
    <row r="21">
      <c r="A21" s="7" t="inlineStr">
        <is>
          <t>JMO177</t>
        </is>
      </c>
      <c r="B21" s="7" t="inlineStr">
        <is>
          <t>Juan Mohedano Olivares</t>
        </is>
      </c>
      <c r="C21" s="7" t="inlineStr">
        <is>
          <t>College</t>
        </is>
      </c>
      <c r="D21" s="7" t="inlineStr">
        <is>
          <t>Inglés</t>
        </is>
      </c>
      <c r="E21" s="7"/>
      <c r="F21" s="15">
        <v>800.0</v>
      </c>
      <c r="G21" s="7" t="inlineStr">
        <is>
          <t>Facebook</t>
        </is>
      </c>
      <c r="H21" s="14">
        <v>46275</v>
      </c>
      <c r="I21" s="14"/>
      <c r="J21" s="14"/>
      <c r="K21" s="7"/>
      <c r="L21" s="14"/>
      <c r="M21" s="7"/>
      <c r="N21" s="7"/>
      <c r="O21" s="11">
        <f>IF(H21="","",IF(I21&lt;&gt;"",I21,TODAY())-H21)</f>
        <v>43</v>
      </c>
      <c r="P21" s="11" t="str">
        <f>IF(H21="","",IF(I21&lt;&gt;"",IF(I21-H21&lt;30,"No","Sí"),IF(TODAY()-H21&gt;=30,"Sí","En curso")))</f>
        <v>Sí</v>
      </c>
      <c r="Q21" s="11" t="str">
        <f>IF(H21="","",IF(I21&lt;&gt;"",IF(I21-H21&lt;60,"No","Sí"),IF(TODAY()-H21&gt;=60,"Sí","En curso")))</f>
        <v>En curso</v>
      </c>
      <c r="R21" s="11" t="str">
        <f>IF(H21="","",IF(I21&lt;&gt;"","Baja",IF(AND(TODAY()-H21&gt;=7,J21=""),"Falta check-in semana 1",IF(AND(TODAY()-H21&gt;=21,L21=""),"Falta check-in semana 3",""))))</f>
        <v>Falta check-in semana 1</v>
      </c>
    </row>
    <row r="22">
      <c r="A22" s="7" t="inlineStr">
        <is>
          <t>NPE179</t>
        </is>
      </c>
      <c r="B22" s="7" t="inlineStr">
        <is>
          <t>Nicol Peña Estrada</t>
        </is>
      </c>
      <c r="C22" s="7" t="inlineStr">
        <is>
          <t>College</t>
        </is>
      </c>
      <c r="D22" s="7" t="inlineStr">
        <is>
          <t>Inglés</t>
        </is>
      </c>
      <c r="E22" s="7"/>
      <c r="F22" s="15">
        <v>800.0</v>
      </c>
      <c r="G22" s="7" t="inlineStr">
        <is>
          <t>Facebook</t>
        </is>
      </c>
      <c r="H22" s="14">
        <v>46276</v>
      </c>
      <c r="I22" s="14"/>
      <c r="J22" s="14"/>
      <c r="K22" s="7"/>
      <c r="L22" s="14"/>
      <c r="M22" s="7"/>
      <c r="N22" s="7"/>
      <c r="O22" s="11">
        <f>IF(H22="","",IF(I22&lt;&gt;"",I22,TODAY())-H22)</f>
        <v>42</v>
      </c>
      <c r="P22" s="11" t="str">
        <f>IF(H22="","",IF(I22&lt;&gt;"",IF(I22-H22&lt;30,"No","Sí"),IF(TODAY()-H22&gt;=30,"Sí","En curso")))</f>
        <v>Sí</v>
      </c>
      <c r="Q22" s="11" t="str">
        <f>IF(H22="","",IF(I22&lt;&gt;"",IF(I22-H22&lt;60,"No","Sí"),IF(TODAY()-H22&gt;=60,"Sí","En curso")))</f>
        <v>En curso</v>
      </c>
      <c r="R22" s="11" t="str">
        <f>IF(H22="","",IF(I22&lt;&gt;"","Baja",IF(AND(TODAY()-H22&gt;=7,J22=""),"Falta check-in semana 1",IF(AND(TODAY()-H22&gt;=21,L22=""),"Falta check-in semana 3",""))))</f>
        <v>Falta check-in semana 1</v>
      </c>
    </row>
    <row r="23">
      <c r="A23" s="7" t="inlineStr">
        <is>
          <t>SBR180</t>
        </is>
      </c>
      <c r="B23" s="7" t="inlineStr">
        <is>
          <t>Samantha Bautista Ramirez</t>
        </is>
      </c>
      <c r="C23" s="7" t="inlineStr">
        <is>
          <t>Kids</t>
        </is>
      </c>
      <c r="D23" s="7" t="inlineStr">
        <is>
          <t>Inglés</t>
        </is>
      </c>
      <c r="E23" s="7"/>
      <c r="F23" s="15">
        <v>400.0</v>
      </c>
      <c r="G23" s="7" t="inlineStr">
        <is>
          <t>Facebook</t>
        </is>
      </c>
      <c r="H23" s="14">
        <v>46277</v>
      </c>
      <c r="I23" s="14"/>
      <c r="J23" s="14"/>
      <c r="K23" s="7"/>
      <c r="L23" s="14"/>
      <c r="M23" s="7"/>
      <c r="N23" s="7"/>
      <c r="O23" s="11">
        <f>IF(H23="","",IF(I23&lt;&gt;"",I23,TODAY())-H23)</f>
        <v>41</v>
      </c>
      <c r="P23" s="11" t="str">
        <f>IF(H23="","",IF(I23&lt;&gt;"",IF(I23-H23&lt;30,"No","Sí"),IF(TODAY()-H23&gt;=30,"Sí","En curso")))</f>
        <v>Sí</v>
      </c>
      <c r="Q23" s="11" t="str">
        <f>IF(H23="","",IF(I23&lt;&gt;"",IF(I23-H23&lt;60,"No","Sí"),IF(TODAY()-H23&gt;=60,"Sí","En curso")))</f>
        <v>En curso</v>
      </c>
      <c r="R23" s="11" t="str">
        <f>IF(H23="","",IF(I23&lt;&gt;"","Baja",IF(AND(TODAY()-H23&gt;=7,J23=""),"Falta check-in semana 1",IF(AND(TODAY()-H23&gt;=21,L23=""),"Falta check-in semana 3",""))))</f>
        <v>Falta check-in semana 1</v>
      </c>
    </row>
    <row r="24">
      <c r="A24" s="7" t="inlineStr">
        <is>
          <t>CTD184</t>
        </is>
      </c>
      <c r="B24" s="7" t="inlineStr">
        <is>
          <t>Citlali Anahí Torres Díaz</t>
        </is>
      </c>
      <c r="C24" s="7" t="inlineStr">
        <is>
          <t>Junior</t>
        </is>
      </c>
      <c r="D24" s="7" t="inlineStr">
        <is>
          <t>Inglés</t>
        </is>
      </c>
      <c r="E24" s="7"/>
      <c r="F24" s="15">
        <v>750.0</v>
      </c>
      <c r="G24" s="7" t="inlineStr">
        <is>
          <t>Facebook</t>
        </is>
      </c>
      <c r="H24" s="14">
        <v>46286</v>
      </c>
      <c r="I24" s="14"/>
      <c r="J24" s="14"/>
      <c r="K24" s="7"/>
      <c r="L24" s="14"/>
      <c r="M24" s="7"/>
      <c r="N24" s="7"/>
      <c r="O24" s="11">
        <f>IF(H24="","",IF(I24&lt;&gt;"",I24,TODAY())-H24)</f>
        <v>32</v>
      </c>
      <c r="P24" s="11" t="str">
        <f>IF(H24="","",IF(I24&lt;&gt;"",IF(I24-H24&lt;30,"No","Sí"),IF(TODAY()-H24&gt;=30,"Sí","En curso")))</f>
        <v>Sí</v>
      </c>
      <c r="Q24" s="11" t="str">
        <f>IF(H24="","",IF(I24&lt;&gt;"",IF(I24-H24&lt;60,"No","Sí"),IF(TODAY()-H24&gt;=60,"Sí","En curso")))</f>
        <v>En curso</v>
      </c>
      <c r="R24" s="11" t="str">
        <f>IF(H24="","",IF(I24&lt;&gt;"","Baja",IF(AND(TODAY()-H24&gt;=7,J24=""),"Falta check-in semana 1",IF(AND(TODAY()-H24&gt;=21,L24=""),"Falta check-in semana 3",""))))</f>
        <v>Falta check-in semana 1</v>
      </c>
    </row>
    <row r="25">
      <c r="A25" s="7" t="inlineStr">
        <is>
          <t>ECS181</t>
        </is>
      </c>
      <c r="B25" s="7" t="inlineStr">
        <is>
          <t>Elisa Itzel Curiel Sanchez</t>
        </is>
      </c>
      <c r="C25" s="7" t="inlineStr">
        <is>
          <t>Junior</t>
        </is>
      </c>
      <c r="D25" s="7" t="inlineStr">
        <is>
          <t>Inglés</t>
        </is>
      </c>
      <c r="E25" s="7"/>
      <c r="F25" s="15">
        <v>800.0</v>
      </c>
      <c r="G25" s="7" t="inlineStr">
        <is>
          <t>Facebook</t>
        </is>
      </c>
      <c r="H25" s="14">
        <v>46286</v>
      </c>
      <c r="I25" s="14"/>
      <c r="J25" s="14"/>
      <c r="K25" s="7"/>
      <c r="L25" s="14"/>
      <c r="M25" s="7"/>
      <c r="N25" s="7"/>
      <c r="O25" s="11">
        <f>IF(H25="","",IF(I25&lt;&gt;"",I25,TODAY())-H25)</f>
        <v>32</v>
      </c>
      <c r="P25" s="11" t="str">
        <f>IF(H25="","",IF(I25&lt;&gt;"",IF(I25-H25&lt;30,"No","Sí"),IF(TODAY()-H25&gt;=30,"Sí","En curso")))</f>
        <v>Sí</v>
      </c>
      <c r="Q25" s="11" t="str">
        <f>IF(H25="","",IF(I25&lt;&gt;"",IF(I25-H25&lt;60,"No","Sí"),IF(TODAY()-H25&gt;=60,"Sí","En curso")))</f>
        <v>En curso</v>
      </c>
      <c r="R25" s="11" t="str">
        <f>IF(H25="","",IF(I25&lt;&gt;"","Baja",IF(AND(TODAY()-H25&gt;=7,J25=""),"Falta check-in semana 1",IF(AND(TODAY()-H25&gt;=21,L25=""),"Falta check-in semana 3",""))))</f>
        <v>Falta check-in semana 1</v>
      </c>
    </row>
    <row r="26">
      <c r="A26" s="7" t="inlineStr">
        <is>
          <t>ESB186</t>
        </is>
      </c>
      <c r="B26" s="7" t="inlineStr">
        <is>
          <t>Emiliano Santos Bahena</t>
        </is>
      </c>
      <c r="C26" s="7" t="inlineStr">
        <is>
          <t>Kids</t>
        </is>
      </c>
      <c r="D26" s="7" t="inlineStr">
        <is>
          <t>Inglés</t>
        </is>
      </c>
      <c r="E26" s="7"/>
      <c r="F26" s="15">
        <v>750.0</v>
      </c>
      <c r="G26" s="7" t="inlineStr">
        <is>
          <t>Facebook</t>
        </is>
      </c>
      <c r="H26" s="14">
        <v>46286</v>
      </c>
      <c r="I26" s="14"/>
      <c r="J26" s="14"/>
      <c r="K26" s="7"/>
      <c r="L26" s="14"/>
      <c r="M26" s="7"/>
      <c r="N26" s="7"/>
      <c r="O26" s="11">
        <f>IF(H26="","",IF(I26&lt;&gt;"",I26,TODAY())-H26)</f>
        <v>32</v>
      </c>
      <c r="P26" s="11" t="str">
        <f>IF(H26="","",IF(I26&lt;&gt;"",IF(I26-H26&lt;30,"No","Sí"),IF(TODAY()-H26&gt;=30,"Sí","En curso")))</f>
        <v>Sí</v>
      </c>
      <c r="Q26" s="11" t="str">
        <f>IF(H26="","",IF(I26&lt;&gt;"",IF(I26-H26&lt;60,"No","Sí"),IF(TODAY()-H26&gt;=60,"Sí","En curso")))</f>
        <v>En curso</v>
      </c>
      <c r="R26" s="11" t="str">
        <f>IF(H26="","",IF(I26&lt;&gt;"","Baja",IF(AND(TODAY()-H26&gt;=7,J26=""),"Falta check-in semana 1",IF(AND(TODAY()-H26&gt;=21,L26=""),"Falta check-in semana 3",""))))</f>
        <v>Falta check-in semana 1</v>
      </c>
    </row>
    <row r="27">
      <c r="A27" s="7" t="inlineStr">
        <is>
          <t>HGV182</t>
        </is>
      </c>
      <c r="B27" s="7" t="inlineStr">
        <is>
          <t>Heliana Garcia Vazquez</t>
        </is>
      </c>
      <c r="C27" s="7" t="inlineStr">
        <is>
          <t>Junior</t>
        </is>
      </c>
      <c r="D27" s="7" t="inlineStr">
        <is>
          <t>Inglés</t>
        </is>
      </c>
      <c r="E27" s="7"/>
      <c r="F27" s="15">
        <v>750.0</v>
      </c>
      <c r="G27" s="7" t="inlineStr">
        <is>
          <t>Facebook</t>
        </is>
      </c>
      <c r="H27" s="14">
        <v>46286</v>
      </c>
      <c r="I27" s="14"/>
      <c r="J27" s="14"/>
      <c r="K27" s="7"/>
      <c r="L27" s="14"/>
      <c r="M27" s="7"/>
      <c r="N27" s="7"/>
      <c r="O27" s="11">
        <f>IF(H27="","",IF(I27&lt;&gt;"",I27,TODAY())-H27)</f>
        <v>32</v>
      </c>
      <c r="P27" s="11" t="str">
        <f>IF(H27="","",IF(I27&lt;&gt;"",IF(I27-H27&lt;30,"No","Sí"),IF(TODAY()-H27&gt;=30,"Sí","En curso")))</f>
        <v>Sí</v>
      </c>
      <c r="Q27" s="11" t="str">
        <f>IF(H27="","",IF(I27&lt;&gt;"",IF(I27-H27&lt;60,"No","Sí"),IF(TODAY()-H27&gt;=60,"Sí","En curso")))</f>
        <v>En curso</v>
      </c>
      <c r="R27" s="11" t="str">
        <f>IF(H27="","",IF(I27&lt;&gt;"","Baja",IF(AND(TODAY()-H27&gt;=7,J27=""),"Falta check-in semana 1",IF(AND(TODAY()-H27&gt;=21,L27=""),"Falta check-in semana 3",""))))</f>
        <v>Falta check-in semana 1</v>
      </c>
    </row>
    <row r="28">
      <c r="A28" s="7" t="inlineStr">
        <is>
          <t>MGV183</t>
        </is>
      </c>
      <c r="B28" s="7" t="inlineStr">
        <is>
          <t>Mateo Garcia Vazquez</t>
        </is>
      </c>
      <c r="C28" s="7" t="inlineStr">
        <is>
          <t>Junior</t>
        </is>
      </c>
      <c r="D28" s="7" t="inlineStr">
        <is>
          <t>Inglés</t>
        </is>
      </c>
      <c r="E28" s="7"/>
      <c r="F28" s="15">
        <v>750.0</v>
      </c>
      <c r="G28" s="7" t="inlineStr">
        <is>
          <t>Facebook</t>
        </is>
      </c>
      <c r="H28" s="14">
        <v>46286</v>
      </c>
      <c r="I28" s="14"/>
      <c r="J28" s="14"/>
      <c r="K28" s="7"/>
      <c r="L28" s="14"/>
      <c r="M28" s="7"/>
      <c r="N28" s="7"/>
      <c r="O28" s="11">
        <f>IF(H28="","",IF(I28&lt;&gt;"",I28,TODAY())-H28)</f>
        <v>32</v>
      </c>
      <c r="P28" s="11" t="str">
        <f>IF(H28="","",IF(I28&lt;&gt;"",IF(I28-H28&lt;30,"No","Sí"),IF(TODAY()-H28&gt;=30,"Sí","En curso")))</f>
        <v>Sí</v>
      </c>
      <c r="Q28" s="11" t="str">
        <f>IF(H28="","",IF(I28&lt;&gt;"",IF(I28-H28&lt;60,"No","Sí"),IF(TODAY()-H28&gt;=60,"Sí","En curso")))</f>
        <v>En curso</v>
      </c>
      <c r="R28" s="11" t="str">
        <f>IF(H28="","",IF(I28&lt;&gt;"","Baja",IF(AND(TODAY()-H28&gt;=7,J28=""),"Falta check-in semana 1",IF(AND(TODAY()-H28&gt;=21,L28=""),"Falta check-in semana 3",""))))</f>
        <v>Falta check-in semana 1</v>
      </c>
    </row>
    <row r="29">
      <c r="A29" s="7" t="inlineStr">
        <is>
          <t>RSB185</t>
        </is>
      </c>
      <c r="B29" s="7" t="inlineStr">
        <is>
          <t>Renata Santos Bahena</t>
        </is>
      </c>
      <c r="C29" s="7" t="inlineStr">
        <is>
          <t>Parenthood</t>
        </is>
      </c>
      <c r="D29" s="7" t="inlineStr">
        <is>
          <t>Inglés</t>
        </is>
      </c>
      <c r="E29" s="7"/>
      <c r="F29" s="15">
        <v>750.0</v>
      </c>
      <c r="G29" s="7" t="inlineStr">
        <is>
          <t>Facebook</t>
        </is>
      </c>
      <c r="H29" s="14">
        <v>46286</v>
      </c>
      <c r="I29" s="14"/>
      <c r="J29" s="14"/>
      <c r="K29" s="7"/>
      <c r="L29" s="14"/>
      <c r="M29" s="7"/>
      <c r="N29" s="7"/>
      <c r="O29" s="11">
        <f>IF(H29="","",IF(I29&lt;&gt;"",I29,TODAY())-H29)</f>
        <v>32</v>
      </c>
      <c r="P29" s="11" t="str">
        <f>IF(H29="","",IF(I29&lt;&gt;"",IF(I29-H29&lt;30,"No","Sí"),IF(TODAY()-H29&gt;=30,"Sí","En curso")))</f>
        <v>Sí</v>
      </c>
      <c r="Q29" s="11" t="str">
        <f>IF(H29="","",IF(I29&lt;&gt;"",IF(I29-H29&lt;60,"No","Sí"),IF(TODAY()-H29&gt;=60,"Sí","En curso")))</f>
        <v>En curso</v>
      </c>
      <c r="R29" s="11" t="str">
        <f>IF(H29="","",IF(I29&lt;&gt;"","Baja",IF(AND(TODAY()-H29&gt;=7,J29=""),"Falta check-in semana 1",IF(AND(TODAY()-H29&gt;=21,L29=""),"Falta check-in semana 3",""))))</f>
        <v>Falta check-in semana 1</v>
      </c>
    </row>
    <row r="30">
      <c r="A30" s="7" t="inlineStr">
        <is>
          <t>EMR187</t>
        </is>
      </c>
      <c r="B30" s="7" t="inlineStr">
        <is>
          <t>Erick Daniel Monzalvo Ramirez</t>
        </is>
      </c>
      <c r="C30" s="7" t="inlineStr">
        <is>
          <t>College</t>
        </is>
      </c>
      <c r="D30" s="7" t="inlineStr">
        <is>
          <t>Inglés</t>
        </is>
      </c>
      <c r="E30" s="7" t="inlineStr">
        <is>
          <t>MARTES Y JUEVES 9:00-9:50 AM</t>
        </is>
      </c>
      <c r="F30" s="15">
        <v>800.0</v>
      </c>
      <c r="G30" s="7" t="inlineStr">
        <is>
          <t>Facebook</t>
        </is>
      </c>
      <c r="H30" s="14">
        <v>46287</v>
      </c>
      <c r="I30" s="14"/>
      <c r="J30" s="14"/>
      <c r="K30" s="7"/>
      <c r="L30" s="14"/>
      <c r="M30" s="7"/>
      <c r="N30" s="7"/>
      <c r="O30" s="11">
        <f>IF(H30="","",IF(I30&lt;&gt;"",I30,TODAY())-H30)</f>
        <v>31</v>
      </c>
      <c r="P30" s="11" t="str">
        <f>IF(H30="","",IF(I30&lt;&gt;"",IF(I30-H30&lt;30,"No","Sí"),IF(TODAY()-H30&gt;=30,"Sí","En curso")))</f>
        <v>Sí</v>
      </c>
      <c r="Q30" s="11" t="str">
        <f>IF(H30="","",IF(I30&lt;&gt;"",IF(I30-H30&lt;60,"No","Sí"),IF(TODAY()-H30&gt;=60,"Sí","En curso")))</f>
        <v>En curso</v>
      </c>
      <c r="R30" s="11" t="str">
        <f>IF(H30="","",IF(I30&lt;&gt;"","Baja",IF(AND(TODAY()-H30&gt;=7,J30=""),"Falta check-in semana 1",IF(AND(TODAY()-H30&gt;=21,L30=""),"Falta check-in semana 3",""))))</f>
        <v>Falta check-in semana 1</v>
      </c>
    </row>
    <row r="31">
      <c r="A31" s="7" t="inlineStr">
        <is>
          <t>JCO188</t>
        </is>
      </c>
      <c r="B31" s="7" t="inlineStr">
        <is>
          <t>Jose Luis Campa Ortiz</t>
        </is>
      </c>
      <c r="C31" s="7" t="inlineStr">
        <is>
          <t>College</t>
        </is>
      </c>
      <c r="D31" s="7" t="inlineStr">
        <is>
          <t>Inglés</t>
        </is>
      </c>
      <c r="E31" s="7" t="inlineStr">
        <is>
          <t>VIERNES 10:00 - 11:50 AM</t>
        </is>
      </c>
      <c r="F31" s="15">
        <v>800.0</v>
      </c>
      <c r="G31" s="7" t="inlineStr">
        <is>
          <t>Facebook</t>
        </is>
      </c>
      <c r="H31" s="14">
        <v>46287</v>
      </c>
      <c r="I31" s="14">
        <v>46304</v>
      </c>
      <c r="J31" s="14"/>
      <c r="K31" s="7"/>
      <c r="L31" s="14"/>
      <c r="M31" s="7"/>
      <c r="N31" s="7" t="inlineStr">
        <is>
          <t>Preferí otra escuela</t>
        </is>
      </c>
      <c r="O31" s="11">
        <f>IF(H31="","",IF(I31&lt;&gt;"",I31,TODAY())-H31)</f>
        <v>17</v>
      </c>
      <c r="P31" s="11" t="str">
        <f>IF(H31="","",IF(I31&lt;&gt;"",IF(I31-H31&lt;30,"No","Sí"),IF(TODAY()-H31&gt;=30,"Sí","En curso")))</f>
        <v>No</v>
      </c>
      <c r="Q31" s="11" t="str">
        <f>IF(H31="","",IF(I31&lt;&gt;"",IF(I31-H31&lt;60,"No","Sí"),IF(TODAY()-H31&gt;=60,"Sí","En curso")))</f>
        <v>No</v>
      </c>
      <c r="R31" s="11" t="str">
        <f>IF(H31="","",IF(I31&lt;&gt;"","Baja",IF(AND(TODAY()-H31&gt;=7,J31=""),"Falta check-in semana 1",IF(AND(TODAY()-H31&gt;=21,L31=""),"Falta check-in semana 3",""))))</f>
        <v>Baja</v>
      </c>
    </row>
    <row r="32">
      <c r="A32" s="7" t="inlineStr">
        <is>
          <t>MCV189</t>
        </is>
      </c>
      <c r="B32" s="7" t="inlineStr">
        <is>
          <t>Mariana Guadalupe Carrillo Vera</t>
        </is>
      </c>
      <c r="C32" s="7" t="inlineStr">
        <is>
          <t>College</t>
        </is>
      </c>
      <c r="D32" s="7" t="inlineStr">
        <is>
          <t>Inglés</t>
        </is>
      </c>
      <c r="E32" s="7"/>
      <c r="F32" s="15">
        <v>800.0</v>
      </c>
      <c r="G32" s="7" t="inlineStr">
        <is>
          <t>Facebook</t>
        </is>
      </c>
      <c r="H32" s="14">
        <v>46288</v>
      </c>
      <c r="I32" s="14"/>
      <c r="J32" s="14"/>
      <c r="K32" s="7"/>
      <c r="L32" s="14"/>
      <c r="M32" s="7"/>
      <c r="N32" s="7"/>
      <c r="O32" s="11">
        <f>IF(H32="","",IF(I32&lt;&gt;"",I32,TODAY())-H32)</f>
        <v>30</v>
      </c>
      <c r="P32" s="11" t="str">
        <f>IF(H32="","",IF(I32&lt;&gt;"",IF(I32-H32&lt;30,"No","Sí"),IF(TODAY()-H32&gt;=30,"Sí","En curso")))</f>
        <v>Sí</v>
      </c>
      <c r="Q32" s="11" t="str">
        <f>IF(H32="","",IF(I32&lt;&gt;"",IF(I32-H32&lt;60,"No","Sí"),IF(TODAY()-H32&gt;=60,"Sí","En curso")))</f>
        <v>En curso</v>
      </c>
      <c r="R32" s="11" t="str">
        <f>IF(H32="","",IF(I32&lt;&gt;"","Baja",IF(AND(TODAY()-H32&gt;=7,J32=""),"Falta check-in semana 1",IF(AND(TODAY()-H32&gt;=21,L32=""),"Falta check-in semana 3",""))))</f>
        <v>Falta check-in semana 1</v>
      </c>
    </row>
    <row r="33">
      <c r="A33" s="7" t="inlineStr">
        <is>
          <t>LFL191</t>
        </is>
      </c>
      <c r="B33" s="7" t="inlineStr">
        <is>
          <t>Lianne Osmara Flores López</t>
        </is>
      </c>
      <c r="C33" s="7" t="inlineStr">
        <is>
          <t>College</t>
        </is>
      </c>
      <c r="D33" s="7" t="inlineStr">
        <is>
          <t>Inglés</t>
        </is>
      </c>
      <c r="E33" s="7"/>
      <c r="F33" s="15">
        <v>750.0</v>
      </c>
      <c r="G33" s="7" t="inlineStr">
        <is>
          <t>Facebook</t>
        </is>
      </c>
      <c r="H33" s="14">
        <v>46289</v>
      </c>
      <c r="I33" s="14">
        <v>46301</v>
      </c>
      <c r="J33" s="14"/>
      <c r="K33" s="7"/>
      <c r="L33" s="14"/>
      <c r="M33" s="7"/>
      <c r="N33" s="7" t="inlineStr">
        <is>
          <t>Temas personales o familiares</t>
        </is>
      </c>
      <c r="O33" s="11">
        <f>IF(H33="","",IF(I33&lt;&gt;"",I33,TODAY())-H33)</f>
        <v>12</v>
      </c>
      <c r="P33" s="11" t="str">
        <f>IF(H33="","",IF(I33&lt;&gt;"",IF(I33-H33&lt;30,"No","Sí"),IF(TODAY()-H33&gt;=30,"Sí","En curso")))</f>
        <v>No</v>
      </c>
      <c r="Q33" s="11" t="str">
        <f>IF(H33="","",IF(I33&lt;&gt;"",IF(I33-H33&lt;60,"No","Sí"),IF(TODAY()-H33&gt;=60,"Sí","En curso")))</f>
        <v>No</v>
      </c>
      <c r="R33" s="11" t="str">
        <f>IF(H33="","",IF(I33&lt;&gt;"","Baja",IF(AND(TODAY()-H33&gt;=7,J33=""),"Falta check-in semana 1",IF(AND(TODAY()-H33&gt;=21,L33=""),"Falta check-in semana 3",""))))</f>
        <v>Baja</v>
      </c>
    </row>
    <row r="34">
      <c r="A34" s="7" t="inlineStr">
        <is>
          <t>YGF190</t>
        </is>
      </c>
      <c r="B34" s="7" t="inlineStr">
        <is>
          <t>Yara Rafaela Guzman Flores</t>
        </is>
      </c>
      <c r="C34" s="7" t="inlineStr">
        <is>
          <t>College</t>
        </is>
      </c>
      <c r="D34" s="7" t="inlineStr">
        <is>
          <t>Inglés</t>
        </is>
      </c>
      <c r="E34" s="7"/>
      <c r="F34" s="15">
        <v>750.0</v>
      </c>
      <c r="G34" s="7" t="inlineStr">
        <is>
          <t>Facebook</t>
        </is>
      </c>
      <c r="H34" s="14">
        <v>46289</v>
      </c>
      <c r="I34" s="14"/>
      <c r="J34" s="14"/>
      <c r="K34" s="7"/>
      <c r="L34" s="14"/>
      <c r="M34" s="7"/>
      <c r="N34" s="7"/>
      <c r="O34" s="11">
        <f>IF(H34="","",IF(I34&lt;&gt;"",I34,TODAY())-H34)</f>
        <v>29</v>
      </c>
      <c r="P34" s="11" t="str">
        <f>IF(H34="","",IF(I34&lt;&gt;"",IF(I34-H34&lt;30,"No","Sí"),IF(TODAY()-H34&gt;=30,"Sí","En curso")))</f>
        <v>En curso</v>
      </c>
      <c r="Q34" s="11" t="str">
        <f>IF(H34="","",IF(I34&lt;&gt;"",IF(I34-H34&lt;60,"No","Sí"),IF(TODAY()-H34&gt;=60,"Sí","En curso")))</f>
        <v>En curso</v>
      </c>
      <c r="R34" s="11" t="str">
        <f>IF(H34="","",IF(I34&lt;&gt;"","Baja",IF(AND(TODAY()-H34&gt;=7,J34=""),"Falta check-in semana 1",IF(AND(TODAY()-H34&gt;=21,L34=""),"Falta check-in semana 3",""))))</f>
        <v>Falta check-in semana 1</v>
      </c>
    </row>
    <row r="35">
      <c r="A35" s="7" t="inlineStr">
        <is>
          <t>JSH192</t>
        </is>
      </c>
      <c r="B35" s="7" t="inlineStr">
        <is>
          <t>Jessica Sanchez Hernandez</t>
        </is>
      </c>
      <c r="C35" s="7" t="inlineStr">
        <is>
          <t>Junior</t>
        </is>
      </c>
      <c r="D35" s="7" t="inlineStr">
        <is>
          <t>Inglés</t>
        </is>
      </c>
      <c r="E35" s="7"/>
      <c r="F35" s="15">
        <v>800.0</v>
      </c>
      <c r="G35" s="7" t="inlineStr">
        <is>
          <t>Facebook</t>
        </is>
      </c>
      <c r="H35" s="14">
        <v>46291</v>
      </c>
      <c r="I35" s="14"/>
      <c r="J35" s="14"/>
      <c r="K35" s="7"/>
      <c r="L35" s="14"/>
      <c r="M35" s="7"/>
      <c r="N35" s="7"/>
      <c r="O35" s="11">
        <f>IF(H35="","",IF(I35&lt;&gt;"",I35,TODAY())-H35)</f>
        <v>27</v>
      </c>
      <c r="P35" s="11" t="str">
        <f>IF(H35="","",IF(I35&lt;&gt;"",IF(I35-H35&lt;30,"No","Sí"),IF(TODAY()-H35&gt;=30,"Sí","En curso")))</f>
        <v>En curso</v>
      </c>
      <c r="Q35" s="11" t="str">
        <f>IF(H35="","",IF(I35&lt;&gt;"",IF(I35-H35&lt;60,"No","Sí"),IF(TODAY()-H35&gt;=60,"Sí","En curso")))</f>
        <v>En curso</v>
      </c>
      <c r="R35" s="11" t="str">
        <f>IF(H35="","",IF(I35&lt;&gt;"","Baja",IF(AND(TODAY()-H35&gt;=7,J35=""),"Falta check-in semana 1",IF(AND(TODAY()-H35&gt;=21,L35=""),"Falta check-in semana 3",""))))</f>
        <v>Falta check-in semana 1</v>
      </c>
    </row>
    <row r="36">
      <c r="A36" s="7" t="inlineStr">
        <is>
          <t>MMA193</t>
        </is>
      </c>
      <c r="B36" s="7" t="inlineStr">
        <is>
          <t>Matias Gael Montiel Aviles</t>
        </is>
      </c>
      <c r="C36" s="7" t="inlineStr">
        <is>
          <t>Parenthood</t>
        </is>
      </c>
      <c r="D36" s="7" t="inlineStr">
        <is>
          <t>Inglés</t>
        </is>
      </c>
      <c r="E36" s="7"/>
      <c r="F36" s="15">
        <v>800.0</v>
      </c>
      <c r="G36" s="7" t="inlineStr">
        <is>
          <t>Facebook</t>
        </is>
      </c>
      <c r="H36" s="14">
        <v>46293</v>
      </c>
      <c r="I36" s="14"/>
      <c r="J36" s="14"/>
      <c r="K36" s="7"/>
      <c r="L36" s="14"/>
      <c r="M36" s="7"/>
      <c r="N36" s="7"/>
      <c r="O36" s="11">
        <f>IF(H36="","",IF(I36&lt;&gt;"",I36,TODAY())-H36)</f>
        <v>25</v>
      </c>
      <c r="P36" s="11" t="str">
        <f>IF(H36="","",IF(I36&lt;&gt;"",IF(I36-H36&lt;30,"No","Sí"),IF(TODAY()-H36&gt;=30,"Sí","En curso")))</f>
        <v>En curso</v>
      </c>
      <c r="Q36" s="11" t="str">
        <f>IF(H36="","",IF(I36&lt;&gt;"",IF(I36-H36&lt;60,"No","Sí"),IF(TODAY()-H36&gt;=60,"Sí","En curso")))</f>
        <v>En curso</v>
      </c>
      <c r="R36" s="11" t="str">
        <f>IF(H36="","",IF(I36&lt;&gt;"","Baja",IF(AND(TODAY()-H36&gt;=7,J36=""),"Falta check-in semana 1",IF(AND(TODAY()-H36&gt;=21,L36=""),"Falta check-in semana 3",""))))</f>
        <v>Falta check-in semana 1</v>
      </c>
    </row>
    <row r="37">
      <c r="A37" s="7" t="inlineStr">
        <is>
          <t>ACC194</t>
        </is>
      </c>
      <c r="B37" s="7" t="inlineStr">
        <is>
          <t>Alfredo Liam Castillo Castillo</t>
        </is>
      </c>
      <c r="C37" s="7" t="inlineStr">
        <is>
          <t>Kids</t>
        </is>
      </c>
      <c r="D37" s="7" t="inlineStr">
        <is>
          <t>Inglés</t>
        </is>
      </c>
      <c r="E37" s="7"/>
      <c r="F37" s="15">
        <v>800.0</v>
      </c>
      <c r="G37" s="7" t="inlineStr">
        <is>
          <t>Instagram</t>
        </is>
      </c>
      <c r="H37" s="14">
        <v>46294</v>
      </c>
      <c r="I37" s="14"/>
      <c r="J37" s="14"/>
      <c r="K37" s="7"/>
      <c r="L37" s="14"/>
      <c r="M37" s="7"/>
      <c r="N37" s="7"/>
      <c r="O37" s="11">
        <f>IF(H37="","",IF(I37&lt;&gt;"",I37,TODAY())-H37)</f>
        <v>24</v>
      </c>
      <c r="P37" s="11" t="str">
        <f>IF(H37="","",IF(I37&lt;&gt;"",IF(I37-H37&lt;30,"No","Sí"),IF(TODAY()-H37&gt;=30,"Sí","En curso")))</f>
        <v>En curso</v>
      </c>
      <c r="Q37" s="11" t="str">
        <f>IF(H37="","",IF(I37&lt;&gt;"",IF(I37-H37&lt;60,"No","Sí"),IF(TODAY()-H37&gt;=60,"Sí","En curso")))</f>
        <v>En curso</v>
      </c>
      <c r="R37" s="11" t="str">
        <f>IF(H37="","",IF(I37&lt;&gt;"","Baja",IF(AND(TODAY()-H37&gt;=7,J37=""),"Falta check-in semana 1",IF(AND(TODAY()-H37&gt;=21,L37=""),"Falta check-in semana 3",""))))</f>
        <v>Falta check-in semana 1</v>
      </c>
    </row>
    <row r="38">
      <c r="A38" s="7" t="inlineStr">
        <is>
          <t>HGV182F</t>
        </is>
      </c>
      <c r="B38" s="7" t="inlineStr">
        <is>
          <t>Heliana Garcia Vazquez</t>
        </is>
      </c>
      <c r="C38" s="7" t="inlineStr">
        <is>
          <t>Junior</t>
        </is>
      </c>
      <c r="D38" s="7" t="inlineStr">
        <is>
          <t>Francés</t>
        </is>
      </c>
      <c r="E38" s="7"/>
      <c r="F38" s="15">
        <v>250.0</v>
      </c>
      <c r="G38" s="7" t="inlineStr">
        <is>
          <t>Facebook</t>
        </is>
      </c>
      <c r="H38" s="14">
        <v>46294</v>
      </c>
      <c r="I38" s="14"/>
      <c r="J38" s="14"/>
      <c r="K38" s="7"/>
      <c r="L38" s="14"/>
      <c r="M38" s="7"/>
      <c r="N38" s="7"/>
      <c r="O38" s="11">
        <f>IF(H38="","",IF(I38&lt;&gt;"",I38,TODAY())-H38)</f>
        <v>24</v>
      </c>
      <c r="P38" s="11" t="str">
        <f>IF(H38="","",IF(I38&lt;&gt;"",IF(I38-H38&lt;30,"No","Sí"),IF(TODAY()-H38&gt;=30,"Sí","En curso")))</f>
        <v>En curso</v>
      </c>
      <c r="Q38" s="11" t="str">
        <f>IF(H38="","",IF(I38&lt;&gt;"",IF(I38-H38&lt;60,"No","Sí"),IF(TODAY()-H38&gt;=60,"Sí","En curso")))</f>
        <v>En curso</v>
      </c>
      <c r="R38" s="11" t="str">
        <f>IF(H38="","",IF(I38&lt;&gt;"","Baja",IF(AND(TODAY()-H38&gt;=7,J38=""),"Falta check-in semana 1",IF(AND(TODAY()-H38&gt;=21,L38=""),"Falta check-in semana 3",""))))</f>
        <v>Falta check-in semana 1</v>
      </c>
    </row>
    <row r="39">
      <c r="A39" s="7" t="inlineStr">
        <is>
          <t>JMS195</t>
        </is>
      </c>
      <c r="B39" s="7" t="inlineStr">
        <is>
          <t>Jade Yetzali Medina Sanchez</t>
        </is>
      </c>
      <c r="C39" s="7" t="inlineStr">
        <is>
          <t>Kids</t>
        </is>
      </c>
      <c r="D39" s="7" t="inlineStr">
        <is>
          <t>Francés</t>
        </is>
      </c>
      <c r="E39" s="7"/>
      <c r="F39" s="15">
        <v>400.0</v>
      </c>
      <c r="G39" s="7" t="inlineStr">
        <is>
          <t>Instagram</t>
        </is>
      </c>
      <c r="H39" s="14">
        <v>46294</v>
      </c>
      <c r="I39" s="14"/>
      <c r="J39" s="14"/>
      <c r="K39" s="7"/>
      <c r="L39" s="14"/>
      <c r="M39" s="7"/>
      <c r="N39" s="7"/>
      <c r="O39" s="11">
        <f>IF(H39="","",IF(I39&lt;&gt;"",I39,TODAY())-H39)</f>
        <v>24</v>
      </c>
      <c r="P39" s="11" t="str">
        <f>IF(H39="","",IF(I39&lt;&gt;"",IF(I39-H39&lt;30,"No","Sí"),IF(TODAY()-H39&gt;=30,"Sí","En curso")))</f>
        <v>En curso</v>
      </c>
      <c r="Q39" s="11" t="str">
        <f>IF(H39="","",IF(I39&lt;&gt;"",IF(I39-H39&lt;60,"No","Sí"),IF(TODAY()-H39&gt;=60,"Sí","En curso")))</f>
        <v>En curso</v>
      </c>
      <c r="R39" s="11" t="str">
        <f>IF(H39="","",IF(I39&lt;&gt;"","Baja",IF(AND(TODAY()-H39&gt;=7,J39=""),"Falta check-in semana 1",IF(AND(TODAY()-H39&gt;=21,L39=""),"Falta check-in semana 3",""))))</f>
        <v>Falta check-in semana 1</v>
      </c>
    </row>
    <row r="40">
      <c r="A40" s="7" t="inlineStr">
        <is>
          <t>MGV183F</t>
        </is>
      </c>
      <c r="B40" s="7" t="inlineStr">
        <is>
          <t>Mateo Garcia Vazquez</t>
        </is>
      </c>
      <c r="C40" s="7" t="inlineStr">
        <is>
          <t>Junior</t>
        </is>
      </c>
      <c r="D40" s="7" t="inlineStr">
        <is>
          <t>Francés</t>
        </is>
      </c>
      <c r="E40" s="7"/>
      <c r="F40" s="15">
        <v>250.0</v>
      </c>
      <c r="G40" s="7" t="inlineStr">
        <is>
          <t>Facebook</t>
        </is>
      </c>
      <c r="H40" s="14">
        <v>46294</v>
      </c>
      <c r="I40" s="14"/>
      <c r="J40" s="14"/>
      <c r="K40" s="7"/>
      <c r="L40" s="14"/>
      <c r="M40" s="7"/>
      <c r="N40" s="7"/>
      <c r="O40" s="11">
        <f>IF(H40="","",IF(I40&lt;&gt;"",I40,TODAY())-H40)</f>
        <v>24</v>
      </c>
      <c r="P40" s="11" t="str">
        <f>IF(H40="","",IF(I40&lt;&gt;"",IF(I40-H40&lt;30,"No","Sí"),IF(TODAY()-H40&gt;=30,"Sí","En curso")))</f>
        <v>En curso</v>
      </c>
      <c r="Q40" s="11" t="str">
        <f>IF(H40="","",IF(I40&lt;&gt;"",IF(I40-H40&lt;60,"No","Sí"),IF(TODAY()-H40&gt;=60,"Sí","En curso")))</f>
        <v>En curso</v>
      </c>
      <c r="R40" s="11" t="str">
        <f>IF(H40="","",IF(I40&lt;&gt;"","Baja",IF(AND(TODAY()-H40&gt;=7,J40=""),"Falta check-in semana 1",IF(AND(TODAY()-H40&gt;=21,L40=""),"Falta check-in semana 3",""))))</f>
        <v>Falta check-in semana 1</v>
      </c>
    </row>
    <row r="41">
      <c r="A41" s="7" t="inlineStr">
        <is>
          <t>PRJ196</t>
        </is>
      </c>
      <c r="B41" s="7" t="inlineStr">
        <is>
          <t>Paula Rodriguez Jardines</t>
        </is>
      </c>
      <c r="C41" s="7" t="inlineStr">
        <is>
          <t>College</t>
        </is>
      </c>
      <c r="D41" s="7" t="inlineStr">
        <is>
          <t>Inglés</t>
        </is>
      </c>
      <c r="E41" s="7"/>
      <c r="F41" s="15">
        <v>800.0</v>
      </c>
      <c r="G41" s="7" t="inlineStr">
        <is>
          <t>Facebook</t>
        </is>
      </c>
      <c r="H41" s="14">
        <v>46296</v>
      </c>
      <c r="I41" s="14">
        <v>46308</v>
      </c>
      <c r="J41" s="14"/>
      <c r="K41" s="7"/>
      <c r="L41" s="14"/>
      <c r="M41" s="7"/>
      <c r="N41" s="7" t="inlineStr">
        <is>
          <t>Temas personales o familiares</t>
        </is>
      </c>
      <c r="O41" s="11">
        <f>IF(H41="","",IF(I41&lt;&gt;"",I41,TODAY())-H41)</f>
        <v>12</v>
      </c>
      <c r="P41" s="11" t="str">
        <f>IF(H41="","",IF(I41&lt;&gt;"",IF(I41-H41&lt;30,"No","Sí"),IF(TODAY()-H41&gt;=30,"Sí","En curso")))</f>
        <v>No</v>
      </c>
      <c r="Q41" s="11" t="str">
        <f>IF(H41="","",IF(I41&lt;&gt;"",IF(I41-H41&lt;60,"No","Sí"),IF(TODAY()-H41&gt;=60,"Sí","En curso")))</f>
        <v>No</v>
      </c>
      <c r="R41" s="11" t="str">
        <f>IF(H41="","",IF(I41&lt;&gt;"","Baja",IF(AND(TODAY()-H41&gt;=7,J41=""),"Falta check-in semana 1",IF(AND(TODAY()-H41&gt;=21,L41=""),"Falta check-in semana 3",""))))</f>
        <v>Baja</v>
      </c>
    </row>
    <row r="42">
      <c r="A42" s="7" t="inlineStr">
        <is>
          <t>ILL197</t>
        </is>
      </c>
      <c r="B42" s="7" t="inlineStr">
        <is>
          <t>Irma Imelda Luna Lira</t>
        </is>
      </c>
      <c r="C42" s="7" t="inlineStr">
        <is>
          <t>College</t>
        </is>
      </c>
      <c r="D42" s="7" t="inlineStr">
        <is>
          <t>Inglés</t>
        </is>
      </c>
      <c r="E42" s="7"/>
      <c r="F42" s="15">
        <v>800.0</v>
      </c>
      <c r="G42" s="7" t="inlineStr">
        <is>
          <t>Facebook</t>
        </is>
      </c>
      <c r="H42" s="14">
        <v>46297</v>
      </c>
      <c r="I42" s="14">
        <v>46311</v>
      </c>
      <c r="J42" s="14"/>
      <c r="K42" s="7"/>
      <c r="L42" s="14"/>
      <c r="M42" s="7"/>
      <c r="N42" s="7" t="inlineStr">
        <is>
          <t>Horarios</t>
        </is>
      </c>
      <c r="O42" s="11">
        <f>IF(H42="","",IF(I42&lt;&gt;"",I42,TODAY())-H42)</f>
        <v>14</v>
      </c>
      <c r="P42" s="11" t="str">
        <f>IF(H42="","",IF(I42&lt;&gt;"",IF(I42-H42&lt;30,"No","Sí"),IF(TODAY()-H42&gt;=30,"Sí","En curso")))</f>
        <v>No</v>
      </c>
      <c r="Q42" s="11" t="str">
        <f>IF(H42="","",IF(I42&lt;&gt;"",IF(I42-H42&lt;60,"No","Sí"),IF(TODAY()-H42&gt;=60,"Sí","En curso")))</f>
        <v>No</v>
      </c>
      <c r="R42" s="11" t="str">
        <f>IF(H42="","",IF(I42&lt;&gt;"","Baja",IF(AND(TODAY()-H42&gt;=7,J42=""),"Falta check-in semana 1",IF(AND(TODAY()-H42&gt;=21,L42=""),"Falta check-in semana 3",""))))</f>
        <v>Baja</v>
      </c>
    </row>
    <row r="43">
      <c r="A43" s="7" t="inlineStr">
        <is>
          <t>ALC198</t>
        </is>
      </c>
      <c r="B43" s="7" t="inlineStr">
        <is>
          <t>Aida Araceli Lopéz Carbajal</t>
        </is>
      </c>
      <c r="C43" s="7" t="inlineStr">
        <is>
          <t>College</t>
        </is>
      </c>
      <c r="D43" s="7" t="inlineStr">
        <is>
          <t>Inglés</t>
        </is>
      </c>
      <c r="E43" s="7"/>
      <c r="F43" s="15">
        <v>750.0</v>
      </c>
      <c r="G43" s="7" t="inlineStr">
        <is>
          <t>Facebook</t>
        </is>
      </c>
      <c r="H43" s="14">
        <v>46298</v>
      </c>
      <c r="I43" s="14"/>
      <c r="J43" s="14"/>
      <c r="K43" s="7"/>
      <c r="L43" s="14"/>
      <c r="M43" s="7"/>
      <c r="N43" s="7"/>
      <c r="O43" s="11">
        <f>IF(H43="","",IF(I43&lt;&gt;"",I43,TODAY())-H43)</f>
        <v>20</v>
      </c>
      <c r="P43" s="11" t="str">
        <f>IF(H43="","",IF(I43&lt;&gt;"",IF(I43-H43&lt;30,"No","Sí"),IF(TODAY()-H43&gt;=30,"Sí","En curso")))</f>
        <v>En curso</v>
      </c>
      <c r="Q43" s="11" t="str">
        <f>IF(H43="","",IF(I43&lt;&gt;"",IF(I43-H43&lt;60,"No","Sí"),IF(TODAY()-H43&gt;=60,"Sí","En curso")))</f>
        <v>En curso</v>
      </c>
      <c r="R43" s="11" t="str">
        <f>IF(H43="","",IF(I43&lt;&gt;"","Baja",IF(AND(TODAY()-H43&gt;=7,J43=""),"Falta check-in semana 1",IF(AND(TODAY()-H43&gt;=21,L43=""),"Falta check-in semana 3",""))))</f>
        <v>Falta check-in semana 1</v>
      </c>
    </row>
    <row r="44">
      <c r="A44" s="7" t="inlineStr">
        <is>
          <t>GNO199</t>
        </is>
      </c>
      <c r="B44" s="7" t="inlineStr">
        <is>
          <t>Guadalupe Beatriz Narvaez Orta</t>
        </is>
      </c>
      <c r="C44" s="7" t="inlineStr">
        <is>
          <t>College</t>
        </is>
      </c>
      <c r="D44" s="7" t="inlineStr">
        <is>
          <t>Inglés</t>
        </is>
      </c>
      <c r="E44" s="7"/>
      <c r="F44" s="15">
        <v>800.0</v>
      </c>
      <c r="G44" s="7" t="inlineStr">
        <is>
          <t>Facebook</t>
        </is>
      </c>
      <c r="H44" s="14">
        <v>46302</v>
      </c>
      <c r="I44" s="14"/>
      <c r="J44" s="14"/>
      <c r="K44" s="7"/>
      <c r="L44" s="14"/>
      <c r="M44" s="7"/>
      <c r="N44" s="7"/>
      <c r="O44" s="11">
        <f>IF(H44="","",IF(I44&lt;&gt;"",I44,TODAY())-H44)</f>
        <v>16</v>
      </c>
      <c r="P44" s="11" t="str">
        <f>IF(H44="","",IF(I44&lt;&gt;"",IF(I44-H44&lt;30,"No","Sí"),IF(TODAY()-H44&gt;=30,"Sí","En curso")))</f>
        <v>En curso</v>
      </c>
      <c r="Q44" s="11" t="str">
        <f>IF(H44="","",IF(I44&lt;&gt;"",IF(I44-H44&lt;60,"No","Sí"),IF(TODAY()-H44&gt;=60,"Sí","En curso")))</f>
        <v>En curso</v>
      </c>
      <c r="R44" s="11" t="str">
        <f>IF(H44="","",IF(I44&lt;&gt;"","Baja",IF(AND(TODAY()-H44&gt;=7,J44=""),"Falta check-in semana 1",IF(AND(TODAY()-H44&gt;=21,L44=""),"Falta check-in semana 3",""))))</f>
        <v>Falta check-in semana 1</v>
      </c>
    </row>
    <row r="45">
      <c r="A45" s="7" t="inlineStr">
        <is>
          <t>NRZ200</t>
        </is>
      </c>
      <c r="B45" s="7" t="inlineStr">
        <is>
          <t>Nidia Lizbeth Ramirez Zazueta</t>
        </is>
      </c>
      <c r="C45" s="7" t="inlineStr">
        <is>
          <t>College</t>
        </is>
      </c>
      <c r="D45" s="7" t="inlineStr">
        <is>
          <t>Inglés</t>
        </is>
      </c>
      <c r="E45" s="7"/>
      <c r="F45" s="15">
        <v>800.0</v>
      </c>
      <c r="G45" s="7" t="inlineStr">
        <is>
          <t>Facebook</t>
        </is>
      </c>
      <c r="H45" s="14">
        <v>46304</v>
      </c>
      <c r="I45" s="14"/>
      <c r="J45" s="14"/>
      <c r="K45" s="7"/>
      <c r="L45" s="14"/>
      <c r="M45" s="7"/>
      <c r="N45" s="7"/>
      <c r="O45" s="11">
        <f>IF(H45="","",IF(I45&lt;&gt;"",I45,TODAY())-H45)</f>
        <v>14</v>
      </c>
      <c r="P45" s="11" t="str">
        <f>IF(H45="","",IF(I45&lt;&gt;"",IF(I45-H45&lt;30,"No","Sí"),IF(TODAY()-H45&gt;=30,"Sí","En curso")))</f>
        <v>En curso</v>
      </c>
      <c r="Q45" s="11" t="str">
        <f>IF(H45="","",IF(I45&lt;&gt;"",IF(I45-H45&lt;60,"No","Sí"),IF(TODAY()-H45&gt;=60,"Sí","En curso")))</f>
        <v>En curso</v>
      </c>
      <c r="R45" s="11" t="str">
        <f>IF(H45="","",IF(I45&lt;&gt;"","Baja",IF(AND(TODAY()-H45&gt;=7,J45=""),"Falta check-in semana 1",IF(AND(TODAY()-H45&gt;=21,L45=""),"Falta check-in semana 3",""))))</f>
        <v>Falta check-in semana 1</v>
      </c>
    </row>
    <row r="46">
      <c r="A46" s="7" t="inlineStr">
        <is>
          <t>CTM202</t>
        </is>
      </c>
      <c r="B46" s="7" t="inlineStr">
        <is>
          <t>Carlos Torres Marín</t>
        </is>
      </c>
      <c r="C46" s="7" t="inlineStr">
        <is>
          <t>Junior</t>
        </is>
      </c>
      <c r="D46" s="7" t="inlineStr">
        <is>
          <t>Inglés</t>
        </is>
      </c>
      <c r="E46" s="7"/>
      <c r="F46" s="15">
        <v>800.0</v>
      </c>
      <c r="G46" s="7" t="inlineStr">
        <is>
          <t>Facebook</t>
        </is>
      </c>
      <c r="H46" s="14">
        <v>46305</v>
      </c>
      <c r="I46" s="14"/>
      <c r="J46" s="14"/>
      <c r="K46" s="7"/>
      <c r="L46" s="14"/>
      <c r="M46" s="7"/>
      <c r="N46" s="7"/>
      <c r="O46" s="11">
        <f>IF(H46="","",IF(I46&lt;&gt;"",I46,TODAY())-H46)</f>
        <v>13</v>
      </c>
      <c r="P46" s="11" t="str">
        <f>IF(H46="","",IF(I46&lt;&gt;"",IF(I46-H46&lt;30,"No","Sí"),IF(TODAY()-H46&gt;=30,"Sí","En curso")))</f>
        <v>En curso</v>
      </c>
      <c r="Q46" s="11" t="str">
        <f>IF(H46="","",IF(I46&lt;&gt;"",IF(I46-H46&lt;60,"No","Sí"),IF(TODAY()-H46&gt;=60,"Sí","En curso")))</f>
        <v>En curso</v>
      </c>
      <c r="R46" s="11" t="str">
        <f>IF(H46="","",IF(I46&lt;&gt;"","Baja",IF(AND(TODAY()-H46&gt;=7,J46=""),"Falta check-in semana 1",IF(AND(TODAY()-H46&gt;=21,L46=""),"Falta check-in semana 3",""))))</f>
        <v>Falta check-in semana 1</v>
      </c>
    </row>
    <row r="47">
      <c r="A47" s="7" t="inlineStr">
        <is>
          <t>LGF203</t>
        </is>
      </c>
      <c r="B47" s="7" t="inlineStr">
        <is>
          <t>Lianne Alanis Guzman Flores</t>
        </is>
      </c>
      <c r="C47" s="7" t="inlineStr">
        <is>
          <t>Junior</t>
        </is>
      </c>
      <c r="D47" s="7" t="inlineStr">
        <is>
          <t>Inglés</t>
        </is>
      </c>
      <c r="E47" s="7"/>
      <c r="F47" s="15">
        <v>750.0</v>
      </c>
      <c r="G47" s="7" t="inlineStr">
        <is>
          <t>Facebook</t>
        </is>
      </c>
      <c r="H47" s="14">
        <v>46305</v>
      </c>
      <c r="I47" s="14"/>
      <c r="J47" s="14"/>
      <c r="K47" s="7"/>
      <c r="L47" s="14"/>
      <c r="M47" s="7"/>
      <c r="N47" s="7"/>
      <c r="O47" s="11">
        <f>IF(H47="","",IF(I47&lt;&gt;"",I47,TODAY())-H47)</f>
        <v>13</v>
      </c>
      <c r="P47" s="11" t="str">
        <f>IF(H47="","",IF(I47&lt;&gt;"",IF(I47-H47&lt;30,"No","Sí"),IF(TODAY()-H47&gt;=30,"Sí","En curso")))</f>
        <v>En curso</v>
      </c>
      <c r="Q47" s="11" t="str">
        <f>IF(H47="","",IF(I47&lt;&gt;"",IF(I47-H47&lt;60,"No","Sí"),IF(TODAY()-H47&gt;=60,"Sí","En curso")))</f>
        <v>En curso</v>
      </c>
      <c r="R47" s="11" t="str">
        <f>IF(H47="","",IF(I47&lt;&gt;"","Baja",IF(AND(TODAY()-H47&gt;=7,J47=""),"Falta check-in semana 1",IF(AND(TODAY()-H47&gt;=21,L47=""),"Falta check-in semana 3",""))))</f>
        <v>Falta check-in semana 1</v>
      </c>
    </row>
    <row r="48">
      <c r="A48" s="7" t="inlineStr">
        <is>
          <t>ECB204</t>
        </is>
      </c>
      <c r="B48" s="7" t="inlineStr">
        <is>
          <t>Emily Camacho Bello</t>
        </is>
      </c>
      <c r="C48" s="7" t="inlineStr">
        <is>
          <t>Junior</t>
        </is>
      </c>
      <c r="D48" s="7" t="inlineStr">
        <is>
          <t>Inglés</t>
        </is>
      </c>
      <c r="E48" s="7"/>
      <c r="F48" s="15">
        <v>400.0</v>
      </c>
      <c r="G48" s="7" t="inlineStr">
        <is>
          <t>Facebook</t>
        </is>
      </c>
      <c r="H48" s="14">
        <v>46307</v>
      </c>
      <c r="I48" s="14"/>
      <c r="J48" s="14"/>
      <c r="K48" s="7"/>
      <c r="L48" s="14"/>
      <c r="M48" s="7"/>
      <c r="N48" s="7"/>
      <c r="O48" s="11">
        <f>IF(H48="","",IF(I48&lt;&gt;"",I48,TODAY())-H48)</f>
        <v>11</v>
      </c>
      <c r="P48" s="11" t="str">
        <f>IF(H48="","",IF(I48&lt;&gt;"",IF(I48-H48&lt;30,"No","Sí"),IF(TODAY()-H48&gt;=30,"Sí","En curso")))</f>
        <v>En curso</v>
      </c>
      <c r="Q48" s="11" t="str">
        <f>IF(H48="","",IF(I48&lt;&gt;"",IF(I48-H48&lt;60,"No","Sí"),IF(TODAY()-H48&gt;=60,"Sí","En curso")))</f>
        <v>En curso</v>
      </c>
      <c r="R48" s="11" t="str">
        <f>IF(H48="","",IF(I48&lt;&gt;"","Baja",IF(AND(TODAY()-H48&gt;=7,J48=""),"Falta check-in semana 1",IF(AND(TODAY()-H48&gt;=21,L48=""),"Falta check-in semana 3",""))))</f>
        <v>Falta check-in semana 1</v>
      </c>
    </row>
    <row r="49">
      <c r="A49" s="7" t="inlineStr">
        <is>
          <t>ARC206</t>
        </is>
      </c>
      <c r="B49" s="7" t="inlineStr">
        <is>
          <t>Alexandra Rueda Cruz</t>
        </is>
      </c>
      <c r="C49" s="7" t="inlineStr">
        <is>
          <t>College</t>
        </is>
      </c>
      <c r="D49" s="7" t="inlineStr">
        <is>
          <t>Inglés</t>
        </is>
      </c>
      <c r="E49" s="7"/>
      <c r="F49" s="15">
        <v>750.0</v>
      </c>
      <c r="G49" s="7" t="inlineStr">
        <is>
          <t>Facebook</t>
        </is>
      </c>
      <c r="H49" s="14">
        <v>46308</v>
      </c>
      <c r="I49" s="14"/>
      <c r="J49" s="14"/>
      <c r="K49" s="7"/>
      <c r="L49" s="14"/>
      <c r="M49" s="7"/>
      <c r="N49" s="7"/>
      <c r="O49" s="11">
        <f>IF(H49="","",IF(I49&lt;&gt;"",I49,TODAY())-H49)</f>
        <v>10</v>
      </c>
      <c r="P49" s="11" t="str">
        <f>IF(H49="","",IF(I49&lt;&gt;"",IF(I49-H49&lt;30,"No","Sí"),IF(TODAY()-H49&gt;=30,"Sí","En curso")))</f>
        <v>En curso</v>
      </c>
      <c r="Q49" s="11" t="str">
        <f>IF(H49="","",IF(I49&lt;&gt;"",IF(I49-H49&lt;60,"No","Sí"),IF(TODAY()-H49&gt;=60,"Sí","En curso")))</f>
        <v>En curso</v>
      </c>
      <c r="R49" s="11" t="str">
        <f>IF(H49="","",IF(I49&lt;&gt;"","Baja",IF(AND(TODAY()-H49&gt;=7,J49=""),"Falta check-in semana 1",IF(AND(TODAY()-H49&gt;=21,L49=""),"Falta check-in semana 3",""))))</f>
        <v>Falta check-in semana 1</v>
      </c>
    </row>
    <row r="50">
      <c r="A50" s="7" t="inlineStr">
        <is>
          <t>CGR207</t>
        </is>
      </c>
      <c r="B50" s="7" t="inlineStr">
        <is>
          <t>Camila Garcia Romero</t>
        </is>
      </c>
      <c r="C50" s="7" t="inlineStr">
        <is>
          <t>Kids</t>
        </is>
      </c>
      <c r="D50" s="7" t="inlineStr">
        <is>
          <t>Inglés</t>
        </is>
      </c>
      <c r="E50" s="7"/>
      <c r="F50" s="15">
        <v>750.0</v>
      </c>
      <c r="G50" s="7" t="inlineStr">
        <is>
          <t>Facebook</t>
        </is>
      </c>
      <c r="H50" s="14">
        <v>46308</v>
      </c>
      <c r="I50" s="14"/>
      <c r="J50" s="14"/>
      <c r="K50" s="7"/>
      <c r="L50" s="14"/>
      <c r="M50" s="7"/>
      <c r="N50" s="7"/>
      <c r="O50" s="11">
        <f>IF(H50="","",IF(I50&lt;&gt;"",I50,TODAY())-H50)</f>
        <v>10</v>
      </c>
      <c r="P50" s="11" t="str">
        <f>IF(H50="","",IF(I50&lt;&gt;"",IF(I50-H50&lt;30,"No","Sí"),IF(TODAY()-H50&gt;=30,"Sí","En curso")))</f>
        <v>En curso</v>
      </c>
      <c r="Q50" s="11" t="str">
        <f>IF(H50="","",IF(I50&lt;&gt;"",IF(I50-H50&lt;60,"No","Sí"),IF(TODAY()-H50&gt;=60,"Sí","En curso")))</f>
        <v>En curso</v>
      </c>
      <c r="R50" s="11" t="str">
        <f>IF(H50="","",IF(I50&lt;&gt;"","Baja",IF(AND(TODAY()-H50&gt;=7,J50=""),"Falta check-in semana 1",IF(AND(TODAY()-H50&gt;=21,L50=""),"Falta check-in semana 3",""))))</f>
        <v>Falta check-in semana 1</v>
      </c>
    </row>
    <row r="51">
      <c r="A51" s="7" t="inlineStr">
        <is>
          <t>EGR208</t>
        </is>
      </c>
      <c r="B51" s="7" t="inlineStr">
        <is>
          <t>Emilia Garcia Romero</t>
        </is>
      </c>
      <c r="C51" s="7" t="inlineStr">
        <is>
          <t>Kids</t>
        </is>
      </c>
      <c r="D51" s="7" t="inlineStr">
        <is>
          <t>Inglés</t>
        </is>
      </c>
      <c r="E51" s="7"/>
      <c r="F51" s="15">
        <v>750.0</v>
      </c>
      <c r="G51" s="7" t="inlineStr">
        <is>
          <t>Facebook</t>
        </is>
      </c>
      <c r="H51" s="14">
        <v>46308</v>
      </c>
      <c r="I51" s="14"/>
      <c r="J51" s="14"/>
      <c r="K51" s="7"/>
      <c r="L51" s="14"/>
      <c r="M51" s="7"/>
      <c r="N51" s="7"/>
      <c r="O51" s="11">
        <f>IF(H51="","",IF(I51&lt;&gt;"",I51,TODAY())-H51)</f>
        <v>10</v>
      </c>
      <c r="P51" s="11" t="str">
        <f>IF(H51="","",IF(I51&lt;&gt;"",IF(I51-H51&lt;30,"No","Sí"),IF(TODAY()-H51&gt;=30,"Sí","En curso")))</f>
        <v>En curso</v>
      </c>
      <c r="Q51" s="11" t="str">
        <f>IF(H51="","",IF(I51&lt;&gt;"",IF(I51-H51&lt;60,"No","Sí"),IF(TODAY()-H51&gt;=60,"Sí","En curso")))</f>
        <v>En curso</v>
      </c>
      <c r="R51" s="11" t="str">
        <f>IF(H51="","",IF(I51&lt;&gt;"","Baja",IF(AND(TODAY()-H51&gt;=7,J51=""),"Falta check-in semana 1",IF(AND(TODAY()-H51&gt;=21,L51=""),"Falta check-in semana 3",""))))</f>
        <v>Falta check-in semana 1</v>
      </c>
    </row>
    <row r="52">
      <c r="A52" s="7" t="inlineStr">
        <is>
          <t>MVD126F</t>
        </is>
      </c>
      <c r="B52" s="7" t="inlineStr">
        <is>
          <t>María José Vargas De La O</t>
        </is>
      </c>
      <c r="C52" s="7" t="inlineStr">
        <is>
          <t>College</t>
        </is>
      </c>
      <c r="D52" s="7" t="inlineStr">
        <is>
          <t>Francés</t>
        </is>
      </c>
      <c r="E52" s="7"/>
      <c r="F52" s="15">
        <v>200.0</v>
      </c>
      <c r="G52" s="7" t="inlineStr">
        <is>
          <t>Facebook</t>
        </is>
      </c>
      <c r="H52" s="14">
        <v>46308</v>
      </c>
      <c r="I52" s="14"/>
      <c r="J52" s="14"/>
      <c r="K52" s="7"/>
      <c r="L52" s="14"/>
      <c r="M52" s="7"/>
      <c r="N52" s="7"/>
      <c r="O52" s="11">
        <f>IF(H52="","",IF(I52&lt;&gt;"",I52,TODAY())-H52)</f>
        <v>10</v>
      </c>
      <c r="P52" s="11" t="str">
        <f>IF(H52="","",IF(I52&lt;&gt;"",IF(I52-H52&lt;30,"No","Sí"),IF(TODAY()-H52&gt;=30,"Sí","En curso")))</f>
        <v>En curso</v>
      </c>
      <c r="Q52" s="11" t="str">
        <f>IF(H52="","",IF(I52&lt;&gt;"",IF(I52-H52&lt;60,"No","Sí"),IF(TODAY()-H52&gt;=60,"Sí","En curso")))</f>
        <v>En curso</v>
      </c>
      <c r="R52" s="11" t="str">
        <f>IF(H52="","",IF(I52&lt;&gt;"","Baja",IF(AND(TODAY()-H52&gt;=7,J52=""),"Falta check-in semana 1",IF(AND(TODAY()-H52&gt;=21,L52=""),"Falta check-in semana 3",""))))</f>
        <v>Falta check-in semana 1</v>
      </c>
    </row>
    <row r="53">
      <c r="A53" s="7" t="inlineStr">
        <is>
          <t>NDP124F</t>
        </is>
      </c>
      <c r="B53" s="7" t="inlineStr">
        <is>
          <t>Nancy Citlaly De La O Perez</t>
        </is>
      </c>
      <c r="C53" s="7" t="inlineStr">
        <is>
          <t>College</t>
        </is>
      </c>
      <c r="D53" s="7" t="inlineStr">
        <is>
          <t>Francés</t>
        </is>
      </c>
      <c r="E53" s="7"/>
      <c r="F53" s="15">
        <v>200.0</v>
      </c>
      <c r="G53" s="7" t="inlineStr">
        <is>
          <t>Facebook</t>
        </is>
      </c>
      <c r="H53" s="14">
        <v>46308</v>
      </c>
      <c r="I53" s="14"/>
      <c r="J53" s="14"/>
      <c r="K53" s="7"/>
      <c r="L53" s="14"/>
      <c r="M53" s="7"/>
      <c r="N53" s="7"/>
      <c r="O53" s="11">
        <f>IF(H53="","",IF(I53&lt;&gt;"",I53,TODAY())-H53)</f>
        <v>10</v>
      </c>
      <c r="P53" s="11" t="str">
        <f>IF(H53="","",IF(I53&lt;&gt;"",IF(I53-H53&lt;30,"No","Sí"),IF(TODAY()-H53&gt;=30,"Sí","En curso")))</f>
        <v>En curso</v>
      </c>
      <c r="Q53" s="11" t="str">
        <f>IF(H53="","",IF(I53&lt;&gt;"",IF(I53-H53&lt;60,"No","Sí"),IF(TODAY()-H53&gt;=60,"Sí","En curso")))</f>
        <v>En curso</v>
      </c>
      <c r="R53" s="11" t="str">
        <f>IF(H53="","",IF(I53&lt;&gt;"","Baja",IF(AND(TODAY()-H53&gt;=7,J53=""),"Falta check-in semana 1",IF(AND(TODAY()-H53&gt;=21,L53=""),"Falta check-in semana 3",""))))</f>
        <v>Falta check-in semana 1</v>
      </c>
    </row>
    <row r="54">
      <c r="A54" s="7" t="inlineStr">
        <is>
          <t>RRC205</t>
        </is>
      </c>
      <c r="B54" s="7" t="inlineStr">
        <is>
          <t>Ramon Francisco Rueda Cruz</t>
        </is>
      </c>
      <c r="C54" s="7" t="inlineStr">
        <is>
          <t>Junior</t>
        </is>
      </c>
      <c r="D54" s="7" t="inlineStr">
        <is>
          <t>Inglés</t>
        </is>
      </c>
      <c r="E54" s="7"/>
      <c r="F54" s="15">
        <v>750.0</v>
      </c>
      <c r="G54" s="7" t="inlineStr">
        <is>
          <t>Facebook</t>
        </is>
      </c>
      <c r="H54" s="14">
        <v>46308</v>
      </c>
      <c r="I54" s="14"/>
      <c r="J54" s="14"/>
      <c r="K54" s="7"/>
      <c r="L54" s="14"/>
      <c r="M54" s="7"/>
      <c r="N54" s="7"/>
      <c r="O54" s="11">
        <f>IF(H54="","",IF(I54&lt;&gt;"",I54,TODAY())-H54)</f>
        <v>10</v>
      </c>
      <c r="P54" s="11" t="str">
        <f>IF(H54="","",IF(I54&lt;&gt;"",IF(I54-H54&lt;30,"No","Sí"),IF(TODAY()-H54&gt;=30,"Sí","En curso")))</f>
        <v>En curso</v>
      </c>
      <c r="Q54" s="11" t="str">
        <f>IF(H54="","",IF(I54&lt;&gt;"",IF(I54-H54&lt;60,"No","Sí"),IF(TODAY()-H54&gt;=60,"Sí","En curso")))</f>
        <v>En curso</v>
      </c>
      <c r="R54" s="11" t="str">
        <f>IF(H54="","",IF(I54&lt;&gt;"","Baja",IF(AND(TODAY()-H54&gt;=7,J54=""),"Falta check-in semana 1",IF(AND(TODAY()-H54&gt;=21,L54=""),"Falta check-in semana 3",""))))</f>
        <v>Falta check-in semana 1</v>
      </c>
    </row>
    <row r="55">
      <c r="A55" s="7" t="inlineStr">
        <is>
          <t>SMV209</t>
        </is>
      </c>
      <c r="B55" s="7" t="inlineStr">
        <is>
          <t>Santiago Mercado Vazquez</t>
        </is>
      </c>
      <c r="C55" s="7" t="inlineStr">
        <is>
          <t>Junior</t>
        </is>
      </c>
      <c r="D55" s="7" t="inlineStr">
        <is>
          <t>Inglés</t>
        </is>
      </c>
      <c r="E55" s="7"/>
      <c r="F55" s="15">
        <v>800.0</v>
      </c>
      <c r="G55" s="7" t="inlineStr">
        <is>
          <t>Facebook</t>
        </is>
      </c>
      <c r="H55" s="14">
        <v>46309</v>
      </c>
      <c r="I55" s="14"/>
      <c r="J55" s="14"/>
      <c r="K55" s="7"/>
      <c r="L55" s="14"/>
      <c r="M55" s="7"/>
      <c r="N55" s="7"/>
      <c r="O55" s="11">
        <f>IF(H55="","",IF(I55&lt;&gt;"",I55,TODAY())-H55)</f>
        <v>9</v>
      </c>
      <c r="P55" s="11" t="str">
        <f>IF(H55="","",IF(I55&lt;&gt;"",IF(I55-H55&lt;30,"No","Sí"),IF(TODAY()-H55&gt;=30,"Sí","En curso")))</f>
        <v>En curso</v>
      </c>
      <c r="Q55" s="11" t="str">
        <f>IF(H55="","",IF(I55&lt;&gt;"",IF(I55-H55&lt;60,"No","Sí"),IF(TODAY()-H55&gt;=60,"Sí","En curso")))</f>
        <v>En curso</v>
      </c>
      <c r="R55" s="11" t="str">
        <f>IF(H55="","",IF(I55&lt;&gt;"","Baja",IF(AND(TODAY()-H55&gt;=7,J55=""),"Falta check-in semana 1",IF(AND(TODAY()-H55&gt;=21,L55=""),"Falta check-in semana 3",""))))</f>
        <v>Falta check-in semana 1</v>
      </c>
    </row>
    <row r="56">
      <c r="A56" s="7" t="inlineStr">
        <is>
          <t>SMV209F</t>
        </is>
      </c>
      <c r="B56" s="7" t="inlineStr">
        <is>
          <t>Santiago Mercado Vazquez</t>
        </is>
      </c>
      <c r="C56" s="7" t="inlineStr">
        <is>
          <t>Junior</t>
        </is>
      </c>
      <c r="D56" s="7" t="inlineStr">
        <is>
          <t>Francés</t>
        </is>
      </c>
      <c r="E56" s="7"/>
      <c r="F56" s="15">
        <v>200.0</v>
      </c>
      <c r="G56" s="7" t="inlineStr">
        <is>
          <t>Facebook</t>
        </is>
      </c>
      <c r="H56" s="14">
        <v>46309</v>
      </c>
      <c r="I56" s="14"/>
      <c r="J56" s="14"/>
      <c r="K56" s="7"/>
      <c r="L56" s="14"/>
      <c r="M56" s="7"/>
      <c r="N56" s="7"/>
      <c r="O56" s="11">
        <f>IF(H56="","",IF(I56&lt;&gt;"",I56,TODAY())-H56)</f>
        <v>9</v>
      </c>
      <c r="P56" s="11" t="str">
        <f>IF(H56="","",IF(I56&lt;&gt;"",IF(I56-H56&lt;30,"No","Sí"),IF(TODAY()-H56&gt;=30,"Sí","En curso")))</f>
        <v>En curso</v>
      </c>
      <c r="Q56" s="11" t="str">
        <f>IF(H56="","",IF(I56&lt;&gt;"",IF(I56-H56&lt;60,"No","Sí"),IF(TODAY()-H56&gt;=60,"Sí","En curso")))</f>
        <v>En curso</v>
      </c>
      <c r="R56" s="11" t="str">
        <f>IF(H56="","",IF(I56&lt;&gt;"","Baja",IF(AND(TODAY()-H56&gt;=7,J56=""),"Falta check-in semana 1",IF(AND(TODAY()-H56&gt;=21,L56=""),"Falta check-in semana 3",""))))</f>
        <v>Falta check-in semana 1</v>
      </c>
    </row>
    <row r="57">
      <c r="A57" s="7" t="inlineStr">
        <is>
          <t>EHO210</t>
        </is>
      </c>
      <c r="B57" s="7" t="inlineStr">
        <is>
          <t>Eduardo Hernández Ortiz</t>
        </is>
      </c>
      <c r="C57" s="7" t="inlineStr">
        <is>
          <t>College</t>
        </is>
      </c>
      <c r="D57" s="7" t="inlineStr">
        <is>
          <t>Inglés</t>
        </is>
      </c>
      <c r="E57" s="7"/>
      <c r="F57" s="15">
        <v>800.0</v>
      </c>
      <c r="G57" s="7" t="inlineStr">
        <is>
          <t>Facebook</t>
        </is>
      </c>
      <c r="H57" s="14">
        <v>46310</v>
      </c>
      <c r="I57" s="14"/>
      <c r="J57" s="14"/>
      <c r="K57" s="7"/>
      <c r="L57" s="14"/>
      <c r="M57" s="7"/>
      <c r="N57" s="7"/>
      <c r="O57" s="11">
        <f>IF(H57="","",IF(I57&lt;&gt;"",I57,TODAY())-H57)</f>
        <v>8</v>
      </c>
      <c r="P57" s="11" t="str">
        <f>IF(H57="","",IF(I57&lt;&gt;"",IF(I57-H57&lt;30,"No","Sí"),IF(TODAY()-H57&gt;=30,"Sí","En curso")))</f>
        <v>En curso</v>
      </c>
      <c r="Q57" s="11" t="str">
        <f>IF(H57="","",IF(I57&lt;&gt;"",IF(I57-H57&lt;60,"No","Sí"),IF(TODAY()-H57&gt;=60,"Sí","En curso")))</f>
        <v>En curso</v>
      </c>
      <c r="R57" s="11" t="str">
        <f>IF(H57="","",IF(I57&lt;&gt;"","Baja",IF(AND(TODAY()-H57&gt;=7,J57=""),"Falta check-in semana 1",IF(AND(TODAY()-H57&gt;=21,L57=""),"Falta check-in semana 3",""))))</f>
        <v>Falta check-in semana 1</v>
      </c>
    </row>
    <row r="58">
      <c r="A58" s="7"/>
      <c r="B58" s="7"/>
      <c r="C58" s="7"/>
      <c r="D58" s="7"/>
      <c r="E58" s="7"/>
      <c r="F58" s="15"/>
      <c r="G58" s="7"/>
      <c r="H58" s="14"/>
      <c r="I58" s="14"/>
      <c r="J58" s="14"/>
      <c r="K58" s="7"/>
      <c r="L58" s="14"/>
      <c r="M58" s="7"/>
      <c r="N58" s="7"/>
      <c r="O58" s="11" t="str">
        <f>IF(H58="","",IF(I58&lt;&gt;"",I58,TODAY())-H58)</f>
        <v/>
      </c>
      <c r="P58" s="11" t="str">
        <f>IF(H58="","",IF(I58&lt;&gt;"",IF(I58-H58&lt;30,"No","Sí"),IF(TODAY()-H58&gt;=30,"Sí","En curso")))</f>
        <v/>
      </c>
      <c r="Q58" s="11" t="str">
        <f>IF(H58="","",IF(I58&lt;&gt;"",IF(I58-H58&lt;60,"No","Sí"),IF(TODAY()-H58&gt;=60,"Sí","En curso")))</f>
        <v/>
      </c>
      <c r="R58" s="11" t="str">
        <f>IF(H58="","",IF(I58&lt;&gt;"","Baja",IF(AND(TODAY()-H58&gt;=7,J58=""),"Falta check-in semana 1",IF(AND(TODAY()-H58&gt;=21,L58=""),"Falta check-in semana 3",""))))</f>
        <v/>
      </c>
    </row>
    <row r="59">
      <c r="A59" s="7"/>
      <c r="B59" s="7"/>
      <c r="C59" s="7"/>
      <c r="D59" s="7"/>
      <c r="E59" s="7"/>
      <c r="F59" s="15"/>
      <c r="G59" s="7"/>
      <c r="H59" s="14"/>
      <c r="I59" s="14"/>
      <c r="J59" s="14"/>
      <c r="K59" s="7"/>
      <c r="L59" s="14"/>
      <c r="M59" s="7"/>
      <c r="N59" s="7"/>
      <c r="O59" s="11" t="str">
        <f>IF(H59="","",IF(I59&lt;&gt;"",I59,TODAY())-H59)</f>
        <v/>
      </c>
      <c r="P59" s="11" t="str">
        <f>IF(H59="","",IF(I59&lt;&gt;"",IF(I59-H59&lt;30,"No","Sí"),IF(TODAY()-H59&gt;=30,"Sí","En curso")))</f>
        <v/>
      </c>
      <c r="Q59" s="11" t="str">
        <f>IF(H59="","",IF(I59&lt;&gt;"",IF(I59-H59&lt;60,"No","Sí"),IF(TODAY()-H59&gt;=60,"Sí","En curso")))</f>
        <v/>
      </c>
      <c r="R59" s="11" t="str">
        <f>IF(H59="","",IF(I59&lt;&gt;"","Baja",IF(AND(TODAY()-H59&gt;=7,J59=""),"Falta check-in semana 1",IF(AND(TODAY()-H59&gt;=21,L59=""),"Falta check-in semana 3",""))))</f>
        <v/>
      </c>
    </row>
    <row r="60">
      <c r="A60" s="7"/>
      <c r="B60" s="7"/>
      <c r="C60" s="7"/>
      <c r="D60" s="7"/>
      <c r="E60" s="7"/>
      <c r="F60" s="15"/>
      <c r="G60" s="7"/>
      <c r="H60" s="14"/>
      <c r="I60" s="14"/>
      <c r="J60" s="14"/>
      <c r="K60" s="7"/>
      <c r="L60" s="14"/>
      <c r="M60" s="7"/>
      <c r="N60" s="7"/>
      <c r="O60" s="11" t="str">
        <f>IF(H60="","",IF(I60&lt;&gt;"",I60,TODAY())-H60)</f>
        <v/>
      </c>
      <c r="P60" s="11" t="str">
        <f>IF(H60="","",IF(I60&lt;&gt;"",IF(I60-H60&lt;30,"No","Sí"),IF(TODAY()-H60&gt;=30,"Sí","En curso")))</f>
        <v/>
      </c>
      <c r="Q60" s="11" t="str">
        <f>IF(H60="","",IF(I60&lt;&gt;"",IF(I60-H60&lt;60,"No","Sí"),IF(TODAY()-H60&gt;=60,"Sí","En curso")))</f>
        <v/>
      </c>
      <c r="R60" s="11" t="str">
        <f>IF(H60="","",IF(I60&lt;&gt;"","Baja",IF(AND(TODAY()-H60&gt;=7,J60=""),"Falta check-in semana 1",IF(AND(TODAY()-H60&gt;=21,L60=""),"Falta check-in semana 3",""))))</f>
        <v/>
      </c>
    </row>
    <row r="61">
      <c r="A61" s="7"/>
      <c r="B61" s="7"/>
      <c r="C61" s="7"/>
      <c r="D61" s="7"/>
      <c r="E61" s="7"/>
      <c r="F61" s="15"/>
      <c r="G61" s="7"/>
      <c r="H61" s="14"/>
      <c r="I61" s="14"/>
      <c r="J61" s="14"/>
      <c r="K61" s="7"/>
      <c r="L61" s="14"/>
      <c r="M61" s="7"/>
      <c r="N61" s="7"/>
      <c r="O61" s="11" t="str">
        <f>IF(H61="","",IF(I61&lt;&gt;"",I61,TODAY())-H61)</f>
        <v/>
      </c>
      <c r="P61" s="11" t="str">
        <f>IF(H61="","",IF(I61&lt;&gt;"",IF(I61-H61&lt;30,"No","Sí"),IF(TODAY()-H61&gt;=30,"Sí","En curso")))</f>
        <v/>
      </c>
      <c r="Q61" s="11" t="str">
        <f>IF(H61="","",IF(I61&lt;&gt;"",IF(I61-H61&lt;60,"No","Sí"),IF(TODAY()-H61&gt;=60,"Sí","En curso")))</f>
        <v/>
      </c>
      <c r="R61" s="11" t="str">
        <f>IF(H61="","",IF(I61&lt;&gt;"","Baja",IF(AND(TODAY()-H61&gt;=7,J61=""),"Falta check-in semana 1",IF(AND(TODAY()-H61&gt;=21,L61=""),"Falta check-in semana 3",""))))</f>
        <v/>
      </c>
    </row>
    <row r="62">
      <c r="A62" s="7"/>
      <c r="B62" s="7"/>
      <c r="C62" s="7"/>
      <c r="D62" s="7"/>
      <c r="E62" s="7"/>
      <c r="F62" s="15"/>
      <c r="G62" s="7"/>
      <c r="H62" s="14"/>
      <c r="I62" s="14"/>
      <c r="J62" s="14"/>
      <c r="K62" s="7"/>
      <c r="L62" s="14"/>
      <c r="M62" s="7"/>
      <c r="N62" s="7"/>
      <c r="O62" s="11" t="str">
        <f>IF(H62="","",IF(I62&lt;&gt;"",I62,TODAY())-H62)</f>
        <v/>
      </c>
      <c r="P62" s="11" t="str">
        <f>IF(H62="","",IF(I62&lt;&gt;"",IF(I62-H62&lt;30,"No","Sí"),IF(TODAY()-H62&gt;=30,"Sí","En curso")))</f>
        <v/>
      </c>
      <c r="Q62" s="11" t="str">
        <f>IF(H62="","",IF(I62&lt;&gt;"",IF(I62-H62&lt;60,"No","Sí"),IF(TODAY()-H62&gt;=60,"Sí","En curso")))</f>
        <v/>
      </c>
      <c r="R62" s="11" t="str">
        <f>IF(H62="","",IF(I62&lt;&gt;"","Baja",IF(AND(TODAY()-H62&gt;=7,J62=""),"Falta check-in semana 1",IF(AND(TODAY()-H62&gt;=21,L62=""),"Falta check-in semana 3",""))))</f>
        <v/>
      </c>
    </row>
    <row r="63">
      <c r="A63" s="7"/>
      <c r="B63" s="7"/>
      <c r="C63" s="7"/>
      <c r="D63" s="7"/>
      <c r="E63" s="7"/>
      <c r="F63" s="15"/>
      <c r="G63" s="7"/>
      <c r="H63" s="14"/>
      <c r="I63" s="14"/>
      <c r="J63" s="14"/>
      <c r="K63" s="7"/>
      <c r="L63" s="14"/>
      <c r="M63" s="7"/>
      <c r="N63" s="7"/>
      <c r="O63" s="11" t="str">
        <f>IF(H63="","",IF(I63&lt;&gt;"",I63,TODAY())-H63)</f>
        <v/>
      </c>
      <c r="P63" s="11" t="str">
        <f>IF(H63="","",IF(I63&lt;&gt;"",IF(I63-H63&lt;30,"No","Sí"),IF(TODAY()-H63&gt;=30,"Sí","En curso")))</f>
        <v/>
      </c>
      <c r="Q63" s="11" t="str">
        <f>IF(H63="","",IF(I63&lt;&gt;"",IF(I63-H63&lt;60,"No","Sí"),IF(TODAY()-H63&gt;=60,"Sí","En curso")))</f>
        <v/>
      </c>
      <c r="R63" s="11" t="str">
        <f>IF(H63="","",IF(I63&lt;&gt;"","Baja",IF(AND(TODAY()-H63&gt;=7,J63=""),"Falta check-in semana 1",IF(AND(TODAY()-H63&gt;=21,L63=""),"Falta check-in semana 3",""))))</f>
        <v/>
      </c>
    </row>
    <row r="64">
      <c r="A64" s="7"/>
      <c r="B64" s="7"/>
      <c r="C64" s="7"/>
      <c r="D64" s="7"/>
      <c r="E64" s="7"/>
      <c r="F64" s="15"/>
      <c r="G64" s="7"/>
      <c r="H64" s="14"/>
      <c r="I64" s="14"/>
      <c r="J64" s="14"/>
      <c r="K64" s="7"/>
      <c r="L64" s="14"/>
      <c r="M64" s="7"/>
      <c r="N64" s="7"/>
      <c r="O64" s="11" t="str">
        <f>IF(H64="","",IF(I64&lt;&gt;"",I64,TODAY())-H64)</f>
        <v/>
      </c>
      <c r="P64" s="11" t="str">
        <f>IF(H64="","",IF(I64&lt;&gt;"",IF(I64-H64&lt;30,"No","Sí"),IF(TODAY()-H64&gt;=30,"Sí","En curso")))</f>
        <v/>
      </c>
      <c r="Q64" s="11" t="str">
        <f>IF(H64="","",IF(I64&lt;&gt;"",IF(I64-H64&lt;60,"No","Sí"),IF(TODAY()-H64&gt;=60,"Sí","En curso")))</f>
        <v/>
      </c>
      <c r="R64" s="11" t="str">
        <f>IF(H64="","",IF(I64&lt;&gt;"","Baja",IF(AND(TODAY()-H64&gt;=7,J64=""),"Falta check-in semana 1",IF(AND(TODAY()-H64&gt;=21,L64=""),"Falta check-in semana 3",""))))</f>
        <v/>
      </c>
    </row>
    <row r="65">
      <c r="A65" s="7"/>
      <c r="B65" s="7"/>
      <c r="C65" s="7"/>
      <c r="D65" s="7"/>
      <c r="E65" s="7"/>
      <c r="F65" s="15"/>
      <c r="G65" s="7"/>
      <c r="H65" s="14"/>
      <c r="I65" s="14"/>
      <c r="J65" s="14"/>
      <c r="K65" s="7"/>
      <c r="L65" s="14"/>
      <c r="M65" s="7"/>
      <c r="N65" s="7"/>
      <c r="O65" s="11" t="str">
        <f>IF(H65="","",IF(I65&lt;&gt;"",I65,TODAY())-H65)</f>
        <v/>
      </c>
      <c r="P65" s="11" t="str">
        <f>IF(H65="","",IF(I65&lt;&gt;"",IF(I65-H65&lt;30,"No","Sí"),IF(TODAY()-H65&gt;=30,"Sí","En curso")))</f>
        <v/>
      </c>
      <c r="Q65" s="11" t="str">
        <f>IF(H65="","",IF(I65&lt;&gt;"",IF(I65-H65&lt;60,"No","Sí"),IF(TODAY()-H65&gt;=60,"Sí","En curso")))</f>
        <v/>
      </c>
      <c r="R65" s="11" t="str">
        <f>IF(H65="","",IF(I65&lt;&gt;"","Baja",IF(AND(TODAY()-H65&gt;=7,J65=""),"Falta check-in semana 1",IF(AND(TODAY()-H65&gt;=21,L65=""),"Falta check-in semana 3",""))))</f>
        <v/>
      </c>
    </row>
    <row r="66">
      <c r="A66" s="7"/>
      <c r="B66" s="7"/>
      <c r="C66" s="7"/>
      <c r="D66" s="7"/>
      <c r="E66" s="7"/>
      <c r="F66" s="15"/>
      <c r="G66" s="7"/>
      <c r="H66" s="14"/>
      <c r="I66" s="14"/>
      <c r="J66" s="14"/>
      <c r="K66" s="7"/>
      <c r="L66" s="14"/>
      <c r="M66" s="7"/>
      <c r="N66" s="7"/>
      <c r="O66" s="11" t="str">
        <f>IF(H66="","",IF(I66&lt;&gt;"",I66,TODAY())-H66)</f>
        <v/>
      </c>
      <c r="P66" s="11" t="str">
        <f>IF(H66="","",IF(I66&lt;&gt;"",IF(I66-H66&lt;30,"No","Sí"),IF(TODAY()-H66&gt;=30,"Sí","En curso")))</f>
        <v/>
      </c>
      <c r="Q66" s="11" t="str">
        <f>IF(H66="","",IF(I66&lt;&gt;"",IF(I66-H66&lt;60,"No","Sí"),IF(TODAY()-H66&gt;=60,"Sí","En curso")))</f>
        <v/>
      </c>
      <c r="R66" s="11" t="str">
        <f>IF(H66="","",IF(I66&lt;&gt;"","Baja",IF(AND(TODAY()-H66&gt;=7,J66=""),"Falta check-in semana 1",IF(AND(TODAY()-H66&gt;=21,L66=""),"Falta check-in semana 3",""))))</f>
        <v/>
      </c>
    </row>
    <row r="67">
      <c r="A67" s="7"/>
      <c r="B67" s="7"/>
      <c r="C67" s="7"/>
      <c r="D67" s="7"/>
      <c r="E67" s="7"/>
      <c r="F67" s="15"/>
      <c r="G67" s="7"/>
      <c r="H67" s="14"/>
      <c r="I67" s="14"/>
      <c r="J67" s="14"/>
      <c r="K67" s="7"/>
      <c r="L67" s="14"/>
      <c r="M67" s="7"/>
      <c r="N67" s="7"/>
      <c r="O67" s="11" t="str">
        <f>IF(H67="","",IF(I67&lt;&gt;"",I67,TODAY())-H67)</f>
        <v/>
      </c>
      <c r="P67" s="11" t="str">
        <f>IF(H67="","",IF(I67&lt;&gt;"",IF(I67-H67&lt;30,"No","Sí"),IF(TODAY()-H67&gt;=30,"Sí","En curso")))</f>
        <v/>
      </c>
      <c r="Q67" s="11" t="str">
        <f>IF(H67="","",IF(I67&lt;&gt;"",IF(I67-H67&lt;60,"No","Sí"),IF(TODAY()-H67&gt;=60,"Sí","En curso")))</f>
        <v/>
      </c>
      <c r="R67" s="11" t="str">
        <f>IF(H67="","",IF(I67&lt;&gt;"","Baja",IF(AND(TODAY()-H67&gt;=7,J67=""),"Falta check-in semana 1",IF(AND(TODAY()-H67&gt;=21,L67=""),"Falta check-in semana 3",""))))</f>
        <v/>
      </c>
    </row>
    <row r="68">
      <c r="A68" s="7"/>
      <c r="B68" s="7"/>
      <c r="C68" s="7"/>
      <c r="D68" s="7"/>
      <c r="E68" s="7"/>
      <c r="F68" s="15"/>
      <c r="G68" s="7"/>
      <c r="H68" s="14"/>
      <c r="I68" s="14"/>
      <c r="J68" s="14"/>
      <c r="K68" s="7"/>
      <c r="L68" s="14"/>
      <c r="M68" s="7"/>
      <c r="N68" s="7"/>
      <c r="O68" s="11" t="str">
        <f>IF(H68="","",IF(I68&lt;&gt;"",I68,TODAY())-H68)</f>
        <v/>
      </c>
      <c r="P68" s="11" t="str">
        <f>IF(H68="","",IF(I68&lt;&gt;"",IF(I68-H68&lt;30,"No","Sí"),IF(TODAY()-H68&gt;=30,"Sí","En curso")))</f>
        <v/>
      </c>
      <c r="Q68" s="11" t="str">
        <f>IF(H68="","",IF(I68&lt;&gt;"",IF(I68-H68&lt;60,"No","Sí"),IF(TODAY()-H68&gt;=60,"Sí","En curso")))</f>
        <v/>
      </c>
      <c r="R68" s="11" t="str">
        <f>IF(H68="","",IF(I68&lt;&gt;"","Baja",IF(AND(TODAY()-H68&gt;=7,J68=""),"Falta check-in semana 1",IF(AND(TODAY()-H68&gt;=21,L68=""),"Falta check-in semana 3",""))))</f>
        <v/>
      </c>
    </row>
    <row r="69">
      <c r="A69" s="7"/>
      <c r="B69" s="7"/>
      <c r="C69" s="7"/>
      <c r="D69" s="7"/>
      <c r="E69" s="7"/>
      <c r="F69" s="15"/>
      <c r="G69" s="7"/>
      <c r="H69" s="14"/>
      <c r="I69" s="14"/>
      <c r="J69" s="14"/>
      <c r="K69" s="7"/>
      <c r="L69" s="14"/>
      <c r="M69" s="7"/>
      <c r="N69" s="7"/>
      <c r="O69" s="11" t="str">
        <f>IF(H69="","",IF(I69&lt;&gt;"",I69,TODAY())-H69)</f>
        <v/>
      </c>
      <c r="P69" s="11" t="str">
        <f>IF(H69="","",IF(I69&lt;&gt;"",IF(I69-H69&lt;30,"No","Sí"),IF(TODAY()-H69&gt;=30,"Sí","En curso")))</f>
        <v/>
      </c>
      <c r="Q69" s="11" t="str">
        <f>IF(H69="","",IF(I69&lt;&gt;"",IF(I69-H69&lt;60,"No","Sí"),IF(TODAY()-H69&gt;=60,"Sí","En curso")))</f>
        <v/>
      </c>
      <c r="R69" s="11" t="str">
        <f>IF(H69="","",IF(I69&lt;&gt;"","Baja",IF(AND(TODAY()-H69&gt;=7,J69=""),"Falta check-in semana 1",IF(AND(TODAY()-H69&gt;=21,L69=""),"Falta check-in semana 3",""))))</f>
        <v/>
      </c>
    </row>
    <row r="70">
      <c r="A70" s="7"/>
      <c r="B70" s="7"/>
      <c r="C70" s="7"/>
      <c r="D70" s="7"/>
      <c r="E70" s="7"/>
      <c r="F70" s="15"/>
      <c r="G70" s="7"/>
      <c r="H70" s="14"/>
      <c r="I70" s="14"/>
      <c r="J70" s="14"/>
      <c r="K70" s="7"/>
      <c r="L70" s="14"/>
      <c r="M70" s="7"/>
      <c r="N70" s="7"/>
      <c r="O70" s="11" t="str">
        <f>IF(H70="","",IF(I70&lt;&gt;"",I70,TODAY())-H70)</f>
        <v/>
      </c>
      <c r="P70" s="11" t="str">
        <f>IF(H70="","",IF(I70&lt;&gt;"",IF(I70-H70&lt;30,"No","Sí"),IF(TODAY()-H70&gt;=30,"Sí","En curso")))</f>
        <v/>
      </c>
      <c r="Q70" s="11" t="str">
        <f>IF(H70="","",IF(I70&lt;&gt;"",IF(I70-H70&lt;60,"No","Sí"),IF(TODAY()-H70&gt;=60,"Sí","En curso")))</f>
        <v/>
      </c>
      <c r="R70" s="11" t="str">
        <f>IF(H70="","",IF(I70&lt;&gt;"","Baja",IF(AND(TODAY()-H70&gt;=7,J70=""),"Falta check-in semana 1",IF(AND(TODAY()-H70&gt;=21,L70=""),"Falta check-in semana 3",""))))</f>
        <v/>
      </c>
    </row>
    <row r="71">
      <c r="A71" s="7"/>
      <c r="B71" s="7"/>
      <c r="C71" s="7"/>
      <c r="D71" s="7"/>
      <c r="E71" s="7"/>
      <c r="F71" s="15"/>
      <c r="G71" s="7"/>
      <c r="H71" s="14"/>
      <c r="I71" s="14"/>
      <c r="J71" s="14"/>
      <c r="K71" s="7"/>
      <c r="L71" s="14"/>
      <c r="M71" s="7"/>
      <c r="N71" s="7"/>
      <c r="O71" s="11" t="str">
        <f>IF(H71="","",IF(I71&lt;&gt;"",I71,TODAY())-H71)</f>
        <v/>
      </c>
      <c r="P71" s="11" t="str">
        <f>IF(H71="","",IF(I71&lt;&gt;"",IF(I71-H71&lt;30,"No","Sí"),IF(TODAY()-H71&gt;=30,"Sí","En curso")))</f>
        <v/>
      </c>
      <c r="Q71" s="11" t="str">
        <f>IF(H71="","",IF(I71&lt;&gt;"",IF(I71-H71&lt;60,"No","Sí"),IF(TODAY()-H71&gt;=60,"Sí","En curso")))</f>
        <v/>
      </c>
      <c r="R71" s="11" t="str">
        <f>IF(H71="","",IF(I71&lt;&gt;"","Baja",IF(AND(TODAY()-H71&gt;=7,J71=""),"Falta check-in semana 1",IF(AND(TODAY()-H71&gt;=21,L71=""),"Falta check-in semana 3",""))))</f>
        <v/>
      </c>
    </row>
    <row r="72">
      <c r="A72" s="7"/>
      <c r="B72" s="7"/>
      <c r="C72" s="7"/>
      <c r="D72" s="7"/>
      <c r="E72" s="7"/>
      <c r="F72" s="15"/>
      <c r="G72" s="7"/>
      <c r="H72" s="14"/>
      <c r="I72" s="14"/>
      <c r="J72" s="14"/>
      <c r="K72" s="7"/>
      <c r="L72" s="14"/>
      <c r="M72" s="7"/>
      <c r="N72" s="7"/>
      <c r="O72" s="11" t="str">
        <f>IF(H72="","",IF(I72&lt;&gt;"",I72,TODAY())-H72)</f>
        <v/>
      </c>
      <c r="P72" s="11" t="str">
        <f>IF(H72="","",IF(I72&lt;&gt;"",IF(I72-H72&lt;30,"No","Sí"),IF(TODAY()-H72&gt;=30,"Sí","En curso")))</f>
        <v/>
      </c>
      <c r="Q72" s="11" t="str">
        <f>IF(H72="","",IF(I72&lt;&gt;"",IF(I72-H72&lt;60,"No","Sí"),IF(TODAY()-H72&gt;=60,"Sí","En curso")))</f>
        <v/>
      </c>
      <c r="R72" s="11" t="str">
        <f>IF(H72="","",IF(I72&lt;&gt;"","Baja",IF(AND(TODAY()-H72&gt;=7,J72=""),"Falta check-in semana 1",IF(AND(TODAY()-H72&gt;=21,L72=""),"Falta check-in semana 3",""))))</f>
        <v/>
      </c>
    </row>
    <row r="73">
      <c r="A73" s="7"/>
      <c r="B73" s="7"/>
      <c r="C73" s="7"/>
      <c r="D73" s="7"/>
      <c r="E73" s="7"/>
      <c r="F73" s="15"/>
      <c r="G73" s="7"/>
      <c r="H73" s="14"/>
      <c r="I73" s="14"/>
      <c r="J73" s="14"/>
      <c r="K73" s="7"/>
      <c r="L73" s="14"/>
      <c r="M73" s="7"/>
      <c r="N73" s="7"/>
      <c r="O73" s="11" t="str">
        <f>IF(H73="","",IF(I73&lt;&gt;"",I73,TODAY())-H73)</f>
        <v/>
      </c>
      <c r="P73" s="11" t="str">
        <f>IF(H73="","",IF(I73&lt;&gt;"",IF(I73-H73&lt;30,"No","Sí"),IF(TODAY()-H73&gt;=30,"Sí","En curso")))</f>
        <v/>
      </c>
      <c r="Q73" s="11" t="str">
        <f>IF(H73="","",IF(I73&lt;&gt;"",IF(I73-H73&lt;60,"No","Sí"),IF(TODAY()-H73&gt;=60,"Sí","En curso")))</f>
        <v/>
      </c>
      <c r="R73" s="11" t="str">
        <f>IF(H73="","",IF(I73&lt;&gt;"","Baja",IF(AND(TODAY()-H73&gt;=7,J73=""),"Falta check-in semana 1",IF(AND(TODAY()-H73&gt;=21,L73=""),"Falta check-in semana 3",""))))</f>
        <v/>
      </c>
    </row>
    <row r="74">
      <c r="A74" s="7"/>
      <c r="B74" s="7"/>
      <c r="C74" s="7"/>
      <c r="D74" s="7"/>
      <c r="E74" s="7"/>
      <c r="F74" s="15"/>
      <c r="G74" s="7"/>
      <c r="H74" s="14"/>
      <c r="I74" s="14"/>
      <c r="J74" s="14"/>
      <c r="K74" s="7"/>
      <c r="L74" s="14"/>
      <c r="M74" s="7"/>
      <c r="N74" s="7"/>
      <c r="O74" s="11" t="str">
        <f>IF(H74="","",IF(I74&lt;&gt;"",I74,TODAY())-H74)</f>
        <v/>
      </c>
      <c r="P74" s="11" t="str">
        <f>IF(H74="","",IF(I74&lt;&gt;"",IF(I74-H74&lt;30,"No","Sí"),IF(TODAY()-H74&gt;=30,"Sí","En curso")))</f>
        <v/>
      </c>
      <c r="Q74" s="11" t="str">
        <f>IF(H74="","",IF(I74&lt;&gt;"",IF(I74-H74&lt;60,"No","Sí"),IF(TODAY()-H74&gt;=60,"Sí","En curso")))</f>
        <v/>
      </c>
      <c r="R74" s="11" t="str">
        <f>IF(H74="","",IF(I74&lt;&gt;"","Baja",IF(AND(TODAY()-H74&gt;=7,J74=""),"Falta check-in semana 1",IF(AND(TODAY()-H74&gt;=21,L74=""),"Falta check-in semana 3",""))))</f>
        <v/>
      </c>
    </row>
    <row r="75">
      <c r="A75" s="7"/>
      <c r="B75" s="7"/>
      <c r="C75" s="7"/>
      <c r="D75" s="7"/>
      <c r="E75" s="7"/>
      <c r="F75" s="15"/>
      <c r="G75" s="7"/>
      <c r="H75" s="14"/>
      <c r="I75" s="14"/>
      <c r="J75" s="14"/>
      <c r="K75" s="7"/>
      <c r="L75" s="14"/>
      <c r="M75" s="7"/>
      <c r="N75" s="7"/>
      <c r="O75" s="11" t="str">
        <f>IF(H75="","",IF(I75&lt;&gt;"",I75,TODAY())-H75)</f>
        <v/>
      </c>
      <c r="P75" s="11" t="str">
        <f>IF(H75="","",IF(I75&lt;&gt;"",IF(I75-H75&lt;30,"No","Sí"),IF(TODAY()-H75&gt;=30,"Sí","En curso")))</f>
        <v/>
      </c>
      <c r="Q75" s="11" t="str">
        <f>IF(H75="","",IF(I75&lt;&gt;"",IF(I75-H75&lt;60,"No","Sí"),IF(TODAY()-H75&gt;=60,"Sí","En curso")))</f>
        <v/>
      </c>
      <c r="R75" s="11" t="str">
        <f>IF(H75="","",IF(I75&lt;&gt;"","Baja",IF(AND(TODAY()-H75&gt;=7,J75=""),"Falta check-in semana 1",IF(AND(TODAY()-H75&gt;=21,L75=""),"Falta check-in semana 3",""))))</f>
        <v/>
      </c>
    </row>
    <row r="76">
      <c r="A76" s="7"/>
      <c r="B76" s="7"/>
      <c r="C76" s="7"/>
      <c r="D76" s="7"/>
      <c r="E76" s="7"/>
      <c r="F76" s="15"/>
      <c r="G76" s="7"/>
      <c r="H76" s="14"/>
      <c r="I76" s="14"/>
      <c r="J76" s="14"/>
      <c r="K76" s="7"/>
      <c r="L76" s="14"/>
      <c r="M76" s="7"/>
      <c r="N76" s="7"/>
      <c r="O76" s="11" t="str">
        <f>IF(H76="","",IF(I76&lt;&gt;"",I76,TODAY())-H76)</f>
        <v/>
      </c>
      <c r="P76" s="11" t="str">
        <f>IF(H76="","",IF(I76&lt;&gt;"",IF(I76-H76&lt;30,"No","Sí"),IF(TODAY()-H76&gt;=30,"Sí","En curso")))</f>
        <v/>
      </c>
      <c r="Q76" s="11" t="str">
        <f>IF(H76="","",IF(I76&lt;&gt;"",IF(I76-H76&lt;60,"No","Sí"),IF(TODAY()-H76&gt;=60,"Sí","En curso")))</f>
        <v/>
      </c>
      <c r="R76" s="11" t="str">
        <f>IF(H76="","",IF(I76&lt;&gt;"","Baja",IF(AND(TODAY()-H76&gt;=7,J76=""),"Falta check-in semana 1",IF(AND(TODAY()-H76&gt;=21,L76=""),"Falta check-in semana 3",""))))</f>
        <v/>
      </c>
    </row>
    <row r="77">
      <c r="A77" s="7"/>
      <c r="B77" s="7"/>
      <c r="C77" s="7"/>
      <c r="D77" s="7"/>
      <c r="E77" s="7"/>
      <c r="F77" s="15"/>
      <c r="G77" s="7"/>
      <c r="H77" s="14"/>
      <c r="I77" s="14"/>
      <c r="J77" s="14"/>
      <c r="K77" s="7"/>
      <c r="L77" s="14"/>
      <c r="M77" s="7"/>
      <c r="N77" s="7"/>
      <c r="O77" s="11" t="str">
        <f>IF(H77="","",IF(I77&lt;&gt;"",I77,TODAY())-H77)</f>
        <v/>
      </c>
      <c r="P77" s="11" t="str">
        <f>IF(H77="","",IF(I77&lt;&gt;"",IF(I77-H77&lt;30,"No","Sí"),IF(TODAY()-H77&gt;=30,"Sí","En curso")))</f>
        <v/>
      </c>
      <c r="Q77" s="11" t="str">
        <f>IF(H77="","",IF(I77&lt;&gt;"",IF(I77-H77&lt;60,"No","Sí"),IF(TODAY()-H77&gt;=60,"Sí","En curso")))</f>
        <v/>
      </c>
      <c r="R77" s="11" t="str">
        <f>IF(H77="","",IF(I77&lt;&gt;"","Baja",IF(AND(TODAY()-H77&gt;=7,J77=""),"Falta check-in semana 1",IF(AND(TODAY()-H77&gt;=21,L77=""),"Falta check-in semana 3",""))))</f>
        <v/>
      </c>
    </row>
    <row r="78">
      <c r="A78" s="7"/>
      <c r="B78" s="7"/>
      <c r="C78" s="7"/>
      <c r="D78" s="7"/>
      <c r="E78" s="7"/>
      <c r="F78" s="15"/>
      <c r="G78" s="7"/>
      <c r="H78" s="14"/>
      <c r="I78" s="14"/>
      <c r="J78" s="14"/>
      <c r="K78" s="7"/>
      <c r="L78" s="14"/>
      <c r="M78" s="7"/>
      <c r="N78" s="7"/>
      <c r="O78" s="11" t="str">
        <f>IF(H78="","",IF(I78&lt;&gt;"",I78,TODAY())-H78)</f>
        <v/>
      </c>
      <c r="P78" s="11" t="str">
        <f>IF(H78="","",IF(I78&lt;&gt;"",IF(I78-H78&lt;30,"No","Sí"),IF(TODAY()-H78&gt;=30,"Sí","En curso")))</f>
        <v/>
      </c>
      <c r="Q78" s="11" t="str">
        <f>IF(H78="","",IF(I78&lt;&gt;"",IF(I78-H78&lt;60,"No","Sí"),IF(TODAY()-H78&gt;=60,"Sí","En curso")))</f>
        <v/>
      </c>
      <c r="R78" s="11" t="str">
        <f>IF(H78="","",IF(I78&lt;&gt;"","Baja",IF(AND(TODAY()-H78&gt;=7,J78=""),"Falta check-in semana 1",IF(AND(TODAY()-H78&gt;=21,L78=""),"Falta check-in semana 3",""))))</f>
        <v/>
      </c>
    </row>
    <row r="79">
      <c r="A79" s="7"/>
      <c r="B79" s="7"/>
      <c r="C79" s="7"/>
      <c r="D79" s="7"/>
      <c r="E79" s="7"/>
      <c r="F79" s="15"/>
      <c r="G79" s="7"/>
      <c r="H79" s="14"/>
      <c r="I79" s="14"/>
      <c r="J79" s="14"/>
      <c r="K79" s="7"/>
      <c r="L79" s="14"/>
      <c r="M79" s="7"/>
      <c r="N79" s="7"/>
      <c r="O79" s="11" t="str">
        <f>IF(H79="","",IF(I79&lt;&gt;"",I79,TODAY())-H79)</f>
        <v/>
      </c>
      <c r="P79" s="11" t="str">
        <f>IF(H79="","",IF(I79&lt;&gt;"",IF(I79-H79&lt;30,"No","Sí"),IF(TODAY()-H79&gt;=30,"Sí","En curso")))</f>
        <v/>
      </c>
      <c r="Q79" s="11" t="str">
        <f>IF(H79="","",IF(I79&lt;&gt;"",IF(I79-H79&lt;60,"No","Sí"),IF(TODAY()-H79&gt;=60,"Sí","En curso")))</f>
        <v/>
      </c>
      <c r="R79" s="11" t="str">
        <f>IF(H79="","",IF(I79&lt;&gt;"","Baja",IF(AND(TODAY()-H79&gt;=7,J79=""),"Falta check-in semana 1",IF(AND(TODAY()-H79&gt;=21,L79=""),"Falta check-in semana 3",""))))</f>
        <v/>
      </c>
    </row>
    <row r="80">
      <c r="A80" s="7"/>
      <c r="B80" s="7"/>
      <c r="C80" s="7"/>
      <c r="D80" s="7"/>
      <c r="E80" s="7"/>
      <c r="F80" s="15"/>
      <c r="G80" s="7"/>
      <c r="H80" s="14"/>
      <c r="I80" s="14"/>
      <c r="J80" s="14"/>
      <c r="K80" s="7"/>
      <c r="L80" s="14"/>
      <c r="M80" s="7"/>
      <c r="N80" s="7"/>
      <c r="O80" s="11" t="str">
        <f>IF(H80="","",IF(I80&lt;&gt;"",I80,TODAY())-H80)</f>
        <v/>
      </c>
      <c r="P80" s="11" t="str">
        <f>IF(H80="","",IF(I80&lt;&gt;"",IF(I80-H80&lt;30,"No","Sí"),IF(TODAY()-H80&gt;=30,"Sí","En curso")))</f>
        <v/>
      </c>
      <c r="Q80" s="11" t="str">
        <f>IF(H80="","",IF(I80&lt;&gt;"",IF(I80-H80&lt;60,"No","Sí"),IF(TODAY()-H80&gt;=60,"Sí","En curso")))</f>
        <v/>
      </c>
      <c r="R80" s="11" t="str">
        <f>IF(H80="","",IF(I80&lt;&gt;"","Baja",IF(AND(TODAY()-H80&gt;=7,J80=""),"Falta check-in semana 1",IF(AND(TODAY()-H80&gt;=21,L80=""),"Falta check-in semana 3",""))))</f>
        <v/>
      </c>
    </row>
    <row r="81">
      <c r="A81" s="7"/>
      <c r="B81" s="7"/>
      <c r="C81" s="7"/>
      <c r="D81" s="7"/>
      <c r="E81" s="7"/>
      <c r="F81" s="15"/>
      <c r="G81" s="7"/>
      <c r="H81" s="14"/>
      <c r="I81" s="14"/>
      <c r="J81" s="14"/>
      <c r="K81" s="7"/>
      <c r="L81" s="14"/>
      <c r="M81" s="7"/>
      <c r="N81" s="7"/>
      <c r="O81" s="11" t="str">
        <f>IF(H81="","",IF(I81&lt;&gt;"",I81,TODAY())-H81)</f>
        <v/>
      </c>
      <c r="P81" s="11" t="str">
        <f>IF(H81="","",IF(I81&lt;&gt;"",IF(I81-H81&lt;30,"No","Sí"),IF(TODAY()-H81&gt;=30,"Sí","En curso")))</f>
        <v/>
      </c>
      <c r="Q81" s="11" t="str">
        <f>IF(H81="","",IF(I81&lt;&gt;"",IF(I81-H81&lt;60,"No","Sí"),IF(TODAY()-H81&gt;=60,"Sí","En curso")))</f>
        <v/>
      </c>
      <c r="R81" s="11" t="str">
        <f>IF(H81="","",IF(I81&lt;&gt;"","Baja",IF(AND(TODAY()-H81&gt;=7,J81=""),"Falta check-in semana 1",IF(AND(TODAY()-H81&gt;=21,L81=""),"Falta check-in semana 3",""))))</f>
        <v/>
      </c>
    </row>
    <row r="82">
      <c r="A82" s="7"/>
      <c r="B82" s="7"/>
      <c r="C82" s="7"/>
      <c r="D82" s="7"/>
      <c r="E82" s="7"/>
      <c r="F82" s="15"/>
      <c r="G82" s="7"/>
      <c r="H82" s="14"/>
      <c r="I82" s="14"/>
      <c r="J82" s="14"/>
      <c r="K82" s="7"/>
      <c r="L82" s="14"/>
      <c r="M82" s="7"/>
      <c r="N82" s="7"/>
      <c r="O82" s="11" t="str">
        <f>IF(H82="","",IF(I82&lt;&gt;"",I82,TODAY())-H82)</f>
        <v/>
      </c>
      <c r="P82" s="11" t="str">
        <f>IF(H82="","",IF(I82&lt;&gt;"",IF(I82-H82&lt;30,"No","Sí"),IF(TODAY()-H82&gt;=30,"Sí","En curso")))</f>
        <v/>
      </c>
      <c r="Q82" s="11" t="str">
        <f>IF(H82="","",IF(I82&lt;&gt;"",IF(I82-H82&lt;60,"No","Sí"),IF(TODAY()-H82&gt;=60,"Sí","En curso")))</f>
        <v/>
      </c>
      <c r="R82" s="11" t="str">
        <f>IF(H82="","",IF(I82&lt;&gt;"","Baja",IF(AND(TODAY()-H82&gt;=7,J82=""),"Falta check-in semana 1",IF(AND(TODAY()-H82&gt;=21,L82=""),"Falta check-in semana 3",""))))</f>
        <v/>
      </c>
    </row>
    <row r="83">
      <c r="A83" s="7"/>
      <c r="B83" s="7"/>
      <c r="C83" s="7"/>
      <c r="D83" s="7"/>
      <c r="E83" s="7"/>
      <c r="F83" s="15"/>
      <c r="G83" s="7"/>
      <c r="H83" s="14"/>
      <c r="I83" s="14"/>
      <c r="J83" s="14"/>
      <c r="K83" s="7"/>
      <c r="L83" s="14"/>
      <c r="M83" s="7"/>
      <c r="N83" s="7"/>
      <c r="O83" s="11" t="str">
        <f>IF(H83="","",IF(I83&lt;&gt;"",I83,TODAY())-H83)</f>
        <v/>
      </c>
      <c r="P83" s="11" t="str">
        <f>IF(H83="","",IF(I83&lt;&gt;"",IF(I83-H83&lt;30,"No","Sí"),IF(TODAY()-H83&gt;=30,"Sí","En curso")))</f>
        <v/>
      </c>
      <c r="Q83" s="11" t="str">
        <f>IF(H83="","",IF(I83&lt;&gt;"",IF(I83-H83&lt;60,"No","Sí"),IF(TODAY()-H83&gt;=60,"Sí","En curso")))</f>
        <v/>
      </c>
      <c r="R83" s="11" t="str">
        <f>IF(H83="","",IF(I83&lt;&gt;"","Baja",IF(AND(TODAY()-H83&gt;=7,J83=""),"Falta check-in semana 1",IF(AND(TODAY()-H83&gt;=21,L83=""),"Falta check-in semana 3",""))))</f>
        <v/>
      </c>
    </row>
    <row r="84">
      <c r="A84" s="7"/>
      <c r="B84" s="7"/>
      <c r="C84" s="7"/>
      <c r="D84" s="7"/>
      <c r="E84" s="7"/>
      <c r="F84" s="15"/>
      <c r="G84" s="7"/>
      <c r="H84" s="14"/>
      <c r="I84" s="14"/>
      <c r="J84" s="14"/>
      <c r="K84" s="7"/>
      <c r="L84" s="14"/>
      <c r="M84" s="7"/>
      <c r="N84" s="7"/>
      <c r="O84" s="11" t="str">
        <f>IF(H84="","",IF(I84&lt;&gt;"",I84,TODAY())-H84)</f>
        <v/>
      </c>
      <c r="P84" s="11" t="str">
        <f>IF(H84="","",IF(I84&lt;&gt;"",IF(I84-H84&lt;30,"No","Sí"),IF(TODAY()-H84&gt;=30,"Sí","En curso")))</f>
        <v/>
      </c>
      <c r="Q84" s="11" t="str">
        <f>IF(H84="","",IF(I84&lt;&gt;"",IF(I84-H84&lt;60,"No","Sí"),IF(TODAY()-H84&gt;=60,"Sí","En curso")))</f>
        <v/>
      </c>
      <c r="R84" s="11" t="str">
        <f>IF(H84="","",IF(I84&lt;&gt;"","Baja",IF(AND(TODAY()-H84&gt;=7,J84=""),"Falta check-in semana 1",IF(AND(TODAY()-H84&gt;=21,L84=""),"Falta check-in semana 3",""))))</f>
        <v/>
      </c>
    </row>
    <row r="85">
      <c r="A85" s="7"/>
      <c r="B85" s="7"/>
      <c r="C85" s="7"/>
      <c r="D85" s="7"/>
      <c r="E85" s="7"/>
      <c r="F85" s="15"/>
      <c r="G85" s="7"/>
      <c r="H85" s="14"/>
      <c r="I85" s="14"/>
      <c r="J85" s="14"/>
      <c r="K85" s="7"/>
      <c r="L85" s="14"/>
      <c r="M85" s="7"/>
      <c r="N85" s="7"/>
      <c r="O85" s="11" t="str">
        <f>IF(H85="","",IF(I85&lt;&gt;"",I85,TODAY())-H85)</f>
        <v/>
      </c>
      <c r="P85" s="11" t="str">
        <f>IF(H85="","",IF(I85&lt;&gt;"",IF(I85-H85&lt;30,"No","Sí"),IF(TODAY()-H85&gt;=30,"Sí","En curso")))</f>
        <v/>
      </c>
      <c r="Q85" s="11" t="str">
        <f>IF(H85="","",IF(I85&lt;&gt;"",IF(I85-H85&lt;60,"No","Sí"),IF(TODAY()-H85&gt;=60,"Sí","En curso")))</f>
        <v/>
      </c>
      <c r="R85" s="11" t="str">
        <f>IF(H85="","",IF(I85&lt;&gt;"","Baja",IF(AND(TODAY()-H85&gt;=7,J85=""),"Falta check-in semana 1",IF(AND(TODAY()-H85&gt;=21,L85=""),"Falta check-in semana 3",""))))</f>
        <v/>
      </c>
    </row>
    <row r="86">
      <c r="A86" s="7"/>
      <c r="B86" s="7"/>
      <c r="C86" s="7"/>
      <c r="D86" s="7"/>
      <c r="E86" s="7"/>
      <c r="F86" s="15"/>
      <c r="G86" s="7"/>
      <c r="H86" s="14"/>
      <c r="I86" s="14"/>
      <c r="J86" s="14"/>
      <c r="K86" s="7"/>
      <c r="L86" s="14"/>
      <c r="M86" s="7"/>
      <c r="N86" s="7"/>
      <c r="O86" s="11" t="str">
        <f>IF(H86="","",IF(I86&lt;&gt;"",I86,TODAY())-H86)</f>
        <v/>
      </c>
      <c r="P86" s="11" t="str">
        <f>IF(H86="","",IF(I86&lt;&gt;"",IF(I86-H86&lt;30,"No","Sí"),IF(TODAY()-H86&gt;=30,"Sí","En curso")))</f>
        <v/>
      </c>
      <c r="Q86" s="11" t="str">
        <f>IF(H86="","",IF(I86&lt;&gt;"",IF(I86-H86&lt;60,"No","Sí"),IF(TODAY()-H86&gt;=60,"Sí","En curso")))</f>
        <v/>
      </c>
      <c r="R86" s="11" t="str">
        <f>IF(H86="","",IF(I86&lt;&gt;"","Baja",IF(AND(TODAY()-H86&gt;=7,J86=""),"Falta check-in semana 1",IF(AND(TODAY()-H86&gt;=21,L86=""),"Falta check-in semana 3",""))))</f>
        <v/>
      </c>
    </row>
    <row r="87">
      <c r="A87" s="7"/>
      <c r="B87" s="7"/>
      <c r="C87" s="7"/>
      <c r="D87" s="7"/>
      <c r="E87" s="7"/>
      <c r="F87" s="15"/>
      <c r="G87" s="7"/>
      <c r="H87" s="14"/>
      <c r="I87" s="14"/>
      <c r="J87" s="14"/>
      <c r="K87" s="7"/>
      <c r="L87" s="14"/>
      <c r="M87" s="7"/>
      <c r="N87" s="7"/>
      <c r="O87" s="11" t="str">
        <f>IF(H87="","",IF(I87&lt;&gt;"",I87,TODAY())-H87)</f>
        <v/>
      </c>
      <c r="P87" s="11" t="str">
        <f>IF(H87="","",IF(I87&lt;&gt;"",IF(I87-H87&lt;30,"No","Sí"),IF(TODAY()-H87&gt;=30,"Sí","En curso")))</f>
        <v/>
      </c>
      <c r="Q87" s="11" t="str">
        <f>IF(H87="","",IF(I87&lt;&gt;"",IF(I87-H87&lt;60,"No","Sí"),IF(TODAY()-H87&gt;=60,"Sí","En curso")))</f>
        <v/>
      </c>
      <c r="R87" s="11" t="str">
        <f>IF(H87="","",IF(I87&lt;&gt;"","Baja",IF(AND(TODAY()-H87&gt;=7,J87=""),"Falta check-in semana 1",IF(AND(TODAY()-H87&gt;=21,L87=""),"Falta check-in semana 3",""))))</f>
        <v/>
      </c>
    </row>
    <row r="88">
      <c r="A88" s="7"/>
      <c r="B88" s="7"/>
      <c r="C88" s="7"/>
      <c r="D88" s="7"/>
      <c r="E88" s="7"/>
      <c r="F88" s="15"/>
      <c r="G88" s="7"/>
      <c r="H88" s="14"/>
      <c r="I88" s="14"/>
      <c r="J88" s="14"/>
      <c r="K88" s="7"/>
      <c r="L88" s="14"/>
      <c r="M88" s="7"/>
      <c r="N88" s="7"/>
      <c r="O88" s="11" t="str">
        <f>IF(H88="","",IF(I88&lt;&gt;"",I88,TODAY())-H88)</f>
        <v/>
      </c>
      <c r="P88" s="11" t="str">
        <f>IF(H88="","",IF(I88&lt;&gt;"",IF(I88-H88&lt;30,"No","Sí"),IF(TODAY()-H88&gt;=30,"Sí","En curso")))</f>
        <v/>
      </c>
      <c r="Q88" s="11" t="str">
        <f>IF(H88="","",IF(I88&lt;&gt;"",IF(I88-H88&lt;60,"No","Sí"),IF(TODAY()-H88&gt;=60,"Sí","En curso")))</f>
        <v/>
      </c>
      <c r="R88" s="11" t="str">
        <f>IF(H88="","",IF(I88&lt;&gt;"","Baja",IF(AND(TODAY()-H88&gt;=7,J88=""),"Falta check-in semana 1",IF(AND(TODAY()-H88&gt;=21,L88=""),"Falta check-in semana 3",""))))</f>
        <v/>
      </c>
    </row>
    <row r="89">
      <c r="A89" s="7"/>
      <c r="B89" s="7"/>
      <c r="C89" s="7"/>
      <c r="D89" s="7"/>
      <c r="E89" s="7"/>
      <c r="F89" s="15"/>
      <c r="G89" s="7"/>
      <c r="H89" s="14"/>
      <c r="I89" s="14"/>
      <c r="J89" s="14"/>
      <c r="K89" s="7"/>
      <c r="L89" s="14"/>
      <c r="M89" s="7"/>
      <c r="N89" s="7"/>
      <c r="O89" s="11" t="str">
        <f>IF(H89="","",IF(I89&lt;&gt;"",I89,TODAY())-H89)</f>
        <v/>
      </c>
      <c r="P89" s="11" t="str">
        <f>IF(H89="","",IF(I89&lt;&gt;"",IF(I89-H89&lt;30,"No","Sí"),IF(TODAY()-H89&gt;=30,"Sí","En curso")))</f>
        <v/>
      </c>
      <c r="Q89" s="11" t="str">
        <f>IF(H89="","",IF(I89&lt;&gt;"",IF(I89-H89&lt;60,"No","Sí"),IF(TODAY()-H89&gt;=60,"Sí","En curso")))</f>
        <v/>
      </c>
      <c r="R89" s="11" t="str">
        <f>IF(H89="","",IF(I89&lt;&gt;"","Baja",IF(AND(TODAY()-H89&gt;=7,J89=""),"Falta check-in semana 1",IF(AND(TODAY()-H89&gt;=21,L89=""),"Falta check-in semana 3",""))))</f>
        <v/>
      </c>
    </row>
    <row r="90">
      <c r="A90" s="7"/>
      <c r="B90" s="7"/>
      <c r="C90" s="7"/>
      <c r="D90" s="7"/>
      <c r="E90" s="7"/>
      <c r="F90" s="15"/>
      <c r="G90" s="7"/>
      <c r="H90" s="14"/>
      <c r="I90" s="14"/>
      <c r="J90" s="14"/>
      <c r="K90" s="7"/>
      <c r="L90" s="14"/>
      <c r="M90" s="7"/>
      <c r="N90" s="7"/>
      <c r="O90" s="11" t="str">
        <f>IF(H90="","",IF(I90&lt;&gt;"",I90,TODAY())-H90)</f>
        <v/>
      </c>
      <c r="P90" s="11" t="str">
        <f>IF(H90="","",IF(I90&lt;&gt;"",IF(I90-H90&lt;30,"No","Sí"),IF(TODAY()-H90&gt;=30,"Sí","En curso")))</f>
        <v/>
      </c>
      <c r="Q90" s="11" t="str">
        <f>IF(H90="","",IF(I90&lt;&gt;"",IF(I90-H90&lt;60,"No","Sí"),IF(TODAY()-H90&gt;=60,"Sí","En curso")))</f>
        <v/>
      </c>
      <c r="R90" s="11" t="str">
        <f>IF(H90="","",IF(I90&lt;&gt;"","Baja",IF(AND(TODAY()-H90&gt;=7,J90=""),"Falta check-in semana 1",IF(AND(TODAY()-H90&gt;=21,L90=""),"Falta check-in semana 3",""))))</f>
        <v/>
      </c>
    </row>
    <row r="91">
      <c r="A91" s="7"/>
      <c r="B91" s="7"/>
      <c r="C91" s="7"/>
      <c r="D91" s="7"/>
      <c r="E91" s="7"/>
      <c r="F91" s="15"/>
      <c r="G91" s="7"/>
      <c r="H91" s="14"/>
      <c r="I91" s="14"/>
      <c r="J91" s="14"/>
      <c r="K91" s="7"/>
      <c r="L91" s="14"/>
      <c r="M91" s="7"/>
      <c r="N91" s="7"/>
      <c r="O91" s="11" t="str">
        <f>IF(H91="","",IF(I91&lt;&gt;"",I91,TODAY())-H91)</f>
        <v/>
      </c>
      <c r="P91" s="11" t="str">
        <f>IF(H91="","",IF(I91&lt;&gt;"",IF(I91-H91&lt;30,"No","Sí"),IF(TODAY()-H91&gt;=30,"Sí","En curso")))</f>
        <v/>
      </c>
      <c r="Q91" s="11" t="str">
        <f>IF(H91="","",IF(I91&lt;&gt;"",IF(I91-H91&lt;60,"No","Sí"),IF(TODAY()-H91&gt;=60,"Sí","En curso")))</f>
        <v/>
      </c>
      <c r="R91" s="11" t="str">
        <f>IF(H91="","",IF(I91&lt;&gt;"","Baja",IF(AND(TODAY()-H91&gt;=7,J91=""),"Falta check-in semana 1",IF(AND(TODAY()-H91&gt;=21,L91=""),"Falta check-in semana 3",""))))</f>
        <v/>
      </c>
    </row>
    <row r="92">
      <c r="A92" s="7"/>
      <c r="B92" s="7"/>
      <c r="C92" s="7"/>
      <c r="D92" s="7"/>
      <c r="E92" s="7"/>
      <c r="F92" s="15"/>
      <c r="G92" s="7"/>
      <c r="H92" s="14"/>
      <c r="I92" s="14"/>
      <c r="J92" s="14"/>
      <c r="K92" s="7"/>
      <c r="L92" s="14"/>
      <c r="M92" s="7"/>
      <c r="N92" s="7"/>
      <c r="O92" s="11" t="str">
        <f>IF(H92="","",IF(I92&lt;&gt;"",I92,TODAY())-H92)</f>
        <v/>
      </c>
      <c r="P92" s="11" t="str">
        <f>IF(H92="","",IF(I92&lt;&gt;"",IF(I92-H92&lt;30,"No","Sí"),IF(TODAY()-H92&gt;=30,"Sí","En curso")))</f>
        <v/>
      </c>
      <c r="Q92" s="11" t="str">
        <f>IF(H92="","",IF(I92&lt;&gt;"",IF(I92-H92&lt;60,"No","Sí"),IF(TODAY()-H92&gt;=60,"Sí","En curso")))</f>
        <v/>
      </c>
      <c r="R92" s="11" t="str">
        <f>IF(H92="","",IF(I92&lt;&gt;"","Baja",IF(AND(TODAY()-H92&gt;=7,J92=""),"Falta check-in semana 1",IF(AND(TODAY()-H92&gt;=21,L92=""),"Falta check-in semana 3",""))))</f>
        <v/>
      </c>
    </row>
    <row r="93">
      <c r="A93" s="7"/>
      <c r="B93" s="7"/>
      <c r="C93" s="7"/>
      <c r="D93" s="7"/>
      <c r="E93" s="7"/>
      <c r="F93" s="15"/>
      <c r="G93" s="7"/>
      <c r="H93" s="14"/>
      <c r="I93" s="14"/>
      <c r="J93" s="14"/>
      <c r="K93" s="7"/>
      <c r="L93" s="14"/>
      <c r="M93" s="7"/>
      <c r="N93" s="7"/>
      <c r="O93" s="11" t="str">
        <f>IF(H93="","",IF(I93&lt;&gt;"",I93,TODAY())-H93)</f>
        <v/>
      </c>
      <c r="P93" s="11" t="str">
        <f>IF(H93="","",IF(I93&lt;&gt;"",IF(I93-H93&lt;30,"No","Sí"),IF(TODAY()-H93&gt;=30,"Sí","En curso")))</f>
        <v/>
      </c>
      <c r="Q93" s="11" t="str">
        <f>IF(H93="","",IF(I93&lt;&gt;"",IF(I93-H93&lt;60,"No","Sí"),IF(TODAY()-H93&gt;=60,"Sí","En curso")))</f>
        <v/>
      </c>
      <c r="R93" s="11" t="str">
        <f>IF(H93="","",IF(I93&lt;&gt;"","Baja",IF(AND(TODAY()-H93&gt;=7,J93=""),"Falta check-in semana 1",IF(AND(TODAY()-H93&gt;=21,L93=""),"Falta check-in semana 3",""))))</f>
        <v/>
      </c>
    </row>
    <row r="94">
      <c r="A94" s="7"/>
      <c r="B94" s="7"/>
      <c r="C94" s="7"/>
      <c r="D94" s="7"/>
      <c r="E94" s="7"/>
      <c r="F94" s="15"/>
      <c r="G94" s="7"/>
      <c r="H94" s="14"/>
      <c r="I94" s="14"/>
      <c r="J94" s="14"/>
      <c r="K94" s="7"/>
      <c r="L94" s="14"/>
      <c r="M94" s="7"/>
      <c r="N94" s="7"/>
      <c r="O94" s="11" t="str">
        <f>IF(H94="","",IF(I94&lt;&gt;"",I94,TODAY())-H94)</f>
        <v/>
      </c>
      <c r="P94" s="11" t="str">
        <f>IF(H94="","",IF(I94&lt;&gt;"",IF(I94-H94&lt;30,"No","Sí"),IF(TODAY()-H94&gt;=30,"Sí","En curso")))</f>
        <v/>
      </c>
      <c r="Q94" s="11" t="str">
        <f>IF(H94="","",IF(I94&lt;&gt;"",IF(I94-H94&lt;60,"No","Sí"),IF(TODAY()-H94&gt;=60,"Sí","En curso")))</f>
        <v/>
      </c>
      <c r="R94" s="11" t="str">
        <f>IF(H94="","",IF(I94&lt;&gt;"","Baja",IF(AND(TODAY()-H94&gt;=7,J94=""),"Falta check-in semana 1",IF(AND(TODAY()-H94&gt;=21,L94=""),"Falta check-in semana 3",""))))</f>
        <v/>
      </c>
    </row>
    <row r="95">
      <c r="A95" s="7"/>
      <c r="B95" s="7"/>
      <c r="C95" s="7"/>
      <c r="D95" s="7"/>
      <c r="E95" s="7"/>
      <c r="F95" s="15"/>
      <c r="G95" s="7"/>
      <c r="H95" s="14"/>
      <c r="I95" s="14"/>
      <c r="J95" s="14"/>
      <c r="K95" s="7"/>
      <c r="L95" s="14"/>
      <c r="M95" s="7"/>
      <c r="N95" s="7"/>
      <c r="O95" s="11" t="str">
        <f>IF(H95="","",IF(I95&lt;&gt;"",I95,TODAY())-H95)</f>
        <v/>
      </c>
      <c r="P95" s="11" t="str">
        <f>IF(H95="","",IF(I95&lt;&gt;"",IF(I95-H95&lt;30,"No","Sí"),IF(TODAY()-H95&gt;=30,"Sí","En curso")))</f>
        <v/>
      </c>
      <c r="Q95" s="11" t="str">
        <f>IF(H95="","",IF(I95&lt;&gt;"",IF(I95-H95&lt;60,"No","Sí"),IF(TODAY()-H95&gt;=60,"Sí","En curso")))</f>
        <v/>
      </c>
      <c r="R95" s="11" t="str">
        <f>IF(H95="","",IF(I95&lt;&gt;"","Baja",IF(AND(TODAY()-H95&gt;=7,J95=""),"Falta check-in semana 1",IF(AND(TODAY()-H95&gt;=21,L95=""),"Falta check-in semana 3",""))))</f>
        <v/>
      </c>
    </row>
    <row r="96">
      <c r="A96" s="7"/>
      <c r="B96" s="7"/>
      <c r="C96" s="7"/>
      <c r="D96" s="7"/>
      <c r="E96" s="7"/>
      <c r="F96" s="15"/>
      <c r="G96" s="7"/>
      <c r="H96" s="14"/>
      <c r="I96" s="14"/>
      <c r="J96" s="14"/>
      <c r="K96" s="7"/>
      <c r="L96" s="14"/>
      <c r="M96" s="7"/>
      <c r="N96" s="7"/>
      <c r="O96" s="11" t="str">
        <f>IF(H96="","",IF(I96&lt;&gt;"",I96,TODAY())-H96)</f>
        <v/>
      </c>
      <c r="P96" s="11" t="str">
        <f>IF(H96="","",IF(I96&lt;&gt;"",IF(I96-H96&lt;30,"No","Sí"),IF(TODAY()-H96&gt;=30,"Sí","En curso")))</f>
        <v/>
      </c>
      <c r="Q96" s="11" t="str">
        <f>IF(H96="","",IF(I96&lt;&gt;"",IF(I96-H96&lt;60,"No","Sí"),IF(TODAY()-H96&gt;=60,"Sí","En curso")))</f>
        <v/>
      </c>
      <c r="R96" s="11" t="str">
        <f>IF(H96="","",IF(I96&lt;&gt;"","Baja",IF(AND(TODAY()-H96&gt;=7,J96=""),"Falta check-in semana 1",IF(AND(TODAY()-H96&gt;=21,L96=""),"Falta check-in semana 3",""))))</f>
        <v/>
      </c>
    </row>
    <row r="97">
      <c r="A97" s="7"/>
      <c r="B97" s="7"/>
      <c r="C97" s="7"/>
      <c r="D97" s="7"/>
      <c r="E97" s="7"/>
      <c r="F97" s="15"/>
      <c r="G97" s="7"/>
      <c r="H97" s="14"/>
      <c r="I97" s="14"/>
      <c r="J97" s="14"/>
      <c r="K97" s="7"/>
      <c r="L97" s="14"/>
      <c r="M97" s="7"/>
      <c r="N97" s="7"/>
      <c r="O97" s="11" t="str">
        <f>IF(H97="","",IF(I97&lt;&gt;"",I97,TODAY())-H97)</f>
        <v/>
      </c>
      <c r="P97" s="11" t="str">
        <f>IF(H97="","",IF(I97&lt;&gt;"",IF(I97-H97&lt;30,"No","Sí"),IF(TODAY()-H97&gt;=30,"Sí","En curso")))</f>
        <v/>
      </c>
      <c r="Q97" s="11" t="str">
        <f>IF(H97="","",IF(I97&lt;&gt;"",IF(I97-H97&lt;60,"No","Sí"),IF(TODAY()-H97&gt;=60,"Sí","En curso")))</f>
        <v/>
      </c>
      <c r="R97" s="11" t="str">
        <f>IF(H97="","",IF(I97&lt;&gt;"","Baja",IF(AND(TODAY()-H97&gt;=7,J97=""),"Falta check-in semana 1",IF(AND(TODAY()-H97&gt;=21,L97=""),"Falta check-in semana 3",""))))</f>
        <v/>
      </c>
    </row>
    <row r="98">
      <c r="A98" s="7"/>
      <c r="B98" s="7"/>
      <c r="C98" s="7"/>
      <c r="D98" s="7"/>
      <c r="E98" s="7"/>
      <c r="F98" s="15"/>
      <c r="G98" s="7"/>
      <c r="H98" s="14"/>
      <c r="I98" s="14"/>
      <c r="J98" s="14"/>
      <c r="K98" s="7"/>
      <c r="L98" s="14"/>
      <c r="M98" s="7"/>
      <c r="N98" s="7"/>
      <c r="O98" s="11" t="str">
        <f>IF(H98="","",IF(I98&lt;&gt;"",I98,TODAY())-H98)</f>
        <v/>
      </c>
      <c r="P98" s="11" t="str">
        <f>IF(H98="","",IF(I98&lt;&gt;"",IF(I98-H98&lt;30,"No","Sí"),IF(TODAY()-H98&gt;=30,"Sí","En curso")))</f>
        <v/>
      </c>
      <c r="Q98" s="11" t="str">
        <f>IF(H98="","",IF(I98&lt;&gt;"",IF(I98-H98&lt;60,"No","Sí"),IF(TODAY()-H98&gt;=60,"Sí","En curso")))</f>
        <v/>
      </c>
      <c r="R98" s="11" t="str">
        <f>IF(H98="","",IF(I98&lt;&gt;"","Baja",IF(AND(TODAY()-H98&gt;=7,J98=""),"Falta check-in semana 1",IF(AND(TODAY()-H98&gt;=21,L98=""),"Falta check-in semana 3",""))))</f>
        <v/>
      </c>
    </row>
    <row r="99">
      <c r="A99" s="7"/>
      <c r="B99" s="7"/>
      <c r="C99" s="7"/>
      <c r="D99" s="7"/>
      <c r="E99" s="7"/>
      <c r="F99" s="15"/>
      <c r="G99" s="7"/>
      <c r="H99" s="14"/>
      <c r="I99" s="14"/>
      <c r="J99" s="14"/>
      <c r="K99" s="7"/>
      <c r="L99" s="14"/>
      <c r="M99" s="7"/>
      <c r="N99" s="7"/>
      <c r="O99" s="11" t="str">
        <f>IF(H99="","",IF(I99&lt;&gt;"",I99,TODAY())-H99)</f>
        <v/>
      </c>
      <c r="P99" s="11" t="str">
        <f>IF(H99="","",IF(I99&lt;&gt;"",IF(I99-H99&lt;30,"No","Sí"),IF(TODAY()-H99&gt;=30,"Sí","En curso")))</f>
        <v/>
      </c>
      <c r="Q99" s="11" t="str">
        <f>IF(H99="","",IF(I99&lt;&gt;"",IF(I99-H99&lt;60,"No","Sí"),IF(TODAY()-H99&gt;=60,"Sí","En curso")))</f>
        <v/>
      </c>
      <c r="R99" s="11" t="str">
        <f>IF(H99="","",IF(I99&lt;&gt;"","Baja",IF(AND(TODAY()-H99&gt;=7,J99=""),"Falta check-in semana 1",IF(AND(TODAY()-H99&gt;=21,L99=""),"Falta check-in semana 3",""))))</f>
        <v/>
      </c>
    </row>
    <row r="100">
      <c r="A100" s="7"/>
      <c r="B100" s="7"/>
      <c r="C100" s="7"/>
      <c r="D100" s="7"/>
      <c r="E100" s="7"/>
      <c r="F100" s="15"/>
      <c r="G100" s="7"/>
      <c r="H100" s="14"/>
      <c r="I100" s="14"/>
      <c r="J100" s="14"/>
      <c r="K100" s="7"/>
      <c r="L100" s="14"/>
      <c r="M100" s="7"/>
      <c r="N100" s="7"/>
      <c r="O100" s="11" t="str">
        <f>IF(H100="","",IF(I100&lt;&gt;"",I100,TODAY())-H100)</f>
        <v/>
      </c>
      <c r="P100" s="11" t="str">
        <f>IF(H100="","",IF(I100&lt;&gt;"",IF(I100-H100&lt;30,"No","Sí"),IF(TODAY()-H100&gt;=30,"Sí","En curso")))</f>
        <v/>
      </c>
      <c r="Q100" s="11" t="str">
        <f>IF(H100="","",IF(I100&lt;&gt;"",IF(I100-H100&lt;60,"No","Sí"),IF(TODAY()-H100&gt;=60,"Sí","En curso")))</f>
        <v/>
      </c>
      <c r="R100" s="11" t="str">
        <f>IF(H100="","",IF(I100&lt;&gt;"","Baja",IF(AND(TODAY()-H100&gt;=7,J100=""),"Falta check-in semana 1",IF(AND(TODAY()-H100&gt;=21,L100=""),"Falta check-in semana 3",""))))</f>
        <v/>
      </c>
    </row>
    <row r="101">
      <c r="A101" s="7"/>
      <c r="B101" s="7"/>
      <c r="C101" s="7"/>
      <c r="D101" s="7"/>
      <c r="E101" s="7"/>
      <c r="F101" s="15"/>
      <c r="G101" s="7"/>
      <c r="H101" s="14"/>
      <c r="I101" s="14"/>
      <c r="J101" s="14"/>
      <c r="K101" s="7"/>
      <c r="L101" s="14"/>
      <c r="M101" s="7"/>
      <c r="N101" s="7"/>
      <c r="O101" s="11" t="str">
        <f>IF(H101="","",IF(I101&lt;&gt;"",I101,TODAY())-H101)</f>
        <v/>
      </c>
      <c r="P101" s="11" t="str">
        <f>IF(H101="","",IF(I101&lt;&gt;"",IF(I101-H101&lt;30,"No","Sí"),IF(TODAY()-H101&gt;=30,"Sí","En curso")))</f>
        <v/>
      </c>
      <c r="Q101" s="11" t="str">
        <f>IF(H101="","",IF(I101&lt;&gt;"",IF(I101-H101&lt;60,"No","Sí"),IF(TODAY()-H101&gt;=60,"Sí","En curso")))</f>
        <v/>
      </c>
      <c r="R101" s="11" t="str">
        <f>IF(H101="","",IF(I101&lt;&gt;"","Baja",IF(AND(TODAY()-H101&gt;=7,J101=""),"Falta check-in semana 1",IF(AND(TODAY()-H101&gt;=21,L101=""),"Falta check-in semana 3",""))))</f>
        <v/>
      </c>
    </row>
    <row r="102">
      <c r="A102" s="7"/>
      <c r="B102" s="7"/>
      <c r="C102" s="7"/>
      <c r="D102" s="7"/>
      <c r="E102" s="7"/>
      <c r="F102" s="15"/>
      <c r="G102" s="7"/>
      <c r="H102" s="14"/>
      <c r="I102" s="14"/>
      <c r="J102" s="14"/>
      <c r="K102" s="7"/>
      <c r="L102" s="14"/>
      <c r="M102" s="7"/>
      <c r="N102" s="7"/>
      <c r="O102" s="11" t="str">
        <f>IF(H102="","",IF(I102&lt;&gt;"",I102,TODAY())-H102)</f>
        <v/>
      </c>
      <c r="P102" s="11" t="str">
        <f>IF(H102="","",IF(I102&lt;&gt;"",IF(I102-H102&lt;30,"No","Sí"),IF(TODAY()-H102&gt;=30,"Sí","En curso")))</f>
        <v/>
      </c>
      <c r="Q102" s="11" t="str">
        <f>IF(H102="","",IF(I102&lt;&gt;"",IF(I102-H102&lt;60,"No","Sí"),IF(TODAY()-H102&gt;=60,"Sí","En curso")))</f>
        <v/>
      </c>
      <c r="R102" s="11" t="str">
        <f>IF(H102="","",IF(I102&lt;&gt;"","Baja",IF(AND(TODAY()-H102&gt;=7,J102=""),"Falta check-in semana 1",IF(AND(TODAY()-H102&gt;=21,L102=""),"Falta check-in semana 3",""))))</f>
        <v/>
      </c>
    </row>
    <row r="103">
      <c r="A103" s="7"/>
      <c r="B103" s="7"/>
      <c r="C103" s="7"/>
      <c r="D103" s="7"/>
      <c r="E103" s="7"/>
      <c r="F103" s="15"/>
      <c r="G103" s="7"/>
      <c r="H103" s="14"/>
      <c r="I103" s="14"/>
      <c r="J103" s="14"/>
      <c r="K103" s="7"/>
      <c r="L103" s="14"/>
      <c r="M103" s="7"/>
      <c r="N103" s="7"/>
      <c r="O103" s="11" t="str">
        <f>IF(H103="","",IF(I103&lt;&gt;"",I103,TODAY())-H103)</f>
        <v/>
      </c>
      <c r="P103" s="11" t="str">
        <f>IF(H103="","",IF(I103&lt;&gt;"",IF(I103-H103&lt;30,"No","Sí"),IF(TODAY()-H103&gt;=30,"Sí","En curso")))</f>
        <v/>
      </c>
      <c r="Q103" s="11" t="str">
        <f>IF(H103="","",IF(I103&lt;&gt;"",IF(I103-H103&lt;60,"No","Sí"),IF(TODAY()-H103&gt;=60,"Sí","En curso")))</f>
        <v/>
      </c>
      <c r="R103" s="11" t="str">
        <f>IF(H103="","",IF(I103&lt;&gt;"","Baja",IF(AND(TODAY()-H103&gt;=7,J103=""),"Falta check-in semana 1",IF(AND(TODAY()-H103&gt;=21,L103=""),"Falta check-in semana 3",""))))</f>
        <v/>
      </c>
    </row>
    <row r="104">
      <c r="A104" s="7"/>
      <c r="B104" s="7"/>
      <c r="C104" s="7"/>
      <c r="D104" s="7"/>
      <c r="E104" s="7"/>
      <c r="F104" s="15"/>
      <c r="G104" s="7"/>
      <c r="H104" s="14"/>
      <c r="I104" s="14"/>
      <c r="J104" s="14"/>
      <c r="K104" s="7"/>
      <c r="L104" s="14"/>
      <c r="M104" s="7"/>
      <c r="N104" s="7"/>
      <c r="O104" s="11" t="str">
        <f>IF(H104="","",IF(I104&lt;&gt;"",I104,TODAY())-H104)</f>
        <v/>
      </c>
      <c r="P104" s="11" t="str">
        <f>IF(H104="","",IF(I104&lt;&gt;"",IF(I104-H104&lt;30,"No","Sí"),IF(TODAY()-H104&gt;=30,"Sí","En curso")))</f>
        <v/>
      </c>
      <c r="Q104" s="11" t="str">
        <f>IF(H104="","",IF(I104&lt;&gt;"",IF(I104-H104&lt;60,"No","Sí"),IF(TODAY()-H104&gt;=60,"Sí","En curso")))</f>
        <v/>
      </c>
      <c r="R104" s="11" t="str">
        <f>IF(H104="","",IF(I104&lt;&gt;"","Baja",IF(AND(TODAY()-H104&gt;=7,J104=""),"Falta check-in semana 1",IF(AND(TODAY()-H104&gt;=21,L104=""),"Falta check-in semana 3",""))))</f>
        <v/>
      </c>
    </row>
    <row r="105">
      <c r="A105" s="7"/>
      <c r="B105" s="7"/>
      <c r="C105" s="7"/>
      <c r="D105" s="7"/>
      <c r="E105" s="7"/>
      <c r="F105" s="15"/>
      <c r="G105" s="7"/>
      <c r="H105" s="14"/>
      <c r="I105" s="14"/>
      <c r="J105" s="14"/>
      <c r="K105" s="7"/>
      <c r="L105" s="14"/>
      <c r="M105" s="7"/>
      <c r="N105" s="7"/>
      <c r="O105" s="11" t="str">
        <f>IF(H105="","",IF(I105&lt;&gt;"",I105,TODAY())-H105)</f>
        <v/>
      </c>
      <c r="P105" s="11" t="str">
        <f>IF(H105="","",IF(I105&lt;&gt;"",IF(I105-H105&lt;30,"No","Sí"),IF(TODAY()-H105&gt;=30,"Sí","En curso")))</f>
        <v/>
      </c>
      <c r="Q105" s="11" t="str">
        <f>IF(H105="","",IF(I105&lt;&gt;"",IF(I105-H105&lt;60,"No","Sí"),IF(TODAY()-H105&gt;=60,"Sí","En curso")))</f>
        <v/>
      </c>
      <c r="R105" s="11" t="str">
        <f>IF(H105="","",IF(I105&lt;&gt;"","Baja",IF(AND(TODAY()-H105&gt;=7,J105=""),"Falta check-in semana 1",IF(AND(TODAY()-H105&gt;=21,L105=""),"Falta check-in semana 3",""))))</f>
        <v/>
      </c>
    </row>
    <row r="106">
      <c r="A106" s="7"/>
      <c r="B106" s="7"/>
      <c r="C106" s="7"/>
      <c r="D106" s="7"/>
      <c r="E106" s="7"/>
      <c r="F106" s="15"/>
      <c r="G106" s="7"/>
      <c r="H106" s="14"/>
      <c r="I106" s="14"/>
      <c r="J106" s="14"/>
      <c r="K106" s="7"/>
      <c r="L106" s="14"/>
      <c r="M106" s="7"/>
      <c r="N106" s="7"/>
      <c r="O106" s="11" t="str">
        <f>IF(H106="","",IF(I106&lt;&gt;"",I106,TODAY())-H106)</f>
        <v/>
      </c>
      <c r="P106" s="11" t="str">
        <f>IF(H106="","",IF(I106&lt;&gt;"",IF(I106-H106&lt;30,"No","Sí"),IF(TODAY()-H106&gt;=30,"Sí","En curso")))</f>
        <v/>
      </c>
      <c r="Q106" s="11" t="str">
        <f>IF(H106="","",IF(I106&lt;&gt;"",IF(I106-H106&lt;60,"No","Sí"),IF(TODAY()-H106&gt;=60,"Sí","En curso")))</f>
        <v/>
      </c>
      <c r="R106" s="11" t="str">
        <f>IF(H106="","",IF(I106&lt;&gt;"","Baja",IF(AND(TODAY()-H106&gt;=7,J106=""),"Falta check-in semana 1",IF(AND(TODAY()-H106&gt;=21,L106=""),"Falta check-in semana 3",""))))</f>
        <v/>
      </c>
    </row>
    <row r="107">
      <c r="A107" s="7"/>
      <c r="B107" s="7"/>
      <c r="C107" s="7"/>
      <c r="D107" s="7"/>
      <c r="E107" s="7"/>
      <c r="F107" s="15"/>
      <c r="G107" s="7"/>
      <c r="H107" s="14"/>
      <c r="I107" s="14"/>
      <c r="J107" s="14"/>
      <c r="K107" s="7"/>
      <c r="L107" s="14"/>
      <c r="M107" s="7"/>
      <c r="N107" s="7"/>
      <c r="O107" s="11" t="str">
        <f>IF(H107="","",IF(I107&lt;&gt;"",I107,TODAY())-H107)</f>
        <v/>
      </c>
      <c r="P107" s="11" t="str">
        <f>IF(H107="","",IF(I107&lt;&gt;"",IF(I107-H107&lt;30,"No","Sí"),IF(TODAY()-H107&gt;=30,"Sí","En curso")))</f>
        <v/>
      </c>
      <c r="Q107" s="11" t="str">
        <f>IF(H107="","",IF(I107&lt;&gt;"",IF(I107-H107&lt;60,"No","Sí"),IF(TODAY()-H107&gt;=60,"Sí","En curso")))</f>
        <v/>
      </c>
      <c r="R107" s="11" t="str">
        <f>IF(H107="","",IF(I107&lt;&gt;"","Baja",IF(AND(TODAY()-H107&gt;=7,J107=""),"Falta check-in semana 1",IF(AND(TODAY()-H107&gt;=21,L107=""),"Falta check-in semana 3",""))))</f>
        <v/>
      </c>
    </row>
    <row r="108">
      <c r="A108" s="7"/>
      <c r="B108" s="7"/>
      <c r="C108" s="7"/>
      <c r="D108" s="7"/>
      <c r="E108" s="7"/>
      <c r="F108" s="15"/>
      <c r="G108" s="7"/>
      <c r="H108" s="14"/>
      <c r="I108" s="14"/>
      <c r="J108" s="14"/>
      <c r="K108" s="7"/>
      <c r="L108" s="14"/>
      <c r="M108" s="7"/>
      <c r="N108" s="7"/>
      <c r="O108" s="11" t="str">
        <f>IF(H108="","",IF(I108&lt;&gt;"",I108,TODAY())-H108)</f>
        <v/>
      </c>
      <c r="P108" s="11" t="str">
        <f>IF(H108="","",IF(I108&lt;&gt;"",IF(I108-H108&lt;30,"No","Sí"),IF(TODAY()-H108&gt;=30,"Sí","En curso")))</f>
        <v/>
      </c>
      <c r="Q108" s="11" t="str">
        <f>IF(H108="","",IF(I108&lt;&gt;"",IF(I108-H108&lt;60,"No","Sí"),IF(TODAY()-H108&gt;=60,"Sí","En curso")))</f>
        <v/>
      </c>
      <c r="R108" s="11" t="str">
        <f>IF(H108="","",IF(I108&lt;&gt;"","Baja",IF(AND(TODAY()-H108&gt;=7,J108=""),"Falta check-in semana 1",IF(AND(TODAY()-H108&gt;=21,L108=""),"Falta check-in semana 3",""))))</f>
        <v/>
      </c>
    </row>
    <row r="109">
      <c r="A109" s="7"/>
      <c r="B109" s="7"/>
      <c r="C109" s="7"/>
      <c r="D109" s="7"/>
      <c r="E109" s="7"/>
      <c r="F109" s="15"/>
      <c r="G109" s="7"/>
      <c r="H109" s="14"/>
      <c r="I109" s="14"/>
      <c r="J109" s="14"/>
      <c r="K109" s="7"/>
      <c r="L109" s="14"/>
      <c r="M109" s="7"/>
      <c r="N109" s="7"/>
      <c r="O109" s="11" t="str">
        <f>IF(H109="","",IF(I109&lt;&gt;"",I109,TODAY())-H109)</f>
        <v/>
      </c>
      <c r="P109" s="11" t="str">
        <f>IF(H109="","",IF(I109&lt;&gt;"",IF(I109-H109&lt;30,"No","Sí"),IF(TODAY()-H109&gt;=30,"Sí","En curso")))</f>
        <v/>
      </c>
      <c r="Q109" s="11" t="str">
        <f>IF(H109="","",IF(I109&lt;&gt;"",IF(I109-H109&lt;60,"No","Sí"),IF(TODAY()-H109&gt;=60,"Sí","En curso")))</f>
        <v/>
      </c>
      <c r="R109" s="11" t="str">
        <f>IF(H109="","",IF(I109&lt;&gt;"","Baja",IF(AND(TODAY()-H109&gt;=7,J109=""),"Falta check-in semana 1",IF(AND(TODAY()-H109&gt;=21,L109=""),"Falta check-in semana 3",""))))</f>
        <v/>
      </c>
    </row>
    <row r="110">
      <c r="A110" s="7"/>
      <c r="B110" s="7"/>
      <c r="C110" s="7"/>
      <c r="D110" s="7"/>
      <c r="E110" s="7"/>
      <c r="F110" s="15"/>
      <c r="G110" s="7"/>
      <c r="H110" s="14"/>
      <c r="I110" s="14"/>
      <c r="J110" s="14"/>
      <c r="K110" s="7"/>
      <c r="L110" s="14"/>
      <c r="M110" s="7"/>
      <c r="N110" s="7"/>
      <c r="O110" s="11" t="str">
        <f>IF(H110="","",IF(I110&lt;&gt;"",I110,TODAY())-H110)</f>
        <v/>
      </c>
      <c r="P110" s="11" t="str">
        <f>IF(H110="","",IF(I110&lt;&gt;"",IF(I110-H110&lt;30,"No","Sí"),IF(TODAY()-H110&gt;=30,"Sí","En curso")))</f>
        <v/>
      </c>
      <c r="Q110" s="11" t="str">
        <f>IF(H110="","",IF(I110&lt;&gt;"",IF(I110-H110&lt;60,"No","Sí"),IF(TODAY()-H110&gt;=60,"Sí","En curso")))</f>
        <v/>
      </c>
      <c r="R110" s="11" t="str">
        <f>IF(H110="","",IF(I110&lt;&gt;"","Baja",IF(AND(TODAY()-H110&gt;=7,J110=""),"Falta check-in semana 1",IF(AND(TODAY()-H110&gt;=21,L110=""),"Falta check-in semana 3",""))))</f>
        <v/>
      </c>
    </row>
    <row r="111">
      <c r="A111" s="7"/>
      <c r="B111" s="7"/>
      <c r="C111" s="7"/>
      <c r="D111" s="7"/>
      <c r="E111" s="7"/>
      <c r="F111" s="15"/>
      <c r="G111" s="7"/>
      <c r="H111" s="14"/>
      <c r="I111" s="14"/>
      <c r="J111" s="14"/>
      <c r="K111" s="7"/>
      <c r="L111" s="14"/>
      <c r="M111" s="7"/>
      <c r="N111" s="7"/>
      <c r="O111" s="11" t="str">
        <f>IF(H111="","",IF(I111&lt;&gt;"",I111,TODAY())-H111)</f>
        <v/>
      </c>
      <c r="P111" s="11" t="str">
        <f>IF(H111="","",IF(I111&lt;&gt;"",IF(I111-H111&lt;30,"No","Sí"),IF(TODAY()-H111&gt;=30,"Sí","En curso")))</f>
        <v/>
      </c>
      <c r="Q111" s="11" t="str">
        <f>IF(H111="","",IF(I111&lt;&gt;"",IF(I111-H111&lt;60,"No","Sí"),IF(TODAY()-H111&gt;=60,"Sí","En curso")))</f>
        <v/>
      </c>
      <c r="R111" s="11" t="str">
        <f>IF(H111="","",IF(I111&lt;&gt;"","Baja",IF(AND(TODAY()-H111&gt;=7,J111=""),"Falta check-in semana 1",IF(AND(TODAY()-H111&gt;=21,L111=""),"Falta check-in semana 3",""))))</f>
        <v/>
      </c>
    </row>
    <row r="112">
      <c r="A112" s="7"/>
      <c r="B112" s="7"/>
      <c r="C112" s="7"/>
      <c r="D112" s="7"/>
      <c r="E112" s="7"/>
      <c r="F112" s="15"/>
      <c r="G112" s="7"/>
      <c r="H112" s="14"/>
      <c r="I112" s="14"/>
      <c r="J112" s="14"/>
      <c r="K112" s="7"/>
      <c r="L112" s="14"/>
      <c r="M112" s="7"/>
      <c r="N112" s="7"/>
      <c r="O112" s="11" t="str">
        <f>IF(H112="","",IF(I112&lt;&gt;"",I112,TODAY())-H112)</f>
        <v/>
      </c>
      <c r="P112" s="11" t="str">
        <f>IF(H112="","",IF(I112&lt;&gt;"",IF(I112-H112&lt;30,"No","Sí"),IF(TODAY()-H112&gt;=30,"Sí","En curso")))</f>
        <v/>
      </c>
      <c r="Q112" s="11" t="str">
        <f>IF(H112="","",IF(I112&lt;&gt;"",IF(I112-H112&lt;60,"No","Sí"),IF(TODAY()-H112&gt;=60,"Sí","En curso")))</f>
        <v/>
      </c>
      <c r="R112" s="11" t="str">
        <f>IF(H112="","",IF(I112&lt;&gt;"","Baja",IF(AND(TODAY()-H112&gt;=7,J112=""),"Falta check-in semana 1",IF(AND(TODAY()-H112&gt;=21,L112=""),"Falta check-in semana 3",""))))</f>
        <v/>
      </c>
    </row>
    <row r="113">
      <c r="A113" s="7"/>
      <c r="B113" s="7"/>
      <c r="C113" s="7"/>
      <c r="D113" s="7"/>
      <c r="E113" s="7"/>
      <c r="F113" s="15"/>
      <c r="G113" s="7"/>
      <c r="H113" s="14"/>
      <c r="I113" s="14"/>
      <c r="J113" s="14"/>
      <c r="K113" s="7"/>
      <c r="L113" s="14"/>
      <c r="M113" s="7"/>
      <c r="N113" s="7"/>
      <c r="O113" s="11" t="str">
        <f>IF(H113="","",IF(I113&lt;&gt;"",I113,TODAY())-H113)</f>
        <v/>
      </c>
      <c r="P113" s="11" t="str">
        <f>IF(H113="","",IF(I113&lt;&gt;"",IF(I113-H113&lt;30,"No","Sí"),IF(TODAY()-H113&gt;=30,"Sí","En curso")))</f>
        <v/>
      </c>
      <c r="Q113" s="11" t="str">
        <f>IF(H113="","",IF(I113&lt;&gt;"",IF(I113-H113&lt;60,"No","Sí"),IF(TODAY()-H113&gt;=60,"Sí","En curso")))</f>
        <v/>
      </c>
      <c r="R113" s="11" t="str">
        <f>IF(H113="","",IF(I113&lt;&gt;"","Baja",IF(AND(TODAY()-H113&gt;=7,J113=""),"Falta check-in semana 1",IF(AND(TODAY()-H113&gt;=21,L113=""),"Falta check-in semana 3",""))))</f>
        <v/>
      </c>
    </row>
    <row r="114">
      <c r="A114" s="7"/>
      <c r="B114" s="7"/>
      <c r="C114" s="7"/>
      <c r="D114" s="7"/>
      <c r="E114" s="7"/>
      <c r="F114" s="15"/>
      <c r="G114" s="7"/>
      <c r="H114" s="14"/>
      <c r="I114" s="14"/>
      <c r="J114" s="14"/>
      <c r="K114" s="7"/>
      <c r="L114" s="14"/>
      <c r="M114" s="7"/>
      <c r="N114" s="7"/>
      <c r="O114" s="11" t="str">
        <f>IF(H114="","",IF(I114&lt;&gt;"",I114,TODAY())-H114)</f>
        <v/>
      </c>
      <c r="P114" s="11" t="str">
        <f>IF(H114="","",IF(I114&lt;&gt;"",IF(I114-H114&lt;30,"No","Sí"),IF(TODAY()-H114&gt;=30,"Sí","En curso")))</f>
        <v/>
      </c>
      <c r="Q114" s="11" t="str">
        <f>IF(H114="","",IF(I114&lt;&gt;"",IF(I114-H114&lt;60,"No","Sí"),IF(TODAY()-H114&gt;=60,"Sí","En curso")))</f>
        <v/>
      </c>
      <c r="R114" s="11" t="str">
        <f>IF(H114="","",IF(I114&lt;&gt;"","Baja",IF(AND(TODAY()-H114&gt;=7,J114=""),"Falta check-in semana 1",IF(AND(TODAY()-H114&gt;=21,L114=""),"Falta check-in semana 3",""))))</f>
        <v/>
      </c>
    </row>
    <row r="115">
      <c r="A115" s="7"/>
      <c r="B115" s="7"/>
      <c r="C115" s="7"/>
      <c r="D115" s="7"/>
      <c r="E115" s="7"/>
      <c r="F115" s="15"/>
      <c r="G115" s="7"/>
      <c r="H115" s="14"/>
      <c r="I115" s="14"/>
      <c r="J115" s="14"/>
      <c r="K115" s="7"/>
      <c r="L115" s="14"/>
      <c r="M115" s="7"/>
      <c r="N115" s="7"/>
      <c r="O115" s="11" t="str">
        <f>IF(H115="","",IF(I115&lt;&gt;"",I115,TODAY())-H115)</f>
        <v/>
      </c>
      <c r="P115" s="11" t="str">
        <f>IF(H115="","",IF(I115&lt;&gt;"",IF(I115-H115&lt;30,"No","Sí"),IF(TODAY()-H115&gt;=30,"Sí","En curso")))</f>
        <v/>
      </c>
      <c r="Q115" s="11" t="str">
        <f>IF(H115="","",IF(I115&lt;&gt;"",IF(I115-H115&lt;60,"No","Sí"),IF(TODAY()-H115&gt;=60,"Sí","En curso")))</f>
        <v/>
      </c>
      <c r="R115" s="11" t="str">
        <f>IF(H115="","",IF(I115&lt;&gt;"","Baja",IF(AND(TODAY()-H115&gt;=7,J115=""),"Falta check-in semana 1",IF(AND(TODAY()-H115&gt;=21,L115=""),"Falta check-in semana 3",""))))</f>
        <v/>
      </c>
    </row>
    <row r="116">
      <c r="A116" s="7"/>
      <c r="B116" s="7"/>
      <c r="C116" s="7"/>
      <c r="D116" s="7"/>
      <c r="E116" s="7"/>
      <c r="F116" s="15"/>
      <c r="G116" s="7"/>
      <c r="H116" s="14"/>
      <c r="I116" s="14"/>
      <c r="J116" s="14"/>
      <c r="K116" s="7"/>
      <c r="L116" s="14"/>
      <c r="M116" s="7"/>
      <c r="N116" s="7"/>
      <c r="O116" s="11" t="str">
        <f>IF(H116="","",IF(I116&lt;&gt;"",I116,TODAY())-H116)</f>
        <v/>
      </c>
      <c r="P116" s="11" t="str">
        <f>IF(H116="","",IF(I116&lt;&gt;"",IF(I116-H116&lt;30,"No","Sí"),IF(TODAY()-H116&gt;=30,"Sí","En curso")))</f>
        <v/>
      </c>
      <c r="Q116" s="11" t="str">
        <f>IF(H116="","",IF(I116&lt;&gt;"",IF(I116-H116&lt;60,"No","Sí"),IF(TODAY()-H116&gt;=60,"Sí","En curso")))</f>
        <v/>
      </c>
      <c r="R116" s="11" t="str">
        <f>IF(H116="","",IF(I116&lt;&gt;"","Baja",IF(AND(TODAY()-H116&gt;=7,J116=""),"Falta check-in semana 1",IF(AND(TODAY()-H116&gt;=21,L116=""),"Falta check-in semana 3",""))))</f>
        <v/>
      </c>
    </row>
    <row r="117">
      <c r="A117" s="7"/>
      <c r="B117" s="7"/>
      <c r="C117" s="7"/>
      <c r="D117" s="7"/>
      <c r="E117" s="7"/>
      <c r="F117" s="15"/>
      <c r="G117" s="7"/>
      <c r="H117" s="14"/>
      <c r="I117" s="14"/>
      <c r="J117" s="14"/>
      <c r="K117" s="7"/>
      <c r="L117" s="14"/>
      <c r="M117" s="7"/>
      <c r="N117" s="7"/>
      <c r="O117" s="11" t="str">
        <f>IF(H117="","",IF(I117&lt;&gt;"",I117,TODAY())-H117)</f>
        <v/>
      </c>
      <c r="P117" s="11" t="str">
        <f>IF(H117="","",IF(I117&lt;&gt;"",IF(I117-H117&lt;30,"No","Sí"),IF(TODAY()-H117&gt;=30,"Sí","En curso")))</f>
        <v/>
      </c>
      <c r="Q117" s="11" t="str">
        <f>IF(H117="","",IF(I117&lt;&gt;"",IF(I117-H117&lt;60,"No","Sí"),IF(TODAY()-H117&gt;=60,"Sí","En curso")))</f>
        <v/>
      </c>
      <c r="R117" s="11" t="str">
        <f>IF(H117="","",IF(I117&lt;&gt;"","Baja",IF(AND(TODAY()-H117&gt;=7,J117=""),"Falta check-in semana 1",IF(AND(TODAY()-H117&gt;=21,L117=""),"Falta check-in semana 3",""))))</f>
        <v/>
      </c>
    </row>
    <row r="118">
      <c r="A118" s="7"/>
      <c r="B118" s="7"/>
      <c r="C118" s="7"/>
      <c r="D118" s="7"/>
      <c r="E118" s="7"/>
      <c r="F118" s="15"/>
      <c r="G118" s="7"/>
      <c r="H118" s="14"/>
      <c r="I118" s="14"/>
      <c r="J118" s="14"/>
      <c r="K118" s="7"/>
      <c r="L118" s="14"/>
      <c r="M118" s="7"/>
      <c r="N118" s="7"/>
      <c r="O118" s="11" t="str">
        <f>IF(H118="","",IF(I118&lt;&gt;"",I118,TODAY())-H118)</f>
        <v/>
      </c>
      <c r="P118" s="11" t="str">
        <f>IF(H118="","",IF(I118&lt;&gt;"",IF(I118-H118&lt;30,"No","Sí"),IF(TODAY()-H118&gt;=30,"Sí","En curso")))</f>
        <v/>
      </c>
      <c r="Q118" s="11" t="str">
        <f>IF(H118="","",IF(I118&lt;&gt;"",IF(I118-H118&lt;60,"No","Sí"),IF(TODAY()-H118&gt;=60,"Sí","En curso")))</f>
        <v/>
      </c>
      <c r="R118" s="11" t="str">
        <f>IF(H118="","",IF(I118&lt;&gt;"","Baja",IF(AND(TODAY()-H118&gt;=7,J118=""),"Falta check-in semana 1",IF(AND(TODAY()-H118&gt;=21,L118=""),"Falta check-in semana 3",""))))</f>
        <v/>
      </c>
    </row>
    <row r="119">
      <c r="A119" s="7"/>
      <c r="B119" s="7"/>
      <c r="C119" s="7"/>
      <c r="D119" s="7"/>
      <c r="E119" s="7"/>
      <c r="F119" s="15"/>
      <c r="G119" s="7"/>
      <c r="H119" s="14"/>
      <c r="I119" s="14"/>
      <c r="J119" s="14"/>
      <c r="K119" s="7"/>
      <c r="L119" s="14"/>
      <c r="M119" s="7"/>
      <c r="N119" s="7"/>
      <c r="O119" s="11" t="str">
        <f>IF(H119="","",IF(I119&lt;&gt;"",I119,TODAY())-H119)</f>
        <v/>
      </c>
      <c r="P119" s="11" t="str">
        <f>IF(H119="","",IF(I119&lt;&gt;"",IF(I119-H119&lt;30,"No","Sí"),IF(TODAY()-H119&gt;=30,"Sí","En curso")))</f>
        <v/>
      </c>
      <c r="Q119" s="11" t="str">
        <f>IF(H119="","",IF(I119&lt;&gt;"",IF(I119-H119&lt;60,"No","Sí"),IF(TODAY()-H119&gt;=60,"Sí","En curso")))</f>
        <v/>
      </c>
      <c r="R119" s="11" t="str">
        <f>IF(H119="","",IF(I119&lt;&gt;"","Baja",IF(AND(TODAY()-H119&gt;=7,J119=""),"Falta check-in semana 1",IF(AND(TODAY()-H119&gt;=21,L119=""),"Falta check-in semana 3",""))))</f>
        <v/>
      </c>
    </row>
    <row r="120">
      <c r="A120" s="7"/>
      <c r="B120" s="7"/>
      <c r="C120" s="7"/>
      <c r="D120" s="7"/>
      <c r="E120" s="7"/>
      <c r="F120" s="15"/>
      <c r="G120" s="7"/>
      <c r="H120" s="14"/>
      <c r="I120" s="14"/>
      <c r="J120" s="14"/>
      <c r="K120" s="7"/>
      <c r="L120" s="14"/>
      <c r="M120" s="7"/>
      <c r="N120" s="7"/>
      <c r="O120" s="11" t="str">
        <f>IF(H120="","",IF(I120&lt;&gt;"",I120,TODAY())-H120)</f>
        <v/>
      </c>
      <c r="P120" s="11" t="str">
        <f>IF(H120="","",IF(I120&lt;&gt;"",IF(I120-H120&lt;30,"No","Sí"),IF(TODAY()-H120&gt;=30,"Sí","En curso")))</f>
        <v/>
      </c>
      <c r="Q120" s="11" t="str">
        <f>IF(H120="","",IF(I120&lt;&gt;"",IF(I120-H120&lt;60,"No","Sí"),IF(TODAY()-H120&gt;=60,"Sí","En curso")))</f>
        <v/>
      </c>
      <c r="R120" s="11" t="str">
        <f>IF(H120="","",IF(I120&lt;&gt;"","Baja",IF(AND(TODAY()-H120&gt;=7,J120=""),"Falta check-in semana 1",IF(AND(TODAY()-H120&gt;=21,L120=""),"Falta check-in semana 3",""))))</f>
        <v/>
      </c>
    </row>
    <row r="121">
      <c r="A121" s="7"/>
      <c r="B121" s="7"/>
      <c r="C121" s="7"/>
      <c r="D121" s="7"/>
      <c r="E121" s="7"/>
      <c r="F121" s="15"/>
      <c r="G121" s="7"/>
      <c r="H121" s="14"/>
      <c r="I121" s="14"/>
      <c r="J121" s="14"/>
      <c r="K121" s="7"/>
      <c r="L121" s="14"/>
      <c r="M121" s="7"/>
      <c r="N121" s="7"/>
      <c r="O121" s="11" t="str">
        <f>IF(H121="","",IF(I121&lt;&gt;"",I121,TODAY())-H121)</f>
        <v/>
      </c>
      <c r="P121" s="11" t="str">
        <f>IF(H121="","",IF(I121&lt;&gt;"",IF(I121-H121&lt;30,"No","Sí"),IF(TODAY()-H121&gt;=30,"Sí","En curso")))</f>
        <v/>
      </c>
      <c r="Q121" s="11" t="str">
        <f>IF(H121="","",IF(I121&lt;&gt;"",IF(I121-H121&lt;60,"No","Sí"),IF(TODAY()-H121&gt;=60,"Sí","En curso")))</f>
        <v/>
      </c>
      <c r="R121" s="11" t="str">
        <f>IF(H121="","",IF(I121&lt;&gt;"","Baja",IF(AND(TODAY()-H121&gt;=7,J121=""),"Falta check-in semana 1",IF(AND(TODAY()-H121&gt;=21,L121=""),"Falta check-in semana 3",""))))</f>
        <v/>
      </c>
    </row>
    <row r="122">
      <c r="A122" s="7"/>
      <c r="B122" s="7"/>
      <c r="C122" s="7"/>
      <c r="D122" s="7"/>
      <c r="E122" s="7"/>
      <c r="F122" s="15"/>
      <c r="G122" s="7"/>
      <c r="H122" s="14"/>
      <c r="I122" s="14"/>
      <c r="J122" s="14"/>
      <c r="K122" s="7"/>
      <c r="L122" s="14"/>
      <c r="M122" s="7"/>
      <c r="N122" s="7"/>
      <c r="O122" s="11" t="str">
        <f>IF(H122="","",IF(I122&lt;&gt;"",I122,TODAY())-H122)</f>
        <v/>
      </c>
      <c r="P122" s="11" t="str">
        <f>IF(H122="","",IF(I122&lt;&gt;"",IF(I122-H122&lt;30,"No","Sí"),IF(TODAY()-H122&gt;=30,"Sí","En curso")))</f>
        <v/>
      </c>
      <c r="Q122" s="11" t="str">
        <f>IF(H122="","",IF(I122&lt;&gt;"",IF(I122-H122&lt;60,"No","Sí"),IF(TODAY()-H122&gt;=60,"Sí","En curso")))</f>
        <v/>
      </c>
      <c r="R122" s="11" t="str">
        <f>IF(H122="","",IF(I122&lt;&gt;"","Baja",IF(AND(TODAY()-H122&gt;=7,J122=""),"Falta check-in semana 1",IF(AND(TODAY()-H122&gt;=21,L122=""),"Falta check-in semana 3",""))))</f>
        <v/>
      </c>
    </row>
    <row r="123">
      <c r="A123" s="7"/>
      <c r="B123" s="7"/>
      <c r="C123" s="7"/>
      <c r="D123" s="7"/>
      <c r="E123" s="7"/>
      <c r="F123" s="15"/>
      <c r="G123" s="7"/>
      <c r="H123" s="14"/>
      <c r="I123" s="14"/>
      <c r="J123" s="14"/>
      <c r="K123" s="7"/>
      <c r="L123" s="14"/>
      <c r="M123" s="7"/>
      <c r="N123" s="7"/>
      <c r="O123" s="11" t="str">
        <f>IF(H123="","",IF(I123&lt;&gt;"",I123,TODAY())-H123)</f>
        <v/>
      </c>
      <c r="P123" s="11" t="str">
        <f>IF(H123="","",IF(I123&lt;&gt;"",IF(I123-H123&lt;30,"No","Sí"),IF(TODAY()-H123&gt;=30,"Sí","En curso")))</f>
        <v/>
      </c>
      <c r="Q123" s="11" t="str">
        <f>IF(H123="","",IF(I123&lt;&gt;"",IF(I123-H123&lt;60,"No","Sí"),IF(TODAY()-H123&gt;=60,"Sí","En curso")))</f>
        <v/>
      </c>
      <c r="R123" s="11" t="str">
        <f>IF(H123="","",IF(I123&lt;&gt;"","Baja",IF(AND(TODAY()-H123&gt;=7,J123=""),"Falta check-in semana 1",IF(AND(TODAY()-H123&gt;=21,L123=""),"Falta check-in semana 3",""))))</f>
        <v/>
      </c>
    </row>
    <row r="124">
      <c r="A124" s="7"/>
      <c r="B124" s="7"/>
      <c r="C124" s="7"/>
      <c r="D124" s="7"/>
      <c r="E124" s="7"/>
      <c r="F124" s="15"/>
      <c r="G124" s="7"/>
      <c r="H124" s="14"/>
      <c r="I124" s="14"/>
      <c r="J124" s="14"/>
      <c r="K124" s="7"/>
      <c r="L124" s="14"/>
      <c r="M124" s="7"/>
      <c r="N124" s="7"/>
      <c r="O124" s="11" t="str">
        <f>IF(H124="","",IF(I124&lt;&gt;"",I124,TODAY())-H124)</f>
        <v/>
      </c>
      <c r="P124" s="11" t="str">
        <f>IF(H124="","",IF(I124&lt;&gt;"",IF(I124-H124&lt;30,"No","Sí"),IF(TODAY()-H124&gt;=30,"Sí","En curso")))</f>
        <v/>
      </c>
      <c r="Q124" s="11" t="str">
        <f>IF(H124="","",IF(I124&lt;&gt;"",IF(I124-H124&lt;60,"No","Sí"),IF(TODAY()-H124&gt;=60,"Sí","En curso")))</f>
        <v/>
      </c>
      <c r="R124" s="11" t="str">
        <f>IF(H124="","",IF(I124&lt;&gt;"","Baja",IF(AND(TODAY()-H124&gt;=7,J124=""),"Falta check-in semana 1",IF(AND(TODAY()-H124&gt;=21,L124=""),"Falta check-in semana 3",""))))</f>
        <v/>
      </c>
    </row>
    <row r="125">
      <c r="A125" s="7"/>
      <c r="B125" s="7"/>
      <c r="C125" s="7"/>
      <c r="D125" s="7"/>
      <c r="E125" s="7"/>
      <c r="F125" s="15"/>
      <c r="G125" s="7"/>
      <c r="H125" s="14"/>
      <c r="I125" s="14"/>
      <c r="J125" s="14"/>
      <c r="K125" s="7"/>
      <c r="L125" s="14"/>
      <c r="M125" s="7"/>
      <c r="N125" s="7"/>
      <c r="O125" s="11" t="str">
        <f>IF(H125="","",IF(I125&lt;&gt;"",I125,TODAY())-H125)</f>
        <v/>
      </c>
      <c r="P125" s="11" t="str">
        <f>IF(H125="","",IF(I125&lt;&gt;"",IF(I125-H125&lt;30,"No","Sí"),IF(TODAY()-H125&gt;=30,"Sí","En curso")))</f>
        <v/>
      </c>
      <c r="Q125" s="11" t="str">
        <f>IF(H125="","",IF(I125&lt;&gt;"",IF(I125-H125&lt;60,"No","Sí"),IF(TODAY()-H125&gt;=60,"Sí","En curso")))</f>
        <v/>
      </c>
      <c r="R125" s="11" t="str">
        <f>IF(H125="","",IF(I125&lt;&gt;"","Baja",IF(AND(TODAY()-H125&gt;=7,J125=""),"Falta check-in semana 1",IF(AND(TODAY()-H125&gt;=21,L125=""),"Falta check-in semana 3",""))))</f>
        <v/>
      </c>
    </row>
    <row r="126">
      <c r="A126" s="7"/>
      <c r="B126" s="7"/>
      <c r="C126" s="7"/>
      <c r="D126" s="7"/>
      <c r="E126" s="7"/>
      <c r="F126" s="15"/>
      <c r="G126" s="7"/>
      <c r="H126" s="14"/>
      <c r="I126" s="14"/>
      <c r="J126" s="14"/>
      <c r="K126" s="7"/>
      <c r="L126" s="14"/>
      <c r="M126" s="7"/>
      <c r="N126" s="7"/>
      <c r="O126" s="11" t="str">
        <f>IF(H126="","",IF(I126&lt;&gt;"",I126,TODAY())-H126)</f>
        <v/>
      </c>
      <c r="P126" s="11" t="str">
        <f>IF(H126="","",IF(I126&lt;&gt;"",IF(I126-H126&lt;30,"No","Sí"),IF(TODAY()-H126&gt;=30,"Sí","En curso")))</f>
        <v/>
      </c>
      <c r="Q126" s="11" t="str">
        <f>IF(H126="","",IF(I126&lt;&gt;"",IF(I126-H126&lt;60,"No","Sí"),IF(TODAY()-H126&gt;=60,"Sí","En curso")))</f>
        <v/>
      </c>
      <c r="R126" s="11" t="str">
        <f>IF(H126="","",IF(I126&lt;&gt;"","Baja",IF(AND(TODAY()-H126&gt;=7,J126=""),"Falta check-in semana 1",IF(AND(TODAY()-H126&gt;=21,L126=""),"Falta check-in semana 3",""))))</f>
        <v/>
      </c>
    </row>
    <row r="127">
      <c r="A127" s="7"/>
      <c r="B127" s="7"/>
      <c r="C127" s="7"/>
      <c r="D127" s="7"/>
      <c r="E127" s="7"/>
      <c r="F127" s="15"/>
      <c r="G127" s="7"/>
      <c r="H127" s="14"/>
      <c r="I127" s="14"/>
      <c r="J127" s="14"/>
      <c r="K127" s="7"/>
      <c r="L127" s="14"/>
      <c r="M127" s="7"/>
      <c r="N127" s="7"/>
      <c r="O127" s="11" t="str">
        <f>IF(H127="","",IF(I127&lt;&gt;"",I127,TODAY())-H127)</f>
        <v/>
      </c>
      <c r="P127" s="11" t="str">
        <f>IF(H127="","",IF(I127&lt;&gt;"",IF(I127-H127&lt;30,"No","Sí"),IF(TODAY()-H127&gt;=30,"Sí","En curso")))</f>
        <v/>
      </c>
      <c r="Q127" s="11" t="str">
        <f>IF(H127="","",IF(I127&lt;&gt;"",IF(I127-H127&lt;60,"No","Sí"),IF(TODAY()-H127&gt;=60,"Sí","En curso")))</f>
        <v/>
      </c>
      <c r="R127" s="11" t="str">
        <f>IF(H127="","",IF(I127&lt;&gt;"","Baja",IF(AND(TODAY()-H127&gt;=7,J127=""),"Falta check-in semana 1",IF(AND(TODAY()-H127&gt;=21,L127=""),"Falta check-in semana 3",""))))</f>
        <v/>
      </c>
    </row>
    <row r="128">
      <c r="A128" s="7"/>
      <c r="B128" s="7"/>
      <c r="C128" s="7"/>
      <c r="D128" s="7"/>
      <c r="E128" s="7"/>
      <c r="F128" s="15"/>
      <c r="G128" s="7"/>
      <c r="H128" s="14"/>
      <c r="I128" s="14"/>
      <c r="J128" s="14"/>
      <c r="K128" s="7"/>
      <c r="L128" s="14"/>
      <c r="M128" s="7"/>
      <c r="N128" s="7"/>
      <c r="O128" s="11" t="str">
        <f>IF(H128="","",IF(I128&lt;&gt;"",I128,TODAY())-H128)</f>
        <v/>
      </c>
      <c r="P128" s="11" t="str">
        <f>IF(H128="","",IF(I128&lt;&gt;"",IF(I128-H128&lt;30,"No","Sí"),IF(TODAY()-H128&gt;=30,"Sí","En curso")))</f>
        <v/>
      </c>
      <c r="Q128" s="11" t="str">
        <f>IF(H128="","",IF(I128&lt;&gt;"",IF(I128-H128&lt;60,"No","Sí"),IF(TODAY()-H128&gt;=60,"Sí","En curso")))</f>
        <v/>
      </c>
      <c r="R128" s="11" t="str">
        <f>IF(H128="","",IF(I128&lt;&gt;"","Baja",IF(AND(TODAY()-H128&gt;=7,J128=""),"Falta check-in semana 1",IF(AND(TODAY()-H128&gt;=21,L128=""),"Falta check-in semana 3",""))))</f>
        <v/>
      </c>
    </row>
    <row r="129">
      <c r="A129" s="7"/>
      <c r="B129" s="7"/>
      <c r="C129" s="7"/>
      <c r="D129" s="7"/>
      <c r="E129" s="7"/>
      <c r="F129" s="15"/>
      <c r="G129" s="7"/>
      <c r="H129" s="14"/>
      <c r="I129" s="14"/>
      <c r="J129" s="14"/>
      <c r="K129" s="7"/>
      <c r="L129" s="14"/>
      <c r="M129" s="7"/>
      <c r="N129" s="7"/>
      <c r="O129" s="11" t="str">
        <f>IF(H129="","",IF(I129&lt;&gt;"",I129,TODAY())-H129)</f>
        <v/>
      </c>
      <c r="P129" s="11" t="str">
        <f>IF(H129="","",IF(I129&lt;&gt;"",IF(I129-H129&lt;30,"No","Sí"),IF(TODAY()-H129&gt;=30,"Sí","En curso")))</f>
        <v/>
      </c>
      <c r="Q129" s="11" t="str">
        <f>IF(H129="","",IF(I129&lt;&gt;"",IF(I129-H129&lt;60,"No","Sí"),IF(TODAY()-H129&gt;=60,"Sí","En curso")))</f>
        <v/>
      </c>
      <c r="R129" s="11" t="str">
        <f>IF(H129="","",IF(I129&lt;&gt;"","Baja",IF(AND(TODAY()-H129&gt;=7,J129=""),"Falta check-in semana 1",IF(AND(TODAY()-H129&gt;=21,L129=""),"Falta check-in semana 3",""))))</f>
        <v/>
      </c>
    </row>
    <row r="130">
      <c r="A130" s="7"/>
      <c r="B130" s="7"/>
      <c r="C130" s="7"/>
      <c r="D130" s="7"/>
      <c r="E130" s="7"/>
      <c r="F130" s="15"/>
      <c r="G130" s="7"/>
      <c r="H130" s="14"/>
      <c r="I130" s="14"/>
      <c r="J130" s="14"/>
      <c r="K130" s="7"/>
      <c r="L130" s="14"/>
      <c r="M130" s="7"/>
      <c r="N130" s="7"/>
      <c r="O130" s="11" t="str">
        <f>IF(H130="","",IF(I130&lt;&gt;"",I130,TODAY())-H130)</f>
        <v/>
      </c>
      <c r="P130" s="11" t="str">
        <f>IF(H130="","",IF(I130&lt;&gt;"",IF(I130-H130&lt;30,"No","Sí"),IF(TODAY()-H130&gt;=30,"Sí","En curso")))</f>
        <v/>
      </c>
      <c r="Q130" s="11" t="str">
        <f>IF(H130="","",IF(I130&lt;&gt;"",IF(I130-H130&lt;60,"No","Sí"),IF(TODAY()-H130&gt;=60,"Sí","En curso")))</f>
        <v/>
      </c>
      <c r="R130" s="11" t="str">
        <f>IF(H130="","",IF(I130&lt;&gt;"","Baja",IF(AND(TODAY()-H130&gt;=7,J130=""),"Falta check-in semana 1",IF(AND(TODAY()-H130&gt;=21,L130=""),"Falta check-in semana 3",""))))</f>
        <v/>
      </c>
    </row>
    <row r="131">
      <c r="A131" s="7"/>
      <c r="B131" s="7"/>
      <c r="C131" s="7"/>
      <c r="D131" s="7"/>
      <c r="E131" s="7"/>
      <c r="F131" s="15"/>
      <c r="G131" s="7"/>
      <c r="H131" s="14"/>
      <c r="I131" s="14"/>
      <c r="J131" s="14"/>
      <c r="K131" s="7"/>
      <c r="L131" s="14"/>
      <c r="M131" s="7"/>
      <c r="N131" s="7"/>
      <c r="O131" s="11" t="str">
        <f>IF(H131="","",IF(I131&lt;&gt;"",I131,TODAY())-H131)</f>
        <v/>
      </c>
      <c r="P131" s="11" t="str">
        <f>IF(H131="","",IF(I131&lt;&gt;"",IF(I131-H131&lt;30,"No","Sí"),IF(TODAY()-H131&gt;=30,"Sí","En curso")))</f>
        <v/>
      </c>
      <c r="Q131" s="11" t="str">
        <f>IF(H131="","",IF(I131&lt;&gt;"",IF(I131-H131&lt;60,"No","Sí"),IF(TODAY()-H131&gt;=60,"Sí","En curso")))</f>
        <v/>
      </c>
      <c r="R131" s="11" t="str">
        <f>IF(H131="","",IF(I131&lt;&gt;"","Baja",IF(AND(TODAY()-H131&gt;=7,J131=""),"Falta check-in semana 1",IF(AND(TODAY()-H131&gt;=21,L131=""),"Falta check-in semana 3",""))))</f>
        <v/>
      </c>
    </row>
    <row r="132">
      <c r="A132" s="7"/>
      <c r="B132" s="7"/>
      <c r="C132" s="7"/>
      <c r="D132" s="7"/>
      <c r="E132" s="7"/>
      <c r="F132" s="15"/>
      <c r="G132" s="7"/>
      <c r="H132" s="14"/>
      <c r="I132" s="14"/>
      <c r="J132" s="14"/>
      <c r="K132" s="7"/>
      <c r="L132" s="14"/>
      <c r="M132" s="7"/>
      <c r="N132" s="7"/>
      <c r="O132" s="11" t="str">
        <f>IF(H132="","",IF(I132&lt;&gt;"",I132,TODAY())-H132)</f>
        <v/>
      </c>
      <c r="P132" s="11" t="str">
        <f>IF(H132="","",IF(I132&lt;&gt;"",IF(I132-H132&lt;30,"No","Sí"),IF(TODAY()-H132&gt;=30,"Sí","En curso")))</f>
        <v/>
      </c>
      <c r="Q132" s="11" t="str">
        <f>IF(H132="","",IF(I132&lt;&gt;"",IF(I132-H132&lt;60,"No","Sí"),IF(TODAY()-H132&gt;=60,"Sí","En curso")))</f>
        <v/>
      </c>
      <c r="R132" s="11" t="str">
        <f>IF(H132="","",IF(I132&lt;&gt;"","Baja",IF(AND(TODAY()-H132&gt;=7,J132=""),"Falta check-in semana 1",IF(AND(TODAY()-H132&gt;=21,L132=""),"Falta check-in semana 3",""))))</f>
        <v/>
      </c>
    </row>
    <row r="133">
      <c r="A133" s="7"/>
      <c r="B133" s="7"/>
      <c r="C133" s="7"/>
      <c r="D133" s="7"/>
      <c r="E133" s="7"/>
      <c r="F133" s="15"/>
      <c r="G133" s="7"/>
      <c r="H133" s="14"/>
      <c r="I133" s="14"/>
      <c r="J133" s="14"/>
      <c r="K133" s="7"/>
      <c r="L133" s="14"/>
      <c r="M133" s="7"/>
      <c r="N133" s="7"/>
      <c r="O133" s="11" t="str">
        <f>IF(H133="","",IF(I133&lt;&gt;"",I133,TODAY())-H133)</f>
        <v/>
      </c>
      <c r="P133" s="11" t="str">
        <f>IF(H133="","",IF(I133&lt;&gt;"",IF(I133-H133&lt;30,"No","Sí"),IF(TODAY()-H133&gt;=30,"Sí","En curso")))</f>
        <v/>
      </c>
      <c r="Q133" s="11" t="str">
        <f>IF(H133="","",IF(I133&lt;&gt;"",IF(I133-H133&lt;60,"No","Sí"),IF(TODAY()-H133&gt;=60,"Sí","En curso")))</f>
        <v/>
      </c>
      <c r="R133" s="11" t="str">
        <f>IF(H133="","",IF(I133&lt;&gt;"","Baja",IF(AND(TODAY()-H133&gt;=7,J133=""),"Falta check-in semana 1",IF(AND(TODAY()-H133&gt;=21,L133=""),"Falta check-in semana 3",""))))</f>
        <v/>
      </c>
    </row>
    <row r="134">
      <c r="A134" s="7"/>
      <c r="B134" s="7"/>
      <c r="C134" s="7"/>
      <c r="D134" s="7"/>
      <c r="E134" s="7"/>
      <c r="F134" s="15"/>
      <c r="G134" s="7"/>
      <c r="H134" s="14"/>
      <c r="I134" s="14"/>
      <c r="J134" s="14"/>
      <c r="K134" s="7"/>
      <c r="L134" s="14"/>
      <c r="M134" s="7"/>
      <c r="N134" s="7"/>
      <c r="O134" s="11" t="str">
        <f>IF(H134="","",IF(I134&lt;&gt;"",I134,TODAY())-H134)</f>
        <v/>
      </c>
      <c r="P134" s="11" t="str">
        <f>IF(H134="","",IF(I134&lt;&gt;"",IF(I134-H134&lt;30,"No","Sí"),IF(TODAY()-H134&gt;=30,"Sí","En curso")))</f>
        <v/>
      </c>
      <c r="Q134" s="11" t="str">
        <f>IF(H134="","",IF(I134&lt;&gt;"",IF(I134-H134&lt;60,"No","Sí"),IF(TODAY()-H134&gt;=60,"Sí","En curso")))</f>
        <v/>
      </c>
      <c r="R134" s="11" t="str">
        <f>IF(H134="","",IF(I134&lt;&gt;"","Baja",IF(AND(TODAY()-H134&gt;=7,J134=""),"Falta check-in semana 1",IF(AND(TODAY()-H134&gt;=21,L134=""),"Falta check-in semana 3",""))))</f>
        <v/>
      </c>
    </row>
    <row r="135">
      <c r="A135" s="7"/>
      <c r="B135" s="7"/>
      <c r="C135" s="7"/>
      <c r="D135" s="7"/>
      <c r="E135" s="7"/>
      <c r="F135" s="15"/>
      <c r="G135" s="7"/>
      <c r="H135" s="14"/>
      <c r="I135" s="14"/>
      <c r="J135" s="14"/>
      <c r="K135" s="7"/>
      <c r="L135" s="14"/>
      <c r="M135" s="7"/>
      <c r="N135" s="7"/>
      <c r="O135" s="11" t="str">
        <f>IF(H135="","",IF(I135&lt;&gt;"",I135,TODAY())-H135)</f>
        <v/>
      </c>
      <c r="P135" s="11" t="str">
        <f>IF(H135="","",IF(I135&lt;&gt;"",IF(I135-H135&lt;30,"No","Sí"),IF(TODAY()-H135&gt;=30,"Sí","En curso")))</f>
        <v/>
      </c>
      <c r="Q135" s="11" t="str">
        <f>IF(H135="","",IF(I135&lt;&gt;"",IF(I135-H135&lt;60,"No","Sí"),IF(TODAY()-H135&gt;=60,"Sí","En curso")))</f>
        <v/>
      </c>
      <c r="R135" s="11" t="str">
        <f>IF(H135="","",IF(I135&lt;&gt;"","Baja",IF(AND(TODAY()-H135&gt;=7,J135=""),"Falta check-in semana 1",IF(AND(TODAY()-H135&gt;=21,L135=""),"Falta check-in semana 3",""))))</f>
        <v/>
      </c>
    </row>
    <row r="136">
      <c r="A136" s="7"/>
      <c r="B136" s="7"/>
      <c r="C136" s="7"/>
      <c r="D136" s="7"/>
      <c r="E136" s="7"/>
      <c r="F136" s="15"/>
      <c r="G136" s="7"/>
      <c r="H136" s="14"/>
      <c r="I136" s="14"/>
      <c r="J136" s="14"/>
      <c r="K136" s="7"/>
      <c r="L136" s="14"/>
      <c r="M136" s="7"/>
      <c r="N136" s="7"/>
      <c r="O136" s="11" t="str">
        <f>IF(H136="","",IF(I136&lt;&gt;"",I136,TODAY())-H136)</f>
        <v/>
      </c>
      <c r="P136" s="11" t="str">
        <f>IF(H136="","",IF(I136&lt;&gt;"",IF(I136-H136&lt;30,"No","Sí"),IF(TODAY()-H136&gt;=30,"Sí","En curso")))</f>
        <v/>
      </c>
      <c r="Q136" s="11" t="str">
        <f>IF(H136="","",IF(I136&lt;&gt;"",IF(I136-H136&lt;60,"No","Sí"),IF(TODAY()-H136&gt;=60,"Sí","En curso")))</f>
        <v/>
      </c>
      <c r="R136" s="11" t="str">
        <f>IF(H136="","",IF(I136&lt;&gt;"","Baja",IF(AND(TODAY()-H136&gt;=7,J136=""),"Falta check-in semana 1",IF(AND(TODAY()-H136&gt;=21,L136=""),"Falta check-in semana 3",""))))</f>
        <v/>
      </c>
    </row>
    <row r="137">
      <c r="A137" s="7"/>
      <c r="B137" s="7"/>
      <c r="C137" s="7"/>
      <c r="D137" s="7"/>
      <c r="E137" s="7"/>
      <c r="F137" s="15"/>
      <c r="G137" s="7"/>
      <c r="H137" s="14"/>
      <c r="I137" s="14"/>
      <c r="J137" s="14"/>
      <c r="K137" s="7"/>
      <c r="L137" s="14"/>
      <c r="M137" s="7"/>
      <c r="N137" s="7"/>
      <c r="O137" s="11" t="str">
        <f>IF(H137="","",IF(I137&lt;&gt;"",I137,TODAY())-H137)</f>
        <v/>
      </c>
      <c r="P137" s="11" t="str">
        <f>IF(H137="","",IF(I137&lt;&gt;"",IF(I137-H137&lt;30,"No","Sí"),IF(TODAY()-H137&gt;=30,"Sí","En curso")))</f>
        <v/>
      </c>
      <c r="Q137" s="11" t="str">
        <f>IF(H137="","",IF(I137&lt;&gt;"",IF(I137-H137&lt;60,"No","Sí"),IF(TODAY()-H137&gt;=60,"Sí","En curso")))</f>
        <v/>
      </c>
      <c r="R137" s="11" t="str">
        <f>IF(H137="","",IF(I137&lt;&gt;"","Baja",IF(AND(TODAY()-H137&gt;=7,J137=""),"Falta check-in semana 1",IF(AND(TODAY()-H137&gt;=21,L137=""),"Falta check-in semana 3",""))))</f>
        <v/>
      </c>
    </row>
    <row r="138">
      <c r="A138" s="7"/>
      <c r="B138" s="7"/>
      <c r="C138" s="7"/>
      <c r="D138" s="7"/>
      <c r="E138" s="7"/>
      <c r="F138" s="15"/>
      <c r="G138" s="7"/>
      <c r="H138" s="14"/>
      <c r="I138" s="14"/>
      <c r="J138" s="14"/>
      <c r="K138" s="7"/>
      <c r="L138" s="14"/>
      <c r="M138" s="7"/>
      <c r="N138" s="7"/>
      <c r="O138" s="11" t="str">
        <f>IF(H138="","",IF(I138&lt;&gt;"",I138,TODAY())-H138)</f>
        <v/>
      </c>
      <c r="P138" s="11" t="str">
        <f>IF(H138="","",IF(I138&lt;&gt;"",IF(I138-H138&lt;30,"No","Sí"),IF(TODAY()-H138&gt;=30,"Sí","En curso")))</f>
        <v/>
      </c>
      <c r="Q138" s="11" t="str">
        <f>IF(H138="","",IF(I138&lt;&gt;"",IF(I138-H138&lt;60,"No","Sí"),IF(TODAY()-H138&gt;=60,"Sí","En curso")))</f>
        <v/>
      </c>
      <c r="R138" s="11" t="str">
        <f>IF(H138="","",IF(I138&lt;&gt;"","Baja",IF(AND(TODAY()-H138&gt;=7,J138=""),"Falta check-in semana 1",IF(AND(TODAY()-H138&gt;=21,L138=""),"Falta check-in semana 3",""))))</f>
        <v/>
      </c>
    </row>
    <row r="139">
      <c r="A139" s="7"/>
      <c r="B139" s="7"/>
      <c r="C139" s="7"/>
      <c r="D139" s="7"/>
      <c r="E139" s="7"/>
      <c r="F139" s="15"/>
      <c r="G139" s="7"/>
      <c r="H139" s="14"/>
      <c r="I139" s="14"/>
      <c r="J139" s="14"/>
      <c r="K139" s="7"/>
      <c r="L139" s="14"/>
      <c r="M139" s="7"/>
      <c r="N139" s="7"/>
      <c r="O139" s="11" t="str">
        <f>IF(H139="","",IF(I139&lt;&gt;"",I139,TODAY())-H139)</f>
        <v/>
      </c>
      <c r="P139" s="11" t="str">
        <f>IF(H139="","",IF(I139&lt;&gt;"",IF(I139-H139&lt;30,"No","Sí"),IF(TODAY()-H139&gt;=30,"Sí","En curso")))</f>
        <v/>
      </c>
      <c r="Q139" s="11" t="str">
        <f>IF(H139="","",IF(I139&lt;&gt;"",IF(I139-H139&lt;60,"No","Sí"),IF(TODAY()-H139&gt;=60,"Sí","En curso")))</f>
        <v/>
      </c>
      <c r="R139" s="11" t="str">
        <f>IF(H139="","",IF(I139&lt;&gt;"","Baja",IF(AND(TODAY()-H139&gt;=7,J139=""),"Falta check-in semana 1",IF(AND(TODAY()-H139&gt;=21,L139=""),"Falta check-in semana 3",""))))</f>
        <v/>
      </c>
    </row>
    <row r="140">
      <c r="A140" s="7"/>
      <c r="B140" s="7"/>
      <c r="C140" s="7"/>
      <c r="D140" s="7"/>
      <c r="E140" s="7"/>
      <c r="F140" s="15"/>
      <c r="G140" s="7"/>
      <c r="H140" s="14"/>
      <c r="I140" s="14"/>
      <c r="J140" s="14"/>
      <c r="K140" s="7"/>
      <c r="L140" s="14"/>
      <c r="M140" s="7"/>
      <c r="N140" s="7"/>
      <c r="O140" s="11" t="str">
        <f>IF(H140="","",IF(I140&lt;&gt;"",I140,TODAY())-H140)</f>
        <v/>
      </c>
      <c r="P140" s="11" t="str">
        <f>IF(H140="","",IF(I140&lt;&gt;"",IF(I140-H140&lt;30,"No","Sí"),IF(TODAY()-H140&gt;=30,"Sí","En curso")))</f>
        <v/>
      </c>
      <c r="Q140" s="11" t="str">
        <f>IF(H140="","",IF(I140&lt;&gt;"",IF(I140-H140&lt;60,"No","Sí"),IF(TODAY()-H140&gt;=60,"Sí","En curso")))</f>
        <v/>
      </c>
      <c r="R140" s="11" t="str">
        <f>IF(H140="","",IF(I140&lt;&gt;"","Baja",IF(AND(TODAY()-H140&gt;=7,J140=""),"Falta check-in semana 1",IF(AND(TODAY()-H140&gt;=21,L140=""),"Falta check-in semana 3",""))))</f>
        <v/>
      </c>
    </row>
    <row r="141">
      <c r="A141" s="7"/>
      <c r="B141" s="7"/>
      <c r="C141" s="7"/>
      <c r="D141" s="7"/>
      <c r="E141" s="7"/>
      <c r="F141" s="15"/>
      <c r="G141" s="7"/>
      <c r="H141" s="14"/>
      <c r="I141" s="14"/>
      <c r="J141" s="14"/>
      <c r="K141" s="7"/>
      <c r="L141" s="14"/>
      <c r="M141" s="7"/>
      <c r="N141" s="7"/>
      <c r="O141" s="11" t="str">
        <f>IF(H141="","",IF(I141&lt;&gt;"",I141,TODAY())-H141)</f>
        <v/>
      </c>
      <c r="P141" s="11" t="str">
        <f>IF(H141="","",IF(I141&lt;&gt;"",IF(I141-H141&lt;30,"No","Sí"),IF(TODAY()-H141&gt;=30,"Sí","En curso")))</f>
        <v/>
      </c>
      <c r="Q141" s="11" t="str">
        <f>IF(H141="","",IF(I141&lt;&gt;"",IF(I141-H141&lt;60,"No","Sí"),IF(TODAY()-H141&gt;=60,"Sí","En curso")))</f>
        <v/>
      </c>
      <c r="R141" s="11" t="str">
        <f>IF(H141="","",IF(I141&lt;&gt;"","Baja",IF(AND(TODAY()-H141&gt;=7,J141=""),"Falta check-in semana 1",IF(AND(TODAY()-H141&gt;=21,L141=""),"Falta check-in semana 3",""))))</f>
        <v/>
      </c>
    </row>
    <row r="142">
      <c r="A142" s="7"/>
      <c r="B142" s="7"/>
      <c r="C142" s="7"/>
      <c r="D142" s="7"/>
      <c r="E142" s="7"/>
      <c r="F142" s="15"/>
      <c r="G142" s="7"/>
      <c r="H142" s="14"/>
      <c r="I142" s="14"/>
      <c r="J142" s="14"/>
      <c r="K142" s="7"/>
      <c r="L142" s="14"/>
      <c r="M142" s="7"/>
      <c r="N142" s="7"/>
      <c r="O142" s="11" t="str">
        <f>IF(H142="","",IF(I142&lt;&gt;"",I142,TODAY())-H142)</f>
        <v/>
      </c>
      <c r="P142" s="11" t="str">
        <f>IF(H142="","",IF(I142&lt;&gt;"",IF(I142-H142&lt;30,"No","Sí"),IF(TODAY()-H142&gt;=30,"Sí","En curso")))</f>
        <v/>
      </c>
      <c r="Q142" s="11" t="str">
        <f>IF(H142="","",IF(I142&lt;&gt;"",IF(I142-H142&lt;60,"No","Sí"),IF(TODAY()-H142&gt;=60,"Sí","En curso")))</f>
        <v/>
      </c>
      <c r="R142" s="11" t="str">
        <f>IF(H142="","",IF(I142&lt;&gt;"","Baja",IF(AND(TODAY()-H142&gt;=7,J142=""),"Falta check-in semana 1",IF(AND(TODAY()-H142&gt;=21,L142=""),"Falta check-in semana 3",""))))</f>
        <v/>
      </c>
    </row>
    <row r="143">
      <c r="A143" s="7"/>
      <c r="B143" s="7"/>
      <c r="C143" s="7"/>
      <c r="D143" s="7"/>
      <c r="E143" s="7"/>
      <c r="F143" s="15"/>
      <c r="G143" s="7"/>
      <c r="H143" s="14"/>
      <c r="I143" s="14"/>
      <c r="J143" s="14"/>
      <c r="K143" s="7"/>
      <c r="L143" s="14"/>
      <c r="M143" s="7"/>
      <c r="N143" s="7"/>
      <c r="O143" s="11" t="str">
        <f>IF(H143="","",IF(I143&lt;&gt;"",I143,TODAY())-H143)</f>
        <v/>
      </c>
      <c r="P143" s="11" t="str">
        <f>IF(H143="","",IF(I143&lt;&gt;"",IF(I143-H143&lt;30,"No","Sí"),IF(TODAY()-H143&gt;=30,"Sí","En curso")))</f>
        <v/>
      </c>
      <c r="Q143" s="11" t="str">
        <f>IF(H143="","",IF(I143&lt;&gt;"",IF(I143-H143&lt;60,"No","Sí"),IF(TODAY()-H143&gt;=60,"Sí","En curso")))</f>
        <v/>
      </c>
      <c r="R143" s="11" t="str">
        <f>IF(H143="","",IF(I143&lt;&gt;"","Baja",IF(AND(TODAY()-H143&gt;=7,J143=""),"Falta check-in semana 1",IF(AND(TODAY()-H143&gt;=21,L143=""),"Falta check-in semana 3",""))))</f>
        <v/>
      </c>
    </row>
    <row r="144">
      <c r="A144" s="7"/>
      <c r="B144" s="7"/>
      <c r="C144" s="7"/>
      <c r="D144" s="7"/>
      <c r="E144" s="7"/>
      <c r="F144" s="15"/>
      <c r="G144" s="7"/>
      <c r="H144" s="14"/>
      <c r="I144" s="14"/>
      <c r="J144" s="14"/>
      <c r="K144" s="7"/>
      <c r="L144" s="14"/>
      <c r="M144" s="7"/>
      <c r="N144" s="7"/>
      <c r="O144" s="11" t="str">
        <f>IF(H144="","",IF(I144&lt;&gt;"",I144,TODAY())-H144)</f>
        <v/>
      </c>
      <c r="P144" s="11" t="str">
        <f>IF(H144="","",IF(I144&lt;&gt;"",IF(I144-H144&lt;30,"No","Sí"),IF(TODAY()-H144&gt;=30,"Sí","En curso")))</f>
        <v/>
      </c>
      <c r="Q144" s="11" t="str">
        <f>IF(H144="","",IF(I144&lt;&gt;"",IF(I144-H144&lt;60,"No","Sí"),IF(TODAY()-H144&gt;=60,"Sí","En curso")))</f>
        <v/>
      </c>
      <c r="R144" s="11" t="str">
        <f>IF(H144="","",IF(I144&lt;&gt;"","Baja",IF(AND(TODAY()-H144&gt;=7,J144=""),"Falta check-in semana 1",IF(AND(TODAY()-H144&gt;=21,L144=""),"Falta check-in semana 3",""))))</f>
        <v/>
      </c>
    </row>
    <row r="145">
      <c r="A145" s="7"/>
      <c r="B145" s="7"/>
      <c r="C145" s="7"/>
      <c r="D145" s="7"/>
      <c r="E145" s="7"/>
      <c r="F145" s="15"/>
      <c r="G145" s="7"/>
      <c r="H145" s="14"/>
      <c r="I145" s="14"/>
      <c r="J145" s="14"/>
      <c r="K145" s="7"/>
      <c r="L145" s="14"/>
      <c r="M145" s="7"/>
      <c r="N145" s="7"/>
      <c r="O145" s="11" t="str">
        <f>IF(H145="","",IF(I145&lt;&gt;"",I145,TODAY())-H145)</f>
        <v/>
      </c>
      <c r="P145" s="11" t="str">
        <f>IF(H145="","",IF(I145&lt;&gt;"",IF(I145-H145&lt;30,"No","Sí"),IF(TODAY()-H145&gt;=30,"Sí","En curso")))</f>
        <v/>
      </c>
      <c r="Q145" s="11" t="str">
        <f>IF(H145="","",IF(I145&lt;&gt;"",IF(I145-H145&lt;60,"No","Sí"),IF(TODAY()-H145&gt;=60,"Sí","En curso")))</f>
        <v/>
      </c>
      <c r="R145" s="11" t="str">
        <f>IF(H145="","",IF(I145&lt;&gt;"","Baja",IF(AND(TODAY()-H145&gt;=7,J145=""),"Falta check-in semana 1",IF(AND(TODAY()-H145&gt;=21,L145=""),"Falta check-in semana 3",""))))</f>
        <v/>
      </c>
    </row>
    <row r="146">
      <c r="A146" s="7"/>
      <c r="B146" s="7"/>
      <c r="C146" s="7"/>
      <c r="D146" s="7"/>
      <c r="E146" s="7"/>
      <c r="F146" s="15"/>
      <c r="G146" s="7"/>
      <c r="H146" s="14"/>
      <c r="I146" s="14"/>
      <c r="J146" s="14"/>
      <c r="K146" s="7"/>
      <c r="L146" s="14"/>
      <c r="M146" s="7"/>
      <c r="N146" s="7"/>
      <c r="O146" s="11" t="str">
        <f>IF(H146="","",IF(I146&lt;&gt;"",I146,TODAY())-H146)</f>
        <v/>
      </c>
      <c r="P146" s="11" t="str">
        <f>IF(H146="","",IF(I146&lt;&gt;"",IF(I146-H146&lt;30,"No","Sí"),IF(TODAY()-H146&gt;=30,"Sí","En curso")))</f>
        <v/>
      </c>
      <c r="Q146" s="11" t="str">
        <f>IF(H146="","",IF(I146&lt;&gt;"",IF(I146-H146&lt;60,"No","Sí"),IF(TODAY()-H146&gt;=60,"Sí","En curso")))</f>
        <v/>
      </c>
      <c r="R146" s="11" t="str">
        <f>IF(H146="","",IF(I146&lt;&gt;"","Baja",IF(AND(TODAY()-H146&gt;=7,J146=""),"Falta check-in semana 1",IF(AND(TODAY()-H146&gt;=21,L146=""),"Falta check-in semana 3",""))))</f>
        <v/>
      </c>
    </row>
    <row r="147">
      <c r="A147" s="7"/>
      <c r="B147" s="7"/>
      <c r="C147" s="7"/>
      <c r="D147" s="7"/>
      <c r="E147" s="7"/>
      <c r="F147" s="15"/>
      <c r="G147" s="7"/>
      <c r="H147" s="14"/>
      <c r="I147" s="14"/>
      <c r="J147" s="14"/>
      <c r="K147" s="7"/>
      <c r="L147" s="14"/>
      <c r="M147" s="7"/>
      <c r="N147" s="7"/>
      <c r="O147" s="11" t="str">
        <f>IF(H147="","",IF(I147&lt;&gt;"",I147,TODAY())-H147)</f>
        <v/>
      </c>
      <c r="P147" s="11" t="str">
        <f>IF(H147="","",IF(I147&lt;&gt;"",IF(I147-H147&lt;30,"No","Sí"),IF(TODAY()-H147&gt;=30,"Sí","En curso")))</f>
        <v/>
      </c>
      <c r="Q147" s="11" t="str">
        <f>IF(H147="","",IF(I147&lt;&gt;"",IF(I147-H147&lt;60,"No","Sí"),IF(TODAY()-H147&gt;=60,"Sí","En curso")))</f>
        <v/>
      </c>
      <c r="R147" s="11" t="str">
        <f>IF(H147="","",IF(I147&lt;&gt;"","Baja",IF(AND(TODAY()-H147&gt;=7,J147=""),"Falta check-in semana 1",IF(AND(TODAY()-H147&gt;=21,L147=""),"Falta check-in semana 3",""))))</f>
        <v/>
      </c>
    </row>
    <row r="148">
      <c r="A148" s="7"/>
      <c r="B148" s="7"/>
      <c r="C148" s="7"/>
      <c r="D148" s="7"/>
      <c r="E148" s="7"/>
      <c r="F148" s="15"/>
      <c r="G148" s="7"/>
      <c r="H148" s="14"/>
      <c r="I148" s="14"/>
      <c r="J148" s="14"/>
      <c r="K148" s="7"/>
      <c r="L148" s="14"/>
      <c r="M148" s="7"/>
      <c r="N148" s="7"/>
      <c r="O148" s="11" t="str">
        <f>IF(H148="","",IF(I148&lt;&gt;"",I148,TODAY())-H148)</f>
        <v/>
      </c>
      <c r="P148" s="11" t="str">
        <f>IF(H148="","",IF(I148&lt;&gt;"",IF(I148-H148&lt;30,"No","Sí"),IF(TODAY()-H148&gt;=30,"Sí","En curso")))</f>
        <v/>
      </c>
      <c r="Q148" s="11" t="str">
        <f>IF(H148="","",IF(I148&lt;&gt;"",IF(I148-H148&lt;60,"No","Sí"),IF(TODAY()-H148&gt;=60,"Sí","En curso")))</f>
        <v/>
      </c>
      <c r="R148" s="11" t="str">
        <f>IF(H148="","",IF(I148&lt;&gt;"","Baja",IF(AND(TODAY()-H148&gt;=7,J148=""),"Falta check-in semana 1",IF(AND(TODAY()-H148&gt;=21,L148=""),"Falta check-in semana 3",""))))</f>
        <v/>
      </c>
    </row>
    <row r="149">
      <c r="A149" s="7"/>
      <c r="B149" s="7"/>
      <c r="C149" s="7"/>
      <c r="D149" s="7"/>
      <c r="E149" s="7"/>
      <c r="F149" s="15"/>
      <c r="G149" s="7"/>
      <c r="H149" s="14"/>
      <c r="I149" s="14"/>
      <c r="J149" s="14"/>
      <c r="K149" s="7"/>
      <c r="L149" s="14"/>
      <c r="M149" s="7"/>
      <c r="N149" s="7"/>
      <c r="O149" s="11" t="str">
        <f>IF(H149="","",IF(I149&lt;&gt;"",I149,TODAY())-H149)</f>
        <v/>
      </c>
      <c r="P149" s="11" t="str">
        <f>IF(H149="","",IF(I149&lt;&gt;"",IF(I149-H149&lt;30,"No","Sí"),IF(TODAY()-H149&gt;=30,"Sí","En curso")))</f>
        <v/>
      </c>
      <c r="Q149" s="11" t="str">
        <f>IF(H149="","",IF(I149&lt;&gt;"",IF(I149-H149&lt;60,"No","Sí"),IF(TODAY()-H149&gt;=60,"Sí","En curso")))</f>
        <v/>
      </c>
      <c r="R149" s="11" t="str">
        <f>IF(H149="","",IF(I149&lt;&gt;"","Baja",IF(AND(TODAY()-H149&gt;=7,J149=""),"Falta check-in semana 1",IF(AND(TODAY()-H149&gt;=21,L149=""),"Falta check-in semana 3",""))))</f>
        <v/>
      </c>
    </row>
    <row r="150">
      <c r="A150" s="7"/>
      <c r="B150" s="7"/>
      <c r="C150" s="7"/>
      <c r="D150" s="7"/>
      <c r="E150" s="7"/>
      <c r="F150" s="15"/>
      <c r="G150" s="7"/>
      <c r="H150" s="14"/>
      <c r="I150" s="14"/>
      <c r="J150" s="14"/>
      <c r="K150" s="7"/>
      <c r="L150" s="14"/>
      <c r="M150" s="7"/>
      <c r="N150" s="7"/>
      <c r="O150" s="11" t="str">
        <f>IF(H150="","",IF(I150&lt;&gt;"",I150,TODAY())-H150)</f>
        <v/>
      </c>
      <c r="P150" s="11" t="str">
        <f>IF(H150="","",IF(I150&lt;&gt;"",IF(I150-H150&lt;30,"No","Sí"),IF(TODAY()-H150&gt;=30,"Sí","En curso")))</f>
        <v/>
      </c>
      <c r="Q150" s="11" t="str">
        <f>IF(H150="","",IF(I150&lt;&gt;"",IF(I150-H150&lt;60,"No","Sí"),IF(TODAY()-H150&gt;=60,"Sí","En curso")))</f>
        <v/>
      </c>
      <c r="R150" s="11" t="str">
        <f>IF(H150="","",IF(I150&lt;&gt;"","Baja",IF(AND(TODAY()-H150&gt;=7,J150=""),"Falta check-in semana 1",IF(AND(TODAY()-H150&gt;=21,L150=""),"Falta check-in semana 3",""))))</f>
        <v/>
      </c>
    </row>
    <row r="151">
      <c r="A151" s="7"/>
      <c r="B151" s="7"/>
      <c r="C151" s="7"/>
      <c r="D151" s="7"/>
      <c r="E151" s="7"/>
      <c r="F151" s="15"/>
      <c r="G151" s="7"/>
      <c r="H151" s="14"/>
      <c r="I151" s="14"/>
      <c r="J151" s="14"/>
      <c r="K151" s="7"/>
      <c r="L151" s="14"/>
      <c r="M151" s="7"/>
      <c r="N151" s="7"/>
      <c r="O151" s="11" t="str">
        <f>IF(H151="","",IF(I151&lt;&gt;"",I151,TODAY())-H151)</f>
        <v/>
      </c>
      <c r="P151" s="11" t="str">
        <f>IF(H151="","",IF(I151&lt;&gt;"",IF(I151-H151&lt;30,"No","Sí"),IF(TODAY()-H151&gt;=30,"Sí","En curso")))</f>
        <v/>
      </c>
      <c r="Q151" s="11" t="str">
        <f>IF(H151="","",IF(I151&lt;&gt;"",IF(I151-H151&lt;60,"No","Sí"),IF(TODAY()-H151&gt;=60,"Sí","En curso")))</f>
        <v/>
      </c>
      <c r="R151" s="11" t="str">
        <f>IF(H151="","",IF(I151&lt;&gt;"","Baja",IF(AND(TODAY()-H151&gt;=7,J151=""),"Falta check-in semana 1",IF(AND(TODAY()-H151&gt;=21,L151=""),"Falta check-in semana 3",""))))</f>
        <v/>
      </c>
    </row>
    <row r="152">
      <c r="A152" s="7"/>
      <c r="B152" s="7"/>
      <c r="C152" s="7"/>
      <c r="D152" s="7"/>
      <c r="E152" s="7"/>
      <c r="F152" s="15"/>
      <c r="G152" s="7"/>
      <c r="H152" s="14"/>
      <c r="I152" s="14"/>
      <c r="J152" s="14"/>
      <c r="K152" s="7"/>
      <c r="L152" s="14"/>
      <c r="M152" s="7"/>
      <c r="N152" s="7"/>
      <c r="O152" s="11" t="str">
        <f>IF(H152="","",IF(I152&lt;&gt;"",I152,TODAY())-H152)</f>
        <v/>
      </c>
      <c r="P152" s="11" t="str">
        <f>IF(H152="","",IF(I152&lt;&gt;"",IF(I152-H152&lt;30,"No","Sí"),IF(TODAY()-H152&gt;=30,"Sí","En curso")))</f>
        <v/>
      </c>
      <c r="Q152" s="11" t="str">
        <f>IF(H152="","",IF(I152&lt;&gt;"",IF(I152-H152&lt;60,"No","Sí"),IF(TODAY()-H152&gt;=60,"Sí","En curso")))</f>
        <v/>
      </c>
      <c r="R152" s="11" t="str">
        <f>IF(H152="","",IF(I152&lt;&gt;"","Baja",IF(AND(TODAY()-H152&gt;=7,J152=""),"Falta check-in semana 1",IF(AND(TODAY()-H152&gt;=21,L152=""),"Falta check-in semana 3",""))))</f>
        <v/>
      </c>
    </row>
    <row r="153">
      <c r="A153" s="7"/>
      <c r="B153" s="7"/>
      <c r="C153" s="7"/>
      <c r="D153" s="7"/>
      <c r="E153" s="7"/>
      <c r="F153" s="15"/>
      <c r="G153" s="7"/>
      <c r="H153" s="14"/>
      <c r="I153" s="14"/>
      <c r="J153" s="14"/>
      <c r="K153" s="7"/>
      <c r="L153" s="14"/>
      <c r="M153" s="7"/>
      <c r="N153" s="7"/>
      <c r="O153" s="11" t="str">
        <f>IF(H153="","",IF(I153&lt;&gt;"",I153,TODAY())-H153)</f>
        <v/>
      </c>
      <c r="P153" s="11" t="str">
        <f>IF(H153="","",IF(I153&lt;&gt;"",IF(I153-H153&lt;30,"No","Sí"),IF(TODAY()-H153&gt;=30,"Sí","En curso")))</f>
        <v/>
      </c>
      <c r="Q153" s="11" t="str">
        <f>IF(H153="","",IF(I153&lt;&gt;"",IF(I153-H153&lt;60,"No","Sí"),IF(TODAY()-H153&gt;=60,"Sí","En curso")))</f>
        <v/>
      </c>
      <c r="R153" s="11" t="str">
        <f>IF(H153="","",IF(I153&lt;&gt;"","Baja",IF(AND(TODAY()-H153&gt;=7,J153=""),"Falta check-in semana 1",IF(AND(TODAY()-H153&gt;=21,L153=""),"Falta check-in semana 3",""))))</f>
        <v/>
      </c>
    </row>
    <row r="154">
      <c r="A154" s="7"/>
      <c r="B154" s="7"/>
      <c r="C154" s="7"/>
      <c r="D154" s="7"/>
      <c r="E154" s="7"/>
      <c r="F154" s="15"/>
      <c r="G154" s="7"/>
      <c r="H154" s="14"/>
      <c r="I154" s="14"/>
      <c r="J154" s="14"/>
      <c r="K154" s="7"/>
      <c r="L154" s="14"/>
      <c r="M154" s="7"/>
      <c r="N154" s="7"/>
      <c r="O154" s="11" t="str">
        <f>IF(H154="","",IF(I154&lt;&gt;"",I154,TODAY())-H154)</f>
        <v/>
      </c>
      <c r="P154" s="11" t="str">
        <f>IF(H154="","",IF(I154&lt;&gt;"",IF(I154-H154&lt;30,"No","Sí"),IF(TODAY()-H154&gt;=30,"Sí","En curso")))</f>
        <v/>
      </c>
      <c r="Q154" s="11" t="str">
        <f>IF(H154="","",IF(I154&lt;&gt;"",IF(I154-H154&lt;60,"No","Sí"),IF(TODAY()-H154&gt;=60,"Sí","En curso")))</f>
        <v/>
      </c>
      <c r="R154" s="11" t="str">
        <f>IF(H154="","",IF(I154&lt;&gt;"","Baja",IF(AND(TODAY()-H154&gt;=7,J154=""),"Falta check-in semana 1",IF(AND(TODAY()-H154&gt;=21,L154=""),"Falta check-in semana 3",""))))</f>
        <v/>
      </c>
    </row>
    <row r="155">
      <c r="A155" s="7"/>
      <c r="B155" s="7"/>
      <c r="C155" s="7"/>
      <c r="D155" s="7"/>
      <c r="E155" s="7"/>
      <c r="F155" s="15"/>
      <c r="G155" s="7"/>
      <c r="H155" s="14"/>
      <c r="I155" s="14"/>
      <c r="J155" s="14"/>
      <c r="K155" s="7"/>
      <c r="L155" s="14"/>
      <c r="M155" s="7"/>
      <c r="N155" s="7"/>
      <c r="O155" s="11" t="str">
        <f>IF(H155="","",IF(I155&lt;&gt;"",I155,TODAY())-H155)</f>
        <v/>
      </c>
      <c r="P155" s="11" t="str">
        <f>IF(H155="","",IF(I155&lt;&gt;"",IF(I155-H155&lt;30,"No","Sí"),IF(TODAY()-H155&gt;=30,"Sí","En curso")))</f>
        <v/>
      </c>
      <c r="Q155" s="11" t="str">
        <f>IF(H155="","",IF(I155&lt;&gt;"",IF(I155-H155&lt;60,"No","Sí"),IF(TODAY()-H155&gt;=60,"Sí","En curso")))</f>
        <v/>
      </c>
      <c r="R155" s="11" t="str">
        <f>IF(H155="","",IF(I155&lt;&gt;"","Baja",IF(AND(TODAY()-H155&gt;=7,J155=""),"Falta check-in semana 1",IF(AND(TODAY()-H155&gt;=21,L155=""),"Falta check-in semana 3",""))))</f>
        <v/>
      </c>
    </row>
    <row r="156">
      <c r="A156" s="7"/>
      <c r="B156" s="7"/>
      <c r="C156" s="7"/>
      <c r="D156" s="7"/>
      <c r="E156" s="7"/>
      <c r="F156" s="15"/>
      <c r="G156" s="7"/>
      <c r="H156" s="14"/>
      <c r="I156" s="14"/>
      <c r="J156" s="14"/>
      <c r="K156" s="7"/>
      <c r="L156" s="14"/>
      <c r="M156" s="7"/>
      <c r="N156" s="7"/>
      <c r="O156" s="11" t="str">
        <f>IF(H156="","",IF(I156&lt;&gt;"",I156,TODAY())-H156)</f>
        <v/>
      </c>
      <c r="P156" s="11" t="str">
        <f>IF(H156="","",IF(I156&lt;&gt;"",IF(I156-H156&lt;30,"No","Sí"),IF(TODAY()-H156&gt;=30,"Sí","En curso")))</f>
        <v/>
      </c>
      <c r="Q156" s="11" t="str">
        <f>IF(H156="","",IF(I156&lt;&gt;"",IF(I156-H156&lt;60,"No","Sí"),IF(TODAY()-H156&gt;=60,"Sí","En curso")))</f>
        <v/>
      </c>
      <c r="R156" s="11" t="str">
        <f>IF(H156="","",IF(I156&lt;&gt;"","Baja",IF(AND(TODAY()-H156&gt;=7,J156=""),"Falta check-in semana 1",IF(AND(TODAY()-H156&gt;=21,L156=""),"Falta check-in semana 3",""))))</f>
        <v/>
      </c>
    </row>
    <row r="157">
      <c r="A157" s="7"/>
      <c r="B157" s="7"/>
      <c r="C157" s="7"/>
      <c r="D157" s="7"/>
      <c r="E157" s="7"/>
      <c r="F157" s="15"/>
      <c r="G157" s="7"/>
      <c r="H157" s="14"/>
      <c r="I157" s="14"/>
      <c r="J157" s="14"/>
      <c r="K157" s="7"/>
      <c r="L157" s="14"/>
      <c r="M157" s="7"/>
      <c r="N157" s="7"/>
      <c r="O157" s="11" t="str">
        <f>IF(H157="","",IF(I157&lt;&gt;"",I157,TODAY())-H157)</f>
        <v/>
      </c>
      <c r="P157" s="11" t="str">
        <f>IF(H157="","",IF(I157&lt;&gt;"",IF(I157-H157&lt;30,"No","Sí"),IF(TODAY()-H157&gt;=30,"Sí","En curso")))</f>
        <v/>
      </c>
      <c r="Q157" s="11" t="str">
        <f>IF(H157="","",IF(I157&lt;&gt;"",IF(I157-H157&lt;60,"No","Sí"),IF(TODAY()-H157&gt;=60,"Sí","En curso")))</f>
        <v/>
      </c>
      <c r="R157" s="11" t="str">
        <f>IF(H157="","",IF(I157&lt;&gt;"","Baja",IF(AND(TODAY()-H157&gt;=7,J157=""),"Falta check-in semana 1",IF(AND(TODAY()-H157&gt;=21,L157=""),"Falta check-in semana 3",""))))</f>
        <v/>
      </c>
    </row>
    <row r="158">
      <c r="A158" s="7"/>
      <c r="B158" s="7"/>
      <c r="C158" s="7"/>
      <c r="D158" s="7"/>
      <c r="E158" s="7"/>
      <c r="F158" s="15"/>
      <c r="G158" s="7"/>
      <c r="H158" s="14"/>
      <c r="I158" s="14"/>
      <c r="J158" s="14"/>
      <c r="K158" s="7"/>
      <c r="L158" s="14"/>
      <c r="M158" s="7"/>
      <c r="N158" s="7"/>
      <c r="O158" s="11" t="str">
        <f>IF(H158="","",IF(I158&lt;&gt;"",I158,TODAY())-H158)</f>
        <v/>
      </c>
      <c r="P158" s="11" t="str">
        <f>IF(H158="","",IF(I158&lt;&gt;"",IF(I158-H158&lt;30,"No","Sí"),IF(TODAY()-H158&gt;=30,"Sí","En curso")))</f>
        <v/>
      </c>
      <c r="Q158" s="11" t="str">
        <f>IF(H158="","",IF(I158&lt;&gt;"",IF(I158-H158&lt;60,"No","Sí"),IF(TODAY()-H158&gt;=60,"Sí","En curso")))</f>
        <v/>
      </c>
      <c r="R158" s="11" t="str">
        <f>IF(H158="","",IF(I158&lt;&gt;"","Baja",IF(AND(TODAY()-H158&gt;=7,J158=""),"Falta check-in semana 1",IF(AND(TODAY()-H158&gt;=21,L158=""),"Falta check-in semana 3",""))))</f>
        <v/>
      </c>
    </row>
    <row r="159">
      <c r="A159" s="7"/>
      <c r="B159" s="7"/>
      <c r="C159" s="7"/>
      <c r="D159" s="7"/>
      <c r="E159" s="7"/>
      <c r="F159" s="15"/>
      <c r="G159" s="7"/>
      <c r="H159" s="14"/>
      <c r="I159" s="14"/>
      <c r="J159" s="14"/>
      <c r="K159" s="7"/>
      <c r="L159" s="14"/>
      <c r="M159" s="7"/>
      <c r="N159" s="7"/>
      <c r="O159" s="11" t="str">
        <f>IF(H159="","",IF(I159&lt;&gt;"",I159,TODAY())-H159)</f>
        <v/>
      </c>
      <c r="P159" s="11" t="str">
        <f>IF(H159="","",IF(I159&lt;&gt;"",IF(I159-H159&lt;30,"No","Sí"),IF(TODAY()-H159&gt;=30,"Sí","En curso")))</f>
        <v/>
      </c>
      <c r="Q159" s="11" t="str">
        <f>IF(H159="","",IF(I159&lt;&gt;"",IF(I159-H159&lt;60,"No","Sí"),IF(TODAY()-H159&gt;=60,"Sí","En curso")))</f>
        <v/>
      </c>
      <c r="R159" s="11" t="str">
        <f>IF(H159="","",IF(I159&lt;&gt;"","Baja",IF(AND(TODAY()-H159&gt;=7,J159=""),"Falta check-in semana 1",IF(AND(TODAY()-H159&gt;=21,L159=""),"Falta check-in semana 3",""))))</f>
        <v/>
      </c>
    </row>
    <row r="160">
      <c r="A160" s="7"/>
      <c r="B160" s="7"/>
      <c r="C160" s="7"/>
      <c r="D160" s="7"/>
      <c r="E160" s="7"/>
      <c r="F160" s="15"/>
      <c r="G160" s="7"/>
      <c r="H160" s="14"/>
      <c r="I160" s="14"/>
      <c r="J160" s="14"/>
      <c r="K160" s="7"/>
      <c r="L160" s="14"/>
      <c r="M160" s="7"/>
      <c r="N160" s="7"/>
      <c r="O160" s="11" t="str">
        <f>IF(H160="","",IF(I160&lt;&gt;"",I160,TODAY())-H160)</f>
        <v/>
      </c>
      <c r="P160" s="11" t="str">
        <f>IF(H160="","",IF(I160&lt;&gt;"",IF(I160-H160&lt;30,"No","Sí"),IF(TODAY()-H160&gt;=30,"Sí","En curso")))</f>
        <v/>
      </c>
      <c r="Q160" s="11" t="str">
        <f>IF(H160="","",IF(I160&lt;&gt;"",IF(I160-H160&lt;60,"No","Sí"),IF(TODAY()-H160&gt;=60,"Sí","En curso")))</f>
        <v/>
      </c>
      <c r="R160" s="11" t="str">
        <f>IF(H160="","",IF(I160&lt;&gt;"","Baja",IF(AND(TODAY()-H160&gt;=7,J160=""),"Falta check-in semana 1",IF(AND(TODAY()-H160&gt;=21,L160=""),"Falta check-in semana 3",""))))</f>
        <v/>
      </c>
    </row>
    <row r="161">
      <c r="A161" s="7"/>
      <c r="B161" s="7"/>
      <c r="C161" s="7"/>
      <c r="D161" s="7"/>
      <c r="E161" s="7"/>
      <c r="F161" s="15"/>
      <c r="G161" s="7"/>
      <c r="H161" s="14"/>
      <c r="I161" s="14"/>
      <c r="J161" s="14"/>
      <c r="K161" s="7"/>
      <c r="L161" s="14"/>
      <c r="M161" s="7"/>
      <c r="N161" s="7"/>
      <c r="O161" s="11" t="str">
        <f>IF(H161="","",IF(I161&lt;&gt;"",I161,TODAY())-H161)</f>
        <v/>
      </c>
      <c r="P161" s="11" t="str">
        <f>IF(H161="","",IF(I161&lt;&gt;"",IF(I161-H161&lt;30,"No","Sí"),IF(TODAY()-H161&gt;=30,"Sí","En curso")))</f>
        <v/>
      </c>
      <c r="Q161" s="11" t="str">
        <f>IF(H161="","",IF(I161&lt;&gt;"",IF(I161-H161&lt;60,"No","Sí"),IF(TODAY()-H161&gt;=60,"Sí","En curso")))</f>
        <v/>
      </c>
      <c r="R161" s="11" t="str">
        <f>IF(H161="","",IF(I161&lt;&gt;"","Baja",IF(AND(TODAY()-H161&gt;=7,J161=""),"Falta check-in semana 1",IF(AND(TODAY()-H161&gt;=21,L161=""),"Falta check-in semana 3",""))))</f>
        <v/>
      </c>
    </row>
    <row r="162">
      <c r="A162" s="7"/>
      <c r="B162" s="7"/>
      <c r="C162" s="7"/>
      <c r="D162" s="7"/>
      <c r="E162" s="7"/>
      <c r="F162" s="15"/>
      <c r="G162" s="7"/>
      <c r="H162" s="14"/>
      <c r="I162" s="14"/>
      <c r="J162" s="14"/>
      <c r="K162" s="7"/>
      <c r="L162" s="14"/>
      <c r="M162" s="7"/>
      <c r="N162" s="7"/>
      <c r="O162" s="11" t="str">
        <f>IF(H162="","",IF(I162&lt;&gt;"",I162,TODAY())-H162)</f>
        <v/>
      </c>
      <c r="P162" s="11" t="str">
        <f>IF(H162="","",IF(I162&lt;&gt;"",IF(I162-H162&lt;30,"No","Sí"),IF(TODAY()-H162&gt;=30,"Sí","En curso")))</f>
        <v/>
      </c>
      <c r="Q162" s="11" t="str">
        <f>IF(H162="","",IF(I162&lt;&gt;"",IF(I162-H162&lt;60,"No","Sí"),IF(TODAY()-H162&gt;=60,"Sí","En curso")))</f>
        <v/>
      </c>
      <c r="R162" s="11" t="str">
        <f>IF(H162="","",IF(I162&lt;&gt;"","Baja",IF(AND(TODAY()-H162&gt;=7,J162=""),"Falta check-in semana 1",IF(AND(TODAY()-H162&gt;=21,L162=""),"Falta check-in semana 3",""))))</f>
        <v/>
      </c>
    </row>
    <row r="163">
      <c r="A163" s="7"/>
      <c r="B163" s="7"/>
      <c r="C163" s="7"/>
      <c r="D163" s="7"/>
      <c r="E163" s="7"/>
      <c r="F163" s="15"/>
      <c r="G163" s="7"/>
      <c r="H163" s="14"/>
      <c r="I163" s="14"/>
      <c r="J163" s="14"/>
      <c r="K163" s="7"/>
      <c r="L163" s="14"/>
      <c r="M163" s="7"/>
      <c r="N163" s="7"/>
      <c r="O163" s="11" t="str">
        <f>IF(H163="","",IF(I163&lt;&gt;"",I163,TODAY())-H163)</f>
        <v/>
      </c>
      <c r="P163" s="11" t="str">
        <f>IF(H163="","",IF(I163&lt;&gt;"",IF(I163-H163&lt;30,"No","Sí"),IF(TODAY()-H163&gt;=30,"Sí","En curso")))</f>
        <v/>
      </c>
      <c r="Q163" s="11" t="str">
        <f>IF(H163="","",IF(I163&lt;&gt;"",IF(I163-H163&lt;60,"No","Sí"),IF(TODAY()-H163&gt;=60,"Sí","En curso")))</f>
        <v/>
      </c>
      <c r="R163" s="11" t="str">
        <f>IF(H163="","",IF(I163&lt;&gt;"","Baja",IF(AND(TODAY()-H163&gt;=7,J163=""),"Falta check-in semana 1",IF(AND(TODAY()-H163&gt;=21,L163=""),"Falta check-in semana 3",""))))</f>
        <v/>
      </c>
    </row>
    <row r="164">
      <c r="A164" s="7"/>
      <c r="B164" s="7"/>
      <c r="C164" s="7"/>
      <c r="D164" s="7"/>
      <c r="E164" s="7"/>
      <c r="F164" s="15"/>
      <c r="G164" s="7"/>
      <c r="H164" s="14"/>
      <c r="I164" s="14"/>
      <c r="J164" s="14"/>
      <c r="K164" s="7"/>
      <c r="L164" s="14"/>
      <c r="M164" s="7"/>
      <c r="N164" s="7"/>
      <c r="O164" s="11" t="str">
        <f>IF(H164="","",IF(I164&lt;&gt;"",I164,TODAY())-H164)</f>
        <v/>
      </c>
      <c r="P164" s="11" t="str">
        <f>IF(H164="","",IF(I164&lt;&gt;"",IF(I164-H164&lt;30,"No","Sí"),IF(TODAY()-H164&gt;=30,"Sí","En curso")))</f>
        <v/>
      </c>
      <c r="Q164" s="11" t="str">
        <f>IF(H164="","",IF(I164&lt;&gt;"",IF(I164-H164&lt;60,"No","Sí"),IF(TODAY()-H164&gt;=60,"Sí","En curso")))</f>
        <v/>
      </c>
      <c r="R164" s="11" t="str">
        <f>IF(H164="","",IF(I164&lt;&gt;"","Baja",IF(AND(TODAY()-H164&gt;=7,J164=""),"Falta check-in semana 1",IF(AND(TODAY()-H164&gt;=21,L164=""),"Falta check-in semana 3",""))))</f>
        <v/>
      </c>
    </row>
    <row r="165">
      <c r="A165" s="7"/>
      <c r="B165" s="7"/>
      <c r="C165" s="7"/>
      <c r="D165" s="7"/>
      <c r="E165" s="7"/>
      <c r="F165" s="15"/>
      <c r="G165" s="7"/>
      <c r="H165" s="14"/>
      <c r="I165" s="14"/>
      <c r="J165" s="14"/>
      <c r="K165" s="7"/>
      <c r="L165" s="14"/>
      <c r="M165" s="7"/>
      <c r="N165" s="7"/>
      <c r="O165" s="11" t="str">
        <f>IF(H165="","",IF(I165&lt;&gt;"",I165,TODAY())-H165)</f>
        <v/>
      </c>
      <c r="P165" s="11" t="str">
        <f>IF(H165="","",IF(I165&lt;&gt;"",IF(I165-H165&lt;30,"No","Sí"),IF(TODAY()-H165&gt;=30,"Sí","En curso")))</f>
        <v/>
      </c>
      <c r="Q165" s="11" t="str">
        <f>IF(H165="","",IF(I165&lt;&gt;"",IF(I165-H165&lt;60,"No","Sí"),IF(TODAY()-H165&gt;=60,"Sí","En curso")))</f>
        <v/>
      </c>
      <c r="R165" s="11" t="str">
        <f>IF(H165="","",IF(I165&lt;&gt;"","Baja",IF(AND(TODAY()-H165&gt;=7,J165=""),"Falta check-in semana 1",IF(AND(TODAY()-H165&gt;=21,L165=""),"Falta check-in semana 3",""))))</f>
        <v/>
      </c>
    </row>
    <row r="166">
      <c r="A166" s="7"/>
      <c r="B166" s="7"/>
      <c r="C166" s="7"/>
      <c r="D166" s="7"/>
      <c r="E166" s="7"/>
      <c r="F166" s="15"/>
      <c r="G166" s="7"/>
      <c r="H166" s="14"/>
      <c r="I166" s="14"/>
      <c r="J166" s="14"/>
      <c r="K166" s="7"/>
      <c r="L166" s="14"/>
      <c r="M166" s="7"/>
      <c r="N166" s="7"/>
      <c r="O166" s="11" t="str">
        <f>IF(H166="","",IF(I166&lt;&gt;"",I166,TODAY())-H166)</f>
        <v/>
      </c>
      <c r="P166" s="11" t="str">
        <f>IF(H166="","",IF(I166&lt;&gt;"",IF(I166-H166&lt;30,"No","Sí"),IF(TODAY()-H166&gt;=30,"Sí","En curso")))</f>
        <v/>
      </c>
      <c r="Q166" s="11" t="str">
        <f>IF(H166="","",IF(I166&lt;&gt;"",IF(I166-H166&lt;60,"No","Sí"),IF(TODAY()-H166&gt;=60,"Sí","En curso")))</f>
        <v/>
      </c>
      <c r="R166" s="11" t="str">
        <f>IF(H166="","",IF(I166&lt;&gt;"","Baja",IF(AND(TODAY()-H166&gt;=7,J166=""),"Falta check-in semana 1",IF(AND(TODAY()-H166&gt;=21,L166=""),"Falta check-in semana 3",""))))</f>
        <v/>
      </c>
    </row>
    <row r="167">
      <c r="A167" s="7"/>
      <c r="B167" s="7"/>
      <c r="C167" s="7"/>
      <c r="D167" s="7"/>
      <c r="E167" s="7"/>
      <c r="F167" s="15"/>
      <c r="G167" s="7"/>
      <c r="H167" s="14"/>
      <c r="I167" s="14"/>
      <c r="J167" s="14"/>
      <c r="K167" s="7"/>
      <c r="L167" s="14"/>
      <c r="M167" s="7"/>
      <c r="N167" s="7"/>
      <c r="O167" s="11" t="str">
        <f>IF(H167="","",IF(I167&lt;&gt;"",I167,TODAY())-H167)</f>
        <v/>
      </c>
      <c r="P167" s="11" t="str">
        <f>IF(H167="","",IF(I167&lt;&gt;"",IF(I167-H167&lt;30,"No","Sí"),IF(TODAY()-H167&gt;=30,"Sí","En curso")))</f>
        <v/>
      </c>
      <c r="Q167" s="11" t="str">
        <f>IF(H167="","",IF(I167&lt;&gt;"",IF(I167-H167&lt;60,"No","Sí"),IF(TODAY()-H167&gt;=60,"Sí","En curso")))</f>
        <v/>
      </c>
      <c r="R167" s="11" t="str">
        <f>IF(H167="","",IF(I167&lt;&gt;"","Baja",IF(AND(TODAY()-H167&gt;=7,J167=""),"Falta check-in semana 1",IF(AND(TODAY()-H167&gt;=21,L167=""),"Falta check-in semana 3",""))))</f>
        <v/>
      </c>
    </row>
    <row r="168">
      <c r="A168" s="7"/>
      <c r="B168" s="7"/>
      <c r="C168" s="7"/>
      <c r="D168" s="7"/>
      <c r="E168" s="7"/>
      <c r="F168" s="15"/>
      <c r="G168" s="7"/>
      <c r="H168" s="14"/>
      <c r="I168" s="14"/>
      <c r="J168" s="14"/>
      <c r="K168" s="7"/>
      <c r="L168" s="14"/>
      <c r="M168" s="7"/>
      <c r="N168" s="7"/>
      <c r="O168" s="11" t="str">
        <f>IF(H168="","",IF(I168&lt;&gt;"",I168,TODAY())-H168)</f>
        <v/>
      </c>
      <c r="P168" s="11" t="str">
        <f>IF(H168="","",IF(I168&lt;&gt;"",IF(I168-H168&lt;30,"No","Sí"),IF(TODAY()-H168&gt;=30,"Sí","En curso")))</f>
        <v/>
      </c>
      <c r="Q168" s="11" t="str">
        <f>IF(H168="","",IF(I168&lt;&gt;"",IF(I168-H168&lt;60,"No","Sí"),IF(TODAY()-H168&gt;=60,"Sí","En curso")))</f>
        <v/>
      </c>
      <c r="R168" s="11" t="str">
        <f>IF(H168="","",IF(I168&lt;&gt;"","Baja",IF(AND(TODAY()-H168&gt;=7,J168=""),"Falta check-in semana 1",IF(AND(TODAY()-H168&gt;=21,L168=""),"Falta check-in semana 3",""))))</f>
        <v/>
      </c>
    </row>
    <row r="169">
      <c r="A169" s="7"/>
      <c r="B169" s="7"/>
      <c r="C169" s="7"/>
      <c r="D169" s="7"/>
      <c r="E169" s="7"/>
      <c r="F169" s="15"/>
      <c r="G169" s="7"/>
      <c r="H169" s="14"/>
      <c r="I169" s="14"/>
      <c r="J169" s="14"/>
      <c r="K169" s="7"/>
      <c r="L169" s="14"/>
      <c r="M169" s="7"/>
      <c r="N169" s="7"/>
      <c r="O169" s="11" t="str">
        <f>IF(H169="","",IF(I169&lt;&gt;"",I169,TODAY())-H169)</f>
        <v/>
      </c>
      <c r="P169" s="11" t="str">
        <f>IF(H169="","",IF(I169&lt;&gt;"",IF(I169-H169&lt;30,"No","Sí"),IF(TODAY()-H169&gt;=30,"Sí","En curso")))</f>
        <v/>
      </c>
      <c r="Q169" s="11" t="str">
        <f>IF(H169="","",IF(I169&lt;&gt;"",IF(I169-H169&lt;60,"No","Sí"),IF(TODAY()-H169&gt;=60,"Sí","En curso")))</f>
        <v/>
      </c>
      <c r="R169" s="11" t="str">
        <f>IF(H169="","",IF(I169&lt;&gt;"","Baja",IF(AND(TODAY()-H169&gt;=7,J169=""),"Falta check-in semana 1",IF(AND(TODAY()-H169&gt;=21,L169=""),"Falta check-in semana 3",""))))</f>
        <v/>
      </c>
    </row>
    <row r="170">
      <c r="A170" s="7"/>
      <c r="B170" s="7"/>
      <c r="C170" s="7"/>
      <c r="D170" s="7"/>
      <c r="E170" s="7"/>
      <c r="F170" s="15"/>
      <c r="G170" s="7"/>
      <c r="H170" s="14"/>
      <c r="I170" s="14"/>
      <c r="J170" s="14"/>
      <c r="K170" s="7"/>
      <c r="L170" s="14"/>
      <c r="M170" s="7"/>
      <c r="N170" s="7"/>
      <c r="O170" s="11" t="str">
        <f>IF(H170="","",IF(I170&lt;&gt;"",I170,TODAY())-H170)</f>
        <v/>
      </c>
      <c r="P170" s="11" t="str">
        <f>IF(H170="","",IF(I170&lt;&gt;"",IF(I170-H170&lt;30,"No","Sí"),IF(TODAY()-H170&gt;=30,"Sí","En curso")))</f>
        <v/>
      </c>
      <c r="Q170" s="11" t="str">
        <f>IF(H170="","",IF(I170&lt;&gt;"",IF(I170-H170&lt;60,"No","Sí"),IF(TODAY()-H170&gt;=60,"Sí","En curso")))</f>
        <v/>
      </c>
      <c r="R170" s="11" t="str">
        <f>IF(H170="","",IF(I170&lt;&gt;"","Baja",IF(AND(TODAY()-H170&gt;=7,J170=""),"Falta check-in semana 1",IF(AND(TODAY()-H170&gt;=21,L170=""),"Falta check-in semana 3",""))))</f>
        <v/>
      </c>
    </row>
    <row r="171">
      <c r="A171" s="7"/>
      <c r="B171" s="7"/>
      <c r="C171" s="7"/>
      <c r="D171" s="7"/>
      <c r="E171" s="7"/>
      <c r="F171" s="15"/>
      <c r="G171" s="7"/>
      <c r="H171" s="14"/>
      <c r="I171" s="14"/>
      <c r="J171" s="14"/>
      <c r="K171" s="7"/>
      <c r="L171" s="14"/>
      <c r="M171" s="7"/>
      <c r="N171" s="7"/>
      <c r="O171" s="11" t="str">
        <f>IF(H171="","",IF(I171&lt;&gt;"",I171,TODAY())-H171)</f>
        <v/>
      </c>
      <c r="P171" s="11" t="str">
        <f>IF(H171="","",IF(I171&lt;&gt;"",IF(I171-H171&lt;30,"No","Sí"),IF(TODAY()-H171&gt;=30,"Sí","En curso")))</f>
        <v/>
      </c>
      <c r="Q171" s="11" t="str">
        <f>IF(H171="","",IF(I171&lt;&gt;"",IF(I171-H171&lt;60,"No","Sí"),IF(TODAY()-H171&gt;=60,"Sí","En curso")))</f>
        <v/>
      </c>
      <c r="R171" s="11" t="str">
        <f>IF(H171="","",IF(I171&lt;&gt;"","Baja",IF(AND(TODAY()-H171&gt;=7,J171=""),"Falta check-in semana 1",IF(AND(TODAY()-H171&gt;=21,L171=""),"Falta check-in semana 3",""))))</f>
        <v/>
      </c>
    </row>
    <row r="172">
      <c r="A172" s="7"/>
      <c r="B172" s="7"/>
      <c r="C172" s="7"/>
      <c r="D172" s="7"/>
      <c r="E172" s="7"/>
      <c r="F172" s="15"/>
      <c r="G172" s="7"/>
      <c r="H172" s="14"/>
      <c r="I172" s="14"/>
      <c r="J172" s="14"/>
      <c r="K172" s="7"/>
      <c r="L172" s="14"/>
      <c r="M172" s="7"/>
      <c r="N172" s="7"/>
      <c r="O172" s="11" t="str">
        <f>IF(H172="","",IF(I172&lt;&gt;"",I172,TODAY())-H172)</f>
        <v/>
      </c>
      <c r="P172" s="11" t="str">
        <f>IF(H172="","",IF(I172&lt;&gt;"",IF(I172-H172&lt;30,"No","Sí"),IF(TODAY()-H172&gt;=30,"Sí","En curso")))</f>
        <v/>
      </c>
      <c r="Q172" s="11" t="str">
        <f>IF(H172="","",IF(I172&lt;&gt;"",IF(I172-H172&lt;60,"No","Sí"),IF(TODAY()-H172&gt;=60,"Sí","En curso")))</f>
        <v/>
      </c>
      <c r="R172" s="11" t="str">
        <f>IF(H172="","",IF(I172&lt;&gt;"","Baja",IF(AND(TODAY()-H172&gt;=7,J172=""),"Falta check-in semana 1",IF(AND(TODAY()-H172&gt;=21,L172=""),"Falta check-in semana 3",""))))</f>
        <v/>
      </c>
    </row>
    <row r="173">
      <c r="A173" s="7"/>
      <c r="B173" s="7"/>
      <c r="C173" s="7"/>
      <c r="D173" s="7"/>
      <c r="E173" s="7"/>
      <c r="F173" s="15"/>
      <c r="G173" s="7"/>
      <c r="H173" s="14"/>
      <c r="I173" s="14"/>
      <c r="J173" s="14"/>
      <c r="K173" s="7"/>
      <c r="L173" s="14"/>
      <c r="M173" s="7"/>
      <c r="N173" s="7"/>
      <c r="O173" s="11" t="str">
        <f>IF(H173="","",IF(I173&lt;&gt;"",I173,TODAY())-H173)</f>
        <v/>
      </c>
      <c r="P173" s="11" t="str">
        <f>IF(H173="","",IF(I173&lt;&gt;"",IF(I173-H173&lt;30,"No","Sí"),IF(TODAY()-H173&gt;=30,"Sí","En curso")))</f>
        <v/>
      </c>
      <c r="Q173" s="11" t="str">
        <f>IF(H173="","",IF(I173&lt;&gt;"",IF(I173-H173&lt;60,"No","Sí"),IF(TODAY()-H173&gt;=60,"Sí","En curso")))</f>
        <v/>
      </c>
      <c r="R173" s="11" t="str">
        <f>IF(H173="","",IF(I173&lt;&gt;"","Baja",IF(AND(TODAY()-H173&gt;=7,J173=""),"Falta check-in semana 1",IF(AND(TODAY()-H173&gt;=21,L173=""),"Falta check-in semana 3",""))))</f>
        <v/>
      </c>
    </row>
    <row r="174">
      <c r="A174" s="7"/>
      <c r="B174" s="7"/>
      <c r="C174" s="7"/>
      <c r="D174" s="7"/>
      <c r="E174" s="7"/>
      <c r="F174" s="15"/>
      <c r="G174" s="7"/>
      <c r="H174" s="14"/>
      <c r="I174" s="14"/>
      <c r="J174" s="14"/>
      <c r="K174" s="7"/>
      <c r="L174" s="14"/>
      <c r="M174" s="7"/>
      <c r="N174" s="7"/>
      <c r="O174" s="11" t="str">
        <f>IF(H174="","",IF(I174&lt;&gt;"",I174,TODAY())-H174)</f>
        <v/>
      </c>
      <c r="P174" s="11" t="str">
        <f>IF(H174="","",IF(I174&lt;&gt;"",IF(I174-H174&lt;30,"No","Sí"),IF(TODAY()-H174&gt;=30,"Sí","En curso")))</f>
        <v/>
      </c>
      <c r="Q174" s="11" t="str">
        <f>IF(H174="","",IF(I174&lt;&gt;"",IF(I174-H174&lt;60,"No","Sí"),IF(TODAY()-H174&gt;=60,"Sí","En curso")))</f>
        <v/>
      </c>
      <c r="R174" s="11" t="str">
        <f>IF(H174="","",IF(I174&lt;&gt;"","Baja",IF(AND(TODAY()-H174&gt;=7,J174=""),"Falta check-in semana 1",IF(AND(TODAY()-H174&gt;=21,L174=""),"Falta check-in semana 3",""))))</f>
        <v/>
      </c>
    </row>
    <row r="175">
      <c r="A175" s="7"/>
      <c r="B175" s="7"/>
      <c r="C175" s="7"/>
      <c r="D175" s="7"/>
      <c r="E175" s="7"/>
      <c r="F175" s="15"/>
      <c r="G175" s="7"/>
      <c r="H175" s="14"/>
      <c r="I175" s="14"/>
      <c r="J175" s="14"/>
      <c r="K175" s="7"/>
      <c r="L175" s="14"/>
      <c r="M175" s="7"/>
      <c r="N175" s="7"/>
      <c r="O175" s="11" t="str">
        <f>IF(H175="","",IF(I175&lt;&gt;"",I175,TODAY())-H175)</f>
        <v/>
      </c>
      <c r="P175" s="11" t="str">
        <f>IF(H175="","",IF(I175&lt;&gt;"",IF(I175-H175&lt;30,"No","Sí"),IF(TODAY()-H175&gt;=30,"Sí","En curso")))</f>
        <v/>
      </c>
      <c r="Q175" s="11" t="str">
        <f>IF(H175="","",IF(I175&lt;&gt;"",IF(I175-H175&lt;60,"No","Sí"),IF(TODAY()-H175&gt;=60,"Sí","En curso")))</f>
        <v/>
      </c>
      <c r="R175" s="11" t="str">
        <f>IF(H175="","",IF(I175&lt;&gt;"","Baja",IF(AND(TODAY()-H175&gt;=7,J175=""),"Falta check-in semana 1",IF(AND(TODAY()-H175&gt;=21,L175=""),"Falta check-in semana 3",""))))</f>
        <v/>
      </c>
    </row>
    <row r="176">
      <c r="A176" s="7"/>
      <c r="B176" s="7"/>
      <c r="C176" s="7"/>
      <c r="D176" s="7"/>
      <c r="E176" s="7"/>
      <c r="F176" s="15"/>
      <c r="G176" s="7"/>
      <c r="H176" s="14"/>
      <c r="I176" s="14"/>
      <c r="J176" s="14"/>
      <c r="K176" s="7"/>
      <c r="L176" s="14"/>
      <c r="M176" s="7"/>
      <c r="N176" s="7"/>
      <c r="O176" s="11" t="str">
        <f>IF(H176="","",IF(I176&lt;&gt;"",I176,TODAY())-H176)</f>
        <v/>
      </c>
      <c r="P176" s="11" t="str">
        <f>IF(H176="","",IF(I176&lt;&gt;"",IF(I176-H176&lt;30,"No","Sí"),IF(TODAY()-H176&gt;=30,"Sí","En curso")))</f>
        <v/>
      </c>
      <c r="Q176" s="11" t="str">
        <f>IF(H176="","",IF(I176&lt;&gt;"",IF(I176-H176&lt;60,"No","Sí"),IF(TODAY()-H176&gt;=60,"Sí","En curso")))</f>
        <v/>
      </c>
      <c r="R176" s="11" t="str">
        <f>IF(H176="","",IF(I176&lt;&gt;"","Baja",IF(AND(TODAY()-H176&gt;=7,J176=""),"Falta check-in semana 1",IF(AND(TODAY()-H176&gt;=21,L176=""),"Falta check-in semana 3",""))))</f>
        <v/>
      </c>
    </row>
    <row r="177">
      <c r="A177" s="7"/>
      <c r="B177" s="7"/>
      <c r="C177" s="7"/>
      <c r="D177" s="7"/>
      <c r="E177" s="7"/>
      <c r="F177" s="15"/>
      <c r="G177" s="7"/>
      <c r="H177" s="14"/>
      <c r="I177" s="14"/>
      <c r="J177" s="14"/>
      <c r="K177" s="7"/>
      <c r="L177" s="14"/>
      <c r="M177" s="7"/>
      <c r="N177" s="7"/>
      <c r="O177" s="11" t="str">
        <f>IF(H177="","",IF(I177&lt;&gt;"",I177,TODAY())-H177)</f>
        <v/>
      </c>
      <c r="P177" s="11" t="str">
        <f>IF(H177="","",IF(I177&lt;&gt;"",IF(I177-H177&lt;30,"No","Sí"),IF(TODAY()-H177&gt;=30,"Sí","En curso")))</f>
        <v/>
      </c>
      <c r="Q177" s="11" t="str">
        <f>IF(H177="","",IF(I177&lt;&gt;"",IF(I177-H177&lt;60,"No","Sí"),IF(TODAY()-H177&gt;=60,"Sí","En curso")))</f>
        <v/>
      </c>
      <c r="R177" s="11" t="str">
        <f>IF(H177="","",IF(I177&lt;&gt;"","Baja",IF(AND(TODAY()-H177&gt;=7,J177=""),"Falta check-in semana 1",IF(AND(TODAY()-H177&gt;=21,L177=""),"Falta check-in semana 3",""))))</f>
        <v/>
      </c>
    </row>
    <row r="178">
      <c r="A178" s="7"/>
      <c r="B178" s="7"/>
      <c r="C178" s="7"/>
      <c r="D178" s="7"/>
      <c r="E178" s="7"/>
      <c r="F178" s="15"/>
      <c r="G178" s="7"/>
      <c r="H178" s="14"/>
      <c r="I178" s="14"/>
      <c r="J178" s="14"/>
      <c r="K178" s="7"/>
      <c r="L178" s="14"/>
      <c r="M178" s="7"/>
      <c r="N178" s="7"/>
      <c r="O178" s="11" t="str">
        <f>IF(H178="","",IF(I178&lt;&gt;"",I178,TODAY())-H178)</f>
        <v/>
      </c>
      <c r="P178" s="11" t="str">
        <f>IF(H178="","",IF(I178&lt;&gt;"",IF(I178-H178&lt;30,"No","Sí"),IF(TODAY()-H178&gt;=30,"Sí","En curso")))</f>
        <v/>
      </c>
      <c r="Q178" s="11" t="str">
        <f>IF(H178="","",IF(I178&lt;&gt;"",IF(I178-H178&lt;60,"No","Sí"),IF(TODAY()-H178&gt;=60,"Sí","En curso")))</f>
        <v/>
      </c>
      <c r="R178" s="11" t="str">
        <f>IF(H178="","",IF(I178&lt;&gt;"","Baja",IF(AND(TODAY()-H178&gt;=7,J178=""),"Falta check-in semana 1",IF(AND(TODAY()-H178&gt;=21,L178=""),"Falta check-in semana 3",""))))</f>
        <v/>
      </c>
    </row>
    <row r="179">
      <c r="A179" s="7"/>
      <c r="B179" s="7"/>
      <c r="C179" s="7"/>
      <c r="D179" s="7"/>
      <c r="E179" s="7"/>
      <c r="F179" s="15"/>
      <c r="G179" s="7"/>
      <c r="H179" s="14"/>
      <c r="I179" s="14"/>
      <c r="J179" s="14"/>
      <c r="K179" s="7"/>
      <c r="L179" s="14"/>
      <c r="M179" s="7"/>
      <c r="N179" s="7"/>
      <c r="O179" s="11" t="str">
        <f>IF(H179="","",IF(I179&lt;&gt;"",I179,TODAY())-H179)</f>
        <v/>
      </c>
      <c r="P179" s="11" t="str">
        <f>IF(H179="","",IF(I179&lt;&gt;"",IF(I179-H179&lt;30,"No","Sí"),IF(TODAY()-H179&gt;=30,"Sí","En curso")))</f>
        <v/>
      </c>
      <c r="Q179" s="11" t="str">
        <f>IF(H179="","",IF(I179&lt;&gt;"",IF(I179-H179&lt;60,"No","Sí"),IF(TODAY()-H179&gt;=60,"Sí","En curso")))</f>
        <v/>
      </c>
      <c r="R179" s="11" t="str">
        <f>IF(H179="","",IF(I179&lt;&gt;"","Baja",IF(AND(TODAY()-H179&gt;=7,J179=""),"Falta check-in semana 1",IF(AND(TODAY()-H179&gt;=21,L179=""),"Falta check-in semana 3",""))))</f>
        <v/>
      </c>
    </row>
    <row r="180">
      <c r="A180" s="7"/>
      <c r="B180" s="7"/>
      <c r="C180" s="7"/>
      <c r="D180" s="7"/>
      <c r="E180" s="7"/>
      <c r="F180" s="15"/>
      <c r="G180" s="7"/>
      <c r="H180" s="14"/>
      <c r="I180" s="14"/>
      <c r="J180" s="14"/>
      <c r="K180" s="7"/>
      <c r="L180" s="14"/>
      <c r="M180" s="7"/>
      <c r="N180" s="7"/>
      <c r="O180" s="11" t="str">
        <f>IF(H180="","",IF(I180&lt;&gt;"",I180,TODAY())-H180)</f>
        <v/>
      </c>
      <c r="P180" s="11" t="str">
        <f>IF(H180="","",IF(I180&lt;&gt;"",IF(I180-H180&lt;30,"No","Sí"),IF(TODAY()-H180&gt;=30,"Sí","En curso")))</f>
        <v/>
      </c>
      <c r="Q180" s="11" t="str">
        <f>IF(H180="","",IF(I180&lt;&gt;"",IF(I180-H180&lt;60,"No","Sí"),IF(TODAY()-H180&gt;=60,"Sí","En curso")))</f>
        <v/>
      </c>
      <c r="R180" s="11" t="str">
        <f>IF(H180="","",IF(I180&lt;&gt;"","Baja",IF(AND(TODAY()-H180&gt;=7,J180=""),"Falta check-in semana 1",IF(AND(TODAY()-H180&gt;=21,L180=""),"Falta check-in semana 3",""))))</f>
        <v/>
      </c>
    </row>
    <row r="181">
      <c r="A181" s="7"/>
      <c r="B181" s="7"/>
      <c r="C181" s="7"/>
      <c r="D181" s="7"/>
      <c r="E181" s="7"/>
      <c r="F181" s="15"/>
      <c r="G181" s="7"/>
      <c r="H181" s="14"/>
      <c r="I181" s="14"/>
      <c r="J181" s="14"/>
      <c r="K181" s="7"/>
      <c r="L181" s="14"/>
      <c r="M181" s="7"/>
      <c r="N181" s="7"/>
      <c r="O181" s="11" t="str">
        <f>IF(H181="","",IF(I181&lt;&gt;"",I181,TODAY())-H181)</f>
        <v/>
      </c>
      <c r="P181" s="11" t="str">
        <f>IF(H181="","",IF(I181&lt;&gt;"",IF(I181-H181&lt;30,"No","Sí"),IF(TODAY()-H181&gt;=30,"Sí","En curso")))</f>
        <v/>
      </c>
      <c r="Q181" s="11" t="str">
        <f>IF(H181="","",IF(I181&lt;&gt;"",IF(I181-H181&lt;60,"No","Sí"),IF(TODAY()-H181&gt;=60,"Sí","En curso")))</f>
        <v/>
      </c>
      <c r="R181" s="11" t="str">
        <f>IF(H181="","",IF(I181&lt;&gt;"","Baja",IF(AND(TODAY()-H181&gt;=7,J181=""),"Falta check-in semana 1",IF(AND(TODAY()-H181&gt;=21,L181=""),"Falta check-in semana 3",""))))</f>
        <v/>
      </c>
    </row>
    <row r="182">
      <c r="A182" s="7"/>
      <c r="B182" s="7"/>
      <c r="C182" s="7"/>
      <c r="D182" s="7"/>
      <c r="E182" s="7"/>
      <c r="F182" s="15"/>
      <c r="G182" s="7"/>
      <c r="H182" s="14"/>
      <c r="I182" s="14"/>
      <c r="J182" s="14"/>
      <c r="K182" s="7"/>
      <c r="L182" s="14"/>
      <c r="M182" s="7"/>
      <c r="N182" s="7"/>
      <c r="O182" s="11" t="str">
        <f>IF(H182="","",IF(I182&lt;&gt;"",I182,TODAY())-H182)</f>
        <v/>
      </c>
      <c r="P182" s="11" t="str">
        <f>IF(H182="","",IF(I182&lt;&gt;"",IF(I182-H182&lt;30,"No","Sí"),IF(TODAY()-H182&gt;=30,"Sí","En curso")))</f>
        <v/>
      </c>
      <c r="Q182" s="11" t="str">
        <f>IF(H182="","",IF(I182&lt;&gt;"",IF(I182-H182&lt;60,"No","Sí"),IF(TODAY()-H182&gt;=60,"Sí","En curso")))</f>
        <v/>
      </c>
      <c r="R182" s="11" t="str">
        <f>IF(H182="","",IF(I182&lt;&gt;"","Baja",IF(AND(TODAY()-H182&gt;=7,J182=""),"Falta check-in semana 1",IF(AND(TODAY()-H182&gt;=21,L182=""),"Falta check-in semana 3",""))))</f>
        <v/>
      </c>
    </row>
    <row r="183">
      <c r="A183" s="7"/>
      <c r="B183" s="7"/>
      <c r="C183" s="7"/>
      <c r="D183" s="7"/>
      <c r="E183" s="7"/>
      <c r="F183" s="15"/>
      <c r="G183" s="7"/>
      <c r="H183" s="14"/>
      <c r="I183" s="14"/>
      <c r="J183" s="14"/>
      <c r="K183" s="7"/>
      <c r="L183" s="14"/>
      <c r="M183" s="7"/>
      <c r="N183" s="7"/>
      <c r="O183" s="11" t="str">
        <f>IF(H183="","",IF(I183&lt;&gt;"",I183,TODAY())-H183)</f>
        <v/>
      </c>
      <c r="P183" s="11" t="str">
        <f>IF(H183="","",IF(I183&lt;&gt;"",IF(I183-H183&lt;30,"No","Sí"),IF(TODAY()-H183&gt;=30,"Sí","En curso")))</f>
        <v/>
      </c>
      <c r="Q183" s="11" t="str">
        <f>IF(H183="","",IF(I183&lt;&gt;"",IF(I183-H183&lt;60,"No","Sí"),IF(TODAY()-H183&gt;=60,"Sí","En curso")))</f>
        <v/>
      </c>
      <c r="R183" s="11" t="str">
        <f>IF(H183="","",IF(I183&lt;&gt;"","Baja",IF(AND(TODAY()-H183&gt;=7,J183=""),"Falta check-in semana 1",IF(AND(TODAY()-H183&gt;=21,L183=""),"Falta check-in semana 3",""))))</f>
        <v/>
      </c>
    </row>
    <row r="184">
      <c r="A184" s="7"/>
      <c r="B184" s="7"/>
      <c r="C184" s="7"/>
      <c r="D184" s="7"/>
      <c r="E184" s="7"/>
      <c r="F184" s="15"/>
      <c r="G184" s="7"/>
      <c r="H184" s="14"/>
      <c r="I184" s="14"/>
      <c r="J184" s="14"/>
      <c r="K184" s="7"/>
      <c r="L184" s="14"/>
      <c r="M184" s="7"/>
      <c r="N184" s="7"/>
      <c r="O184" s="11" t="str">
        <f>IF(H184="","",IF(I184&lt;&gt;"",I184,TODAY())-H184)</f>
        <v/>
      </c>
      <c r="P184" s="11" t="str">
        <f>IF(H184="","",IF(I184&lt;&gt;"",IF(I184-H184&lt;30,"No","Sí"),IF(TODAY()-H184&gt;=30,"Sí","En curso")))</f>
        <v/>
      </c>
      <c r="Q184" s="11" t="str">
        <f>IF(H184="","",IF(I184&lt;&gt;"",IF(I184-H184&lt;60,"No","Sí"),IF(TODAY()-H184&gt;=60,"Sí","En curso")))</f>
        <v/>
      </c>
      <c r="R184" s="11" t="str">
        <f>IF(H184="","",IF(I184&lt;&gt;"","Baja",IF(AND(TODAY()-H184&gt;=7,J184=""),"Falta check-in semana 1",IF(AND(TODAY()-H184&gt;=21,L184=""),"Falta check-in semana 3",""))))</f>
        <v/>
      </c>
    </row>
    <row r="185">
      <c r="A185" s="7"/>
      <c r="B185" s="7"/>
      <c r="C185" s="7"/>
      <c r="D185" s="7"/>
      <c r="E185" s="7"/>
      <c r="F185" s="15"/>
      <c r="G185" s="7"/>
      <c r="H185" s="14"/>
      <c r="I185" s="14"/>
      <c r="J185" s="14"/>
      <c r="K185" s="7"/>
      <c r="L185" s="14"/>
      <c r="M185" s="7"/>
      <c r="N185" s="7"/>
      <c r="O185" s="11" t="str">
        <f>IF(H185="","",IF(I185&lt;&gt;"",I185,TODAY())-H185)</f>
        <v/>
      </c>
      <c r="P185" s="11" t="str">
        <f>IF(H185="","",IF(I185&lt;&gt;"",IF(I185-H185&lt;30,"No","Sí"),IF(TODAY()-H185&gt;=30,"Sí","En curso")))</f>
        <v/>
      </c>
      <c r="Q185" s="11" t="str">
        <f>IF(H185="","",IF(I185&lt;&gt;"",IF(I185-H185&lt;60,"No","Sí"),IF(TODAY()-H185&gt;=60,"Sí","En curso")))</f>
        <v/>
      </c>
      <c r="R185" s="11" t="str">
        <f>IF(H185="","",IF(I185&lt;&gt;"","Baja",IF(AND(TODAY()-H185&gt;=7,J185=""),"Falta check-in semana 1",IF(AND(TODAY()-H185&gt;=21,L185=""),"Falta check-in semana 3",""))))</f>
        <v/>
      </c>
    </row>
    <row r="186">
      <c r="A186" s="7"/>
      <c r="B186" s="7"/>
      <c r="C186" s="7"/>
      <c r="D186" s="7"/>
      <c r="E186" s="7"/>
      <c r="F186" s="15"/>
      <c r="G186" s="7"/>
      <c r="H186" s="14"/>
      <c r="I186" s="14"/>
      <c r="J186" s="14"/>
      <c r="K186" s="7"/>
      <c r="L186" s="14"/>
      <c r="M186" s="7"/>
      <c r="N186" s="7"/>
      <c r="O186" s="11" t="str">
        <f>IF(H186="","",IF(I186&lt;&gt;"",I186,TODAY())-H186)</f>
        <v/>
      </c>
      <c r="P186" s="11" t="str">
        <f>IF(H186="","",IF(I186&lt;&gt;"",IF(I186-H186&lt;30,"No","Sí"),IF(TODAY()-H186&gt;=30,"Sí","En curso")))</f>
        <v/>
      </c>
      <c r="Q186" s="11" t="str">
        <f>IF(H186="","",IF(I186&lt;&gt;"",IF(I186-H186&lt;60,"No","Sí"),IF(TODAY()-H186&gt;=60,"Sí","En curso")))</f>
        <v/>
      </c>
      <c r="R186" s="11" t="str">
        <f>IF(H186="","",IF(I186&lt;&gt;"","Baja",IF(AND(TODAY()-H186&gt;=7,J186=""),"Falta check-in semana 1",IF(AND(TODAY()-H186&gt;=21,L186=""),"Falta check-in semana 3",""))))</f>
        <v/>
      </c>
    </row>
    <row r="187">
      <c r="A187" s="7"/>
      <c r="B187" s="7"/>
      <c r="C187" s="7"/>
      <c r="D187" s="7"/>
      <c r="E187" s="7"/>
      <c r="F187" s="15"/>
      <c r="G187" s="7"/>
      <c r="H187" s="14"/>
      <c r="I187" s="14"/>
      <c r="J187" s="14"/>
      <c r="K187" s="7"/>
      <c r="L187" s="14"/>
      <c r="M187" s="7"/>
      <c r="N187" s="7"/>
      <c r="O187" s="11" t="str">
        <f>IF(H187="","",IF(I187&lt;&gt;"",I187,TODAY())-H187)</f>
        <v/>
      </c>
      <c r="P187" s="11" t="str">
        <f>IF(H187="","",IF(I187&lt;&gt;"",IF(I187-H187&lt;30,"No","Sí"),IF(TODAY()-H187&gt;=30,"Sí","En curso")))</f>
        <v/>
      </c>
      <c r="Q187" s="11" t="str">
        <f>IF(H187="","",IF(I187&lt;&gt;"",IF(I187-H187&lt;60,"No","Sí"),IF(TODAY()-H187&gt;=60,"Sí","En curso")))</f>
        <v/>
      </c>
      <c r="R187" s="11" t="str">
        <f>IF(H187="","",IF(I187&lt;&gt;"","Baja",IF(AND(TODAY()-H187&gt;=7,J187=""),"Falta check-in semana 1",IF(AND(TODAY()-H187&gt;=21,L187=""),"Falta check-in semana 3",""))))</f>
        <v/>
      </c>
    </row>
    <row r="188">
      <c r="A188" s="7"/>
      <c r="B188" s="7"/>
      <c r="C188" s="7"/>
      <c r="D188" s="7"/>
      <c r="E188" s="7"/>
      <c r="F188" s="15"/>
      <c r="G188" s="7"/>
      <c r="H188" s="14"/>
      <c r="I188" s="14"/>
      <c r="J188" s="14"/>
      <c r="K188" s="7"/>
      <c r="L188" s="14"/>
      <c r="M188" s="7"/>
      <c r="N188" s="7"/>
      <c r="O188" s="11" t="str">
        <f>IF(H188="","",IF(I188&lt;&gt;"",I188,TODAY())-H188)</f>
        <v/>
      </c>
      <c r="P188" s="11" t="str">
        <f>IF(H188="","",IF(I188&lt;&gt;"",IF(I188-H188&lt;30,"No","Sí"),IF(TODAY()-H188&gt;=30,"Sí","En curso")))</f>
        <v/>
      </c>
      <c r="Q188" s="11" t="str">
        <f>IF(H188="","",IF(I188&lt;&gt;"",IF(I188-H188&lt;60,"No","Sí"),IF(TODAY()-H188&gt;=60,"Sí","En curso")))</f>
        <v/>
      </c>
      <c r="R188" s="11" t="str">
        <f>IF(H188="","",IF(I188&lt;&gt;"","Baja",IF(AND(TODAY()-H188&gt;=7,J188=""),"Falta check-in semana 1",IF(AND(TODAY()-H188&gt;=21,L188=""),"Falta check-in semana 3",""))))</f>
        <v/>
      </c>
    </row>
    <row r="189">
      <c r="A189" s="7"/>
      <c r="B189" s="7"/>
      <c r="C189" s="7"/>
      <c r="D189" s="7"/>
      <c r="E189" s="7"/>
      <c r="F189" s="15"/>
      <c r="G189" s="7"/>
      <c r="H189" s="14"/>
      <c r="I189" s="14"/>
      <c r="J189" s="14"/>
      <c r="K189" s="7"/>
      <c r="L189" s="14"/>
      <c r="M189" s="7"/>
      <c r="N189" s="7"/>
      <c r="O189" s="11" t="str">
        <f>IF(H189="","",IF(I189&lt;&gt;"",I189,TODAY())-H189)</f>
        <v/>
      </c>
      <c r="P189" s="11" t="str">
        <f>IF(H189="","",IF(I189&lt;&gt;"",IF(I189-H189&lt;30,"No","Sí"),IF(TODAY()-H189&gt;=30,"Sí","En curso")))</f>
        <v/>
      </c>
      <c r="Q189" s="11" t="str">
        <f>IF(H189="","",IF(I189&lt;&gt;"",IF(I189-H189&lt;60,"No","Sí"),IF(TODAY()-H189&gt;=60,"Sí","En curso")))</f>
        <v/>
      </c>
      <c r="R189" s="11" t="str">
        <f>IF(H189="","",IF(I189&lt;&gt;"","Baja",IF(AND(TODAY()-H189&gt;=7,J189=""),"Falta check-in semana 1",IF(AND(TODAY()-H189&gt;=21,L189=""),"Falta check-in semana 3",""))))</f>
        <v/>
      </c>
    </row>
    <row r="190">
      <c r="A190" s="7"/>
      <c r="B190" s="7"/>
      <c r="C190" s="7"/>
      <c r="D190" s="7"/>
      <c r="E190" s="7"/>
      <c r="F190" s="15"/>
      <c r="G190" s="7"/>
      <c r="H190" s="14"/>
      <c r="I190" s="14"/>
      <c r="J190" s="14"/>
      <c r="K190" s="7"/>
      <c r="L190" s="14"/>
      <c r="M190" s="7"/>
      <c r="N190" s="7"/>
      <c r="O190" s="11" t="str">
        <f>IF(H190="","",IF(I190&lt;&gt;"",I190,TODAY())-H190)</f>
        <v/>
      </c>
      <c r="P190" s="11" t="str">
        <f>IF(H190="","",IF(I190&lt;&gt;"",IF(I190-H190&lt;30,"No","Sí"),IF(TODAY()-H190&gt;=30,"Sí","En curso")))</f>
        <v/>
      </c>
      <c r="Q190" s="11" t="str">
        <f>IF(H190="","",IF(I190&lt;&gt;"",IF(I190-H190&lt;60,"No","Sí"),IF(TODAY()-H190&gt;=60,"Sí","En curso")))</f>
        <v/>
      </c>
      <c r="R190" s="11" t="str">
        <f>IF(H190="","",IF(I190&lt;&gt;"","Baja",IF(AND(TODAY()-H190&gt;=7,J190=""),"Falta check-in semana 1",IF(AND(TODAY()-H190&gt;=21,L190=""),"Falta check-in semana 3",""))))</f>
        <v/>
      </c>
    </row>
    <row r="191">
      <c r="A191" s="7"/>
      <c r="B191" s="7"/>
      <c r="C191" s="7"/>
      <c r="D191" s="7"/>
      <c r="E191" s="7"/>
      <c r="F191" s="15"/>
      <c r="G191" s="7"/>
      <c r="H191" s="14"/>
      <c r="I191" s="14"/>
      <c r="J191" s="14"/>
      <c r="K191" s="7"/>
      <c r="L191" s="14"/>
      <c r="M191" s="7"/>
      <c r="N191" s="7"/>
      <c r="O191" s="11" t="str">
        <f>IF(H191="","",IF(I191&lt;&gt;"",I191,TODAY())-H191)</f>
        <v/>
      </c>
      <c r="P191" s="11" t="str">
        <f>IF(H191="","",IF(I191&lt;&gt;"",IF(I191-H191&lt;30,"No","Sí"),IF(TODAY()-H191&gt;=30,"Sí","En curso")))</f>
        <v/>
      </c>
      <c r="Q191" s="11" t="str">
        <f>IF(H191="","",IF(I191&lt;&gt;"",IF(I191-H191&lt;60,"No","Sí"),IF(TODAY()-H191&gt;=60,"Sí","En curso")))</f>
        <v/>
      </c>
      <c r="R191" s="11" t="str">
        <f>IF(H191="","",IF(I191&lt;&gt;"","Baja",IF(AND(TODAY()-H191&gt;=7,J191=""),"Falta check-in semana 1",IF(AND(TODAY()-H191&gt;=21,L191=""),"Falta check-in semana 3",""))))</f>
        <v/>
      </c>
    </row>
    <row r="192">
      <c r="A192" s="7"/>
      <c r="B192" s="7"/>
      <c r="C192" s="7"/>
      <c r="D192" s="7"/>
      <c r="E192" s="7"/>
      <c r="F192" s="15"/>
      <c r="G192" s="7"/>
      <c r="H192" s="14"/>
      <c r="I192" s="14"/>
      <c r="J192" s="14"/>
      <c r="K192" s="7"/>
      <c r="L192" s="14"/>
      <c r="M192" s="7"/>
      <c r="N192" s="7"/>
      <c r="O192" s="11" t="str">
        <f>IF(H192="","",IF(I192&lt;&gt;"",I192,TODAY())-H192)</f>
        <v/>
      </c>
      <c r="P192" s="11" t="str">
        <f>IF(H192="","",IF(I192&lt;&gt;"",IF(I192-H192&lt;30,"No","Sí"),IF(TODAY()-H192&gt;=30,"Sí","En curso")))</f>
        <v/>
      </c>
      <c r="Q192" s="11" t="str">
        <f>IF(H192="","",IF(I192&lt;&gt;"",IF(I192-H192&lt;60,"No","Sí"),IF(TODAY()-H192&gt;=60,"Sí","En curso")))</f>
        <v/>
      </c>
      <c r="R192" s="11" t="str">
        <f>IF(H192="","",IF(I192&lt;&gt;"","Baja",IF(AND(TODAY()-H192&gt;=7,J192=""),"Falta check-in semana 1",IF(AND(TODAY()-H192&gt;=21,L192=""),"Falta check-in semana 3",""))))</f>
        <v/>
      </c>
    </row>
    <row r="193">
      <c r="A193" s="7"/>
      <c r="B193" s="7"/>
      <c r="C193" s="7"/>
      <c r="D193" s="7"/>
      <c r="E193" s="7"/>
      <c r="F193" s="15"/>
      <c r="G193" s="7"/>
      <c r="H193" s="14"/>
      <c r="I193" s="14"/>
      <c r="J193" s="14"/>
      <c r="K193" s="7"/>
      <c r="L193" s="14"/>
      <c r="M193" s="7"/>
      <c r="N193" s="7"/>
      <c r="O193" s="11" t="str">
        <f>IF(H193="","",IF(I193&lt;&gt;"",I193,TODAY())-H193)</f>
        <v/>
      </c>
      <c r="P193" s="11" t="str">
        <f>IF(H193="","",IF(I193&lt;&gt;"",IF(I193-H193&lt;30,"No","Sí"),IF(TODAY()-H193&gt;=30,"Sí","En curso")))</f>
        <v/>
      </c>
      <c r="Q193" s="11" t="str">
        <f>IF(H193="","",IF(I193&lt;&gt;"",IF(I193-H193&lt;60,"No","Sí"),IF(TODAY()-H193&gt;=60,"Sí","En curso")))</f>
        <v/>
      </c>
      <c r="R193" s="11" t="str">
        <f>IF(H193="","",IF(I193&lt;&gt;"","Baja",IF(AND(TODAY()-H193&gt;=7,J193=""),"Falta check-in semana 1",IF(AND(TODAY()-H193&gt;=21,L193=""),"Falta check-in semana 3",""))))</f>
        <v/>
      </c>
    </row>
    <row r="194">
      <c r="A194" s="7"/>
      <c r="B194" s="7"/>
      <c r="C194" s="7"/>
      <c r="D194" s="7"/>
      <c r="E194" s="7"/>
      <c r="F194" s="15"/>
      <c r="G194" s="7"/>
      <c r="H194" s="14"/>
      <c r="I194" s="14"/>
      <c r="J194" s="14"/>
      <c r="K194" s="7"/>
      <c r="L194" s="14"/>
      <c r="M194" s="7"/>
      <c r="N194" s="7"/>
      <c r="O194" s="11" t="str">
        <f>IF(H194="","",IF(I194&lt;&gt;"",I194,TODAY())-H194)</f>
        <v/>
      </c>
      <c r="P194" s="11" t="str">
        <f>IF(H194="","",IF(I194&lt;&gt;"",IF(I194-H194&lt;30,"No","Sí"),IF(TODAY()-H194&gt;=30,"Sí","En curso")))</f>
        <v/>
      </c>
      <c r="Q194" s="11" t="str">
        <f>IF(H194="","",IF(I194&lt;&gt;"",IF(I194-H194&lt;60,"No","Sí"),IF(TODAY()-H194&gt;=60,"Sí","En curso")))</f>
        <v/>
      </c>
      <c r="R194" s="11" t="str">
        <f>IF(H194="","",IF(I194&lt;&gt;"","Baja",IF(AND(TODAY()-H194&gt;=7,J194=""),"Falta check-in semana 1",IF(AND(TODAY()-H194&gt;=21,L194=""),"Falta check-in semana 3",""))))</f>
        <v/>
      </c>
    </row>
    <row r="195">
      <c r="A195" s="7"/>
      <c r="B195" s="7"/>
      <c r="C195" s="7"/>
      <c r="D195" s="7"/>
      <c r="E195" s="7"/>
      <c r="F195" s="15"/>
      <c r="G195" s="7"/>
      <c r="H195" s="14"/>
      <c r="I195" s="14"/>
      <c r="J195" s="14"/>
      <c r="K195" s="7"/>
      <c r="L195" s="14"/>
      <c r="M195" s="7"/>
      <c r="N195" s="7"/>
      <c r="O195" s="11" t="str">
        <f>IF(H195="","",IF(I195&lt;&gt;"",I195,TODAY())-H195)</f>
        <v/>
      </c>
      <c r="P195" s="11" t="str">
        <f>IF(H195="","",IF(I195&lt;&gt;"",IF(I195-H195&lt;30,"No","Sí"),IF(TODAY()-H195&gt;=30,"Sí","En curso")))</f>
        <v/>
      </c>
      <c r="Q195" s="11" t="str">
        <f>IF(H195="","",IF(I195&lt;&gt;"",IF(I195-H195&lt;60,"No","Sí"),IF(TODAY()-H195&gt;=60,"Sí","En curso")))</f>
        <v/>
      </c>
      <c r="R195" s="11" t="str">
        <f>IF(H195="","",IF(I195&lt;&gt;"","Baja",IF(AND(TODAY()-H195&gt;=7,J195=""),"Falta check-in semana 1",IF(AND(TODAY()-H195&gt;=21,L195=""),"Falta check-in semana 3",""))))</f>
        <v/>
      </c>
    </row>
    <row r="196">
      <c r="A196" s="7"/>
      <c r="B196" s="7"/>
      <c r="C196" s="7"/>
      <c r="D196" s="7"/>
      <c r="E196" s="7"/>
      <c r="F196" s="15"/>
      <c r="G196" s="7"/>
      <c r="H196" s="14"/>
      <c r="I196" s="14"/>
      <c r="J196" s="14"/>
      <c r="K196" s="7"/>
      <c r="L196" s="14"/>
      <c r="M196" s="7"/>
      <c r="N196" s="7"/>
      <c r="O196" s="11" t="str">
        <f>IF(H196="","",IF(I196&lt;&gt;"",I196,TODAY())-H196)</f>
        <v/>
      </c>
      <c r="P196" s="11" t="str">
        <f>IF(H196="","",IF(I196&lt;&gt;"",IF(I196-H196&lt;30,"No","Sí"),IF(TODAY()-H196&gt;=30,"Sí","En curso")))</f>
        <v/>
      </c>
      <c r="Q196" s="11" t="str">
        <f>IF(H196="","",IF(I196&lt;&gt;"",IF(I196-H196&lt;60,"No","Sí"),IF(TODAY()-H196&gt;=60,"Sí","En curso")))</f>
        <v/>
      </c>
      <c r="R196" s="11" t="str">
        <f>IF(H196="","",IF(I196&lt;&gt;"","Baja",IF(AND(TODAY()-H196&gt;=7,J196=""),"Falta check-in semana 1",IF(AND(TODAY()-H196&gt;=21,L196=""),"Falta check-in semana 3",""))))</f>
        <v/>
      </c>
    </row>
    <row r="197">
      <c r="A197" s="7"/>
      <c r="B197" s="7"/>
      <c r="C197" s="7"/>
      <c r="D197" s="7"/>
      <c r="E197" s="7"/>
      <c r="F197" s="15"/>
      <c r="G197" s="7"/>
      <c r="H197" s="14"/>
      <c r="I197" s="14"/>
      <c r="J197" s="14"/>
      <c r="K197" s="7"/>
      <c r="L197" s="14"/>
      <c r="M197" s="7"/>
      <c r="N197" s="7"/>
      <c r="O197" s="11" t="str">
        <f>IF(H197="","",IF(I197&lt;&gt;"",I197,TODAY())-H197)</f>
        <v/>
      </c>
      <c r="P197" s="11" t="str">
        <f>IF(H197="","",IF(I197&lt;&gt;"",IF(I197-H197&lt;30,"No","Sí"),IF(TODAY()-H197&gt;=30,"Sí","En curso")))</f>
        <v/>
      </c>
      <c r="Q197" s="11" t="str">
        <f>IF(H197="","",IF(I197&lt;&gt;"",IF(I197-H197&lt;60,"No","Sí"),IF(TODAY()-H197&gt;=60,"Sí","En curso")))</f>
        <v/>
      </c>
      <c r="R197" s="11" t="str">
        <f>IF(H197="","",IF(I197&lt;&gt;"","Baja",IF(AND(TODAY()-H197&gt;=7,J197=""),"Falta check-in semana 1",IF(AND(TODAY()-H197&gt;=21,L197=""),"Falta check-in semana 3",""))))</f>
        <v/>
      </c>
    </row>
    <row r="198">
      <c r="A198" s="7"/>
      <c r="B198" s="7"/>
      <c r="C198" s="7"/>
      <c r="D198" s="7"/>
      <c r="E198" s="7"/>
      <c r="F198" s="15"/>
      <c r="G198" s="7"/>
      <c r="H198" s="14"/>
      <c r="I198" s="14"/>
      <c r="J198" s="14"/>
      <c r="K198" s="7"/>
      <c r="L198" s="14"/>
      <c r="M198" s="7"/>
      <c r="N198" s="7"/>
      <c r="O198" s="11" t="str">
        <f>IF(H198="","",IF(I198&lt;&gt;"",I198,TODAY())-H198)</f>
        <v/>
      </c>
      <c r="P198" s="11" t="str">
        <f>IF(H198="","",IF(I198&lt;&gt;"",IF(I198-H198&lt;30,"No","Sí"),IF(TODAY()-H198&gt;=30,"Sí","En curso")))</f>
        <v/>
      </c>
      <c r="Q198" s="11" t="str">
        <f>IF(H198="","",IF(I198&lt;&gt;"",IF(I198-H198&lt;60,"No","Sí"),IF(TODAY()-H198&gt;=60,"Sí","En curso")))</f>
        <v/>
      </c>
      <c r="R198" s="11" t="str">
        <f>IF(H198="","",IF(I198&lt;&gt;"","Baja",IF(AND(TODAY()-H198&gt;=7,J198=""),"Falta check-in semana 1",IF(AND(TODAY()-H198&gt;=21,L198=""),"Falta check-in semana 3",""))))</f>
        <v/>
      </c>
    </row>
    <row r="199">
      <c r="A199" s="7"/>
      <c r="B199" s="7"/>
      <c r="C199" s="7"/>
      <c r="D199" s="7"/>
      <c r="E199" s="7"/>
      <c r="F199" s="15"/>
      <c r="G199" s="7"/>
      <c r="H199" s="14"/>
      <c r="I199" s="14"/>
      <c r="J199" s="14"/>
      <c r="K199" s="7"/>
      <c r="L199" s="14"/>
      <c r="M199" s="7"/>
      <c r="N199" s="7"/>
      <c r="O199" s="11" t="str">
        <f>IF(H199="","",IF(I199&lt;&gt;"",I199,TODAY())-H199)</f>
        <v/>
      </c>
      <c r="P199" s="11" t="str">
        <f>IF(H199="","",IF(I199&lt;&gt;"",IF(I199-H199&lt;30,"No","Sí"),IF(TODAY()-H199&gt;=30,"Sí","En curso")))</f>
        <v/>
      </c>
      <c r="Q199" s="11" t="str">
        <f>IF(H199="","",IF(I199&lt;&gt;"",IF(I199-H199&lt;60,"No","Sí"),IF(TODAY()-H199&gt;=60,"Sí","En curso")))</f>
        <v/>
      </c>
      <c r="R199" s="11" t="str">
        <f>IF(H199="","",IF(I199&lt;&gt;"","Baja",IF(AND(TODAY()-H199&gt;=7,J199=""),"Falta check-in semana 1",IF(AND(TODAY()-H199&gt;=21,L199=""),"Falta check-in semana 3",""))))</f>
        <v/>
      </c>
    </row>
    <row r="200">
      <c r="A200" s="7"/>
      <c r="B200" s="7"/>
      <c r="C200" s="7"/>
      <c r="D200" s="7"/>
      <c r="E200" s="7"/>
      <c r="F200" s="15"/>
      <c r="G200" s="7"/>
      <c r="H200" s="14"/>
      <c r="I200" s="14"/>
      <c r="J200" s="14"/>
      <c r="K200" s="7"/>
      <c r="L200" s="14"/>
      <c r="M200" s="7"/>
      <c r="N200" s="7"/>
      <c r="O200" s="11" t="str">
        <f>IF(H200="","",IF(I200&lt;&gt;"",I200,TODAY())-H200)</f>
        <v/>
      </c>
      <c r="P200" s="11" t="str">
        <f>IF(H200="","",IF(I200&lt;&gt;"",IF(I200-H200&lt;30,"No","Sí"),IF(TODAY()-H200&gt;=30,"Sí","En curso")))</f>
        <v/>
      </c>
      <c r="Q200" s="11" t="str">
        <f>IF(H200="","",IF(I200&lt;&gt;"",IF(I200-H200&lt;60,"No","Sí"),IF(TODAY()-H200&gt;=60,"Sí","En curso")))</f>
        <v/>
      </c>
      <c r="R200" s="11" t="str">
        <f>IF(H200="","",IF(I200&lt;&gt;"","Baja",IF(AND(TODAY()-H200&gt;=7,J200=""),"Falta check-in semana 1",IF(AND(TODAY()-H200&gt;=21,L200=""),"Falta check-in semana 3",""))))</f>
        <v/>
      </c>
    </row>
    <row r="201">
      <c r="A201" s="7"/>
      <c r="B201" s="7"/>
      <c r="C201" s="7"/>
      <c r="D201" s="7"/>
      <c r="E201" s="7"/>
      <c r="F201" s="15"/>
      <c r="G201" s="7"/>
      <c r="H201" s="14"/>
      <c r="I201" s="14"/>
      <c r="J201" s="14"/>
      <c r="K201" s="7"/>
      <c r="L201" s="14"/>
      <c r="M201" s="7"/>
      <c r="N201" s="7"/>
      <c r="O201" s="11" t="str">
        <f>IF(H201="","",IF(I201&lt;&gt;"",I201,TODAY())-H201)</f>
        <v/>
      </c>
      <c r="P201" s="11" t="str">
        <f>IF(H201="","",IF(I201&lt;&gt;"",IF(I201-H201&lt;30,"No","Sí"),IF(TODAY()-H201&gt;=30,"Sí","En curso")))</f>
        <v/>
      </c>
      <c r="Q201" s="11" t="str">
        <f>IF(H201="","",IF(I201&lt;&gt;"",IF(I201-H201&lt;60,"No","Sí"),IF(TODAY()-H201&gt;=60,"Sí","En curso")))</f>
        <v/>
      </c>
      <c r="R201" s="11" t="str">
        <f>IF(H201="","",IF(I201&lt;&gt;"","Baja",IF(AND(TODAY()-H201&gt;=7,J201=""),"Falta check-in semana 1",IF(AND(TODAY()-H201&gt;=21,L201=""),"Falta check-in semana 3",""))))</f>
        <v/>
      </c>
    </row>
    <row r="202">
      <c r="A202" s="7"/>
      <c r="B202" s="7"/>
      <c r="C202" s="7"/>
      <c r="D202" s="7"/>
      <c r="E202" s="7"/>
      <c r="F202" s="15"/>
      <c r="G202" s="7"/>
      <c r="H202" s="14"/>
      <c r="I202" s="14"/>
      <c r="J202" s="14"/>
      <c r="K202" s="7"/>
      <c r="L202" s="14"/>
      <c r="M202" s="7"/>
      <c r="N202" s="7"/>
      <c r="O202" s="11" t="str">
        <f>IF(H202="","",IF(I202&lt;&gt;"",I202,TODAY())-H202)</f>
        <v/>
      </c>
      <c r="P202" s="11" t="str">
        <f>IF(H202="","",IF(I202&lt;&gt;"",IF(I202-H202&lt;30,"No","Sí"),IF(TODAY()-H202&gt;=30,"Sí","En curso")))</f>
        <v/>
      </c>
      <c r="Q202" s="11" t="str">
        <f>IF(H202="","",IF(I202&lt;&gt;"",IF(I202-H202&lt;60,"No","Sí"),IF(TODAY()-H202&gt;=60,"Sí","En curso")))</f>
        <v/>
      </c>
      <c r="R202" s="11" t="str">
        <f>IF(H202="","",IF(I202&lt;&gt;"","Baja",IF(AND(TODAY()-H202&gt;=7,J202=""),"Falta check-in semana 1",IF(AND(TODAY()-H202&gt;=21,L202=""),"Falta check-in semana 3",""))))</f>
        <v/>
      </c>
    </row>
    <row r="203">
      <c r="A203" s="7"/>
      <c r="B203" s="7"/>
      <c r="C203" s="7"/>
      <c r="D203" s="7"/>
      <c r="E203" s="7"/>
      <c r="F203" s="15"/>
      <c r="G203" s="7"/>
      <c r="H203" s="14"/>
      <c r="I203" s="14"/>
      <c r="J203" s="14"/>
      <c r="K203" s="7"/>
      <c r="L203" s="14"/>
      <c r="M203" s="7"/>
      <c r="N203" s="7"/>
      <c r="O203" s="11" t="str">
        <f>IF(H203="","",IF(I203&lt;&gt;"",I203,TODAY())-H203)</f>
        <v/>
      </c>
      <c r="P203" s="11" t="str">
        <f>IF(H203="","",IF(I203&lt;&gt;"",IF(I203-H203&lt;30,"No","Sí"),IF(TODAY()-H203&gt;=30,"Sí","En curso")))</f>
        <v/>
      </c>
      <c r="Q203" s="11" t="str">
        <f>IF(H203="","",IF(I203&lt;&gt;"",IF(I203-H203&lt;60,"No","Sí"),IF(TODAY()-H203&gt;=60,"Sí","En curso")))</f>
        <v/>
      </c>
      <c r="R203" s="11" t="str">
        <f>IF(H203="","",IF(I203&lt;&gt;"","Baja",IF(AND(TODAY()-H203&gt;=7,J203=""),"Falta check-in semana 1",IF(AND(TODAY()-H203&gt;=21,L203=""),"Falta check-in semana 3",""))))</f>
        <v/>
      </c>
    </row>
    <row r="204">
      <c r="A204" s="7"/>
      <c r="B204" s="7"/>
      <c r="C204" s="7"/>
      <c r="D204" s="7"/>
      <c r="E204" s="7"/>
      <c r="F204" s="15"/>
      <c r="G204" s="7"/>
      <c r="H204" s="14"/>
      <c r="I204" s="14"/>
      <c r="J204" s="14"/>
      <c r="K204" s="7"/>
      <c r="L204" s="14"/>
      <c r="M204" s="7"/>
      <c r="N204" s="7"/>
      <c r="O204" s="11" t="str">
        <f>IF(H204="","",IF(I204&lt;&gt;"",I204,TODAY())-H204)</f>
        <v/>
      </c>
      <c r="P204" s="11" t="str">
        <f>IF(H204="","",IF(I204&lt;&gt;"",IF(I204-H204&lt;30,"No","Sí"),IF(TODAY()-H204&gt;=30,"Sí","En curso")))</f>
        <v/>
      </c>
      <c r="Q204" s="11" t="str">
        <f>IF(H204="","",IF(I204&lt;&gt;"",IF(I204-H204&lt;60,"No","Sí"),IF(TODAY()-H204&gt;=60,"Sí","En curso")))</f>
        <v/>
      </c>
      <c r="R204" s="11" t="str">
        <f>IF(H204="","",IF(I204&lt;&gt;"","Baja",IF(AND(TODAY()-H204&gt;=7,J204=""),"Falta check-in semana 1",IF(AND(TODAY()-H204&gt;=21,L204=""),"Falta check-in semana 3",""))))</f>
        <v/>
      </c>
    </row>
    <row r="205">
      <c r="A205" s="7"/>
      <c r="B205" s="7"/>
      <c r="C205" s="7"/>
      <c r="D205" s="7"/>
      <c r="E205" s="7"/>
      <c r="F205" s="15"/>
      <c r="G205" s="7"/>
      <c r="H205" s="14"/>
      <c r="I205" s="14"/>
      <c r="J205" s="14"/>
      <c r="K205" s="7"/>
      <c r="L205" s="14"/>
      <c r="M205" s="7"/>
      <c r="N205" s="7"/>
      <c r="O205" s="11" t="str">
        <f>IF(H205="","",IF(I205&lt;&gt;"",I205,TODAY())-H205)</f>
        <v/>
      </c>
      <c r="P205" s="11" t="str">
        <f>IF(H205="","",IF(I205&lt;&gt;"",IF(I205-H205&lt;30,"No","Sí"),IF(TODAY()-H205&gt;=30,"Sí","En curso")))</f>
        <v/>
      </c>
      <c r="Q205" s="11" t="str">
        <f>IF(H205="","",IF(I205&lt;&gt;"",IF(I205-H205&lt;60,"No","Sí"),IF(TODAY()-H205&gt;=60,"Sí","En curso")))</f>
        <v/>
      </c>
      <c r="R205" s="11" t="str">
        <f>IF(H205="","",IF(I205&lt;&gt;"","Baja",IF(AND(TODAY()-H205&gt;=7,J205=""),"Falta check-in semana 1",IF(AND(TODAY()-H205&gt;=21,L205=""),"Falta check-in semana 3",""))))</f>
        <v/>
      </c>
    </row>
    <row r="206">
      <c r="A206" s="7"/>
      <c r="B206" s="7"/>
      <c r="C206" s="7"/>
      <c r="D206" s="7"/>
      <c r="E206" s="7"/>
      <c r="F206" s="15"/>
      <c r="G206" s="7"/>
      <c r="H206" s="14"/>
      <c r="I206" s="14"/>
      <c r="J206" s="14"/>
      <c r="K206" s="7"/>
      <c r="L206" s="14"/>
      <c r="M206" s="7"/>
      <c r="N206" s="7"/>
      <c r="O206" s="11" t="str">
        <f>IF(H206="","",IF(I206&lt;&gt;"",I206,TODAY())-H206)</f>
        <v/>
      </c>
      <c r="P206" s="11" t="str">
        <f>IF(H206="","",IF(I206&lt;&gt;"",IF(I206-H206&lt;30,"No","Sí"),IF(TODAY()-H206&gt;=30,"Sí","En curso")))</f>
        <v/>
      </c>
      <c r="Q206" s="11" t="str">
        <f>IF(H206="","",IF(I206&lt;&gt;"",IF(I206-H206&lt;60,"No","Sí"),IF(TODAY()-H206&gt;=60,"Sí","En curso")))</f>
        <v/>
      </c>
      <c r="R206" s="11" t="str">
        <f>IF(H206="","",IF(I206&lt;&gt;"","Baja",IF(AND(TODAY()-H206&gt;=7,J206=""),"Falta check-in semana 1",IF(AND(TODAY()-H206&gt;=21,L206=""),"Falta check-in semana 3",""))))</f>
        <v/>
      </c>
    </row>
    <row r="207">
      <c r="A207" s="7"/>
      <c r="B207" s="7"/>
      <c r="C207" s="7"/>
      <c r="D207" s="7"/>
      <c r="E207" s="7"/>
      <c r="F207" s="15"/>
      <c r="G207" s="7"/>
      <c r="H207" s="14"/>
      <c r="I207" s="14"/>
      <c r="J207" s="14"/>
      <c r="K207" s="7"/>
      <c r="L207" s="14"/>
      <c r="M207" s="7"/>
      <c r="N207" s="7"/>
      <c r="O207" s="11" t="str">
        <f>IF(H207="","",IF(I207&lt;&gt;"",I207,TODAY())-H207)</f>
        <v/>
      </c>
      <c r="P207" s="11" t="str">
        <f>IF(H207="","",IF(I207&lt;&gt;"",IF(I207-H207&lt;30,"No","Sí"),IF(TODAY()-H207&gt;=30,"Sí","En curso")))</f>
        <v/>
      </c>
      <c r="Q207" s="11" t="str">
        <f>IF(H207="","",IF(I207&lt;&gt;"",IF(I207-H207&lt;60,"No","Sí"),IF(TODAY()-H207&gt;=60,"Sí","En curso")))</f>
        <v/>
      </c>
      <c r="R207" s="11" t="str">
        <f>IF(H207="","",IF(I207&lt;&gt;"","Baja",IF(AND(TODAY()-H207&gt;=7,J207=""),"Falta check-in semana 1",IF(AND(TODAY()-H207&gt;=21,L207=""),"Falta check-in semana 3",""))))</f>
        <v/>
      </c>
    </row>
    <row r="208">
      <c r="A208" s="7"/>
      <c r="B208" s="7"/>
      <c r="C208" s="7"/>
      <c r="D208" s="7"/>
      <c r="E208" s="7"/>
      <c r="F208" s="15"/>
      <c r="G208" s="7"/>
      <c r="H208" s="14"/>
      <c r="I208" s="14"/>
      <c r="J208" s="14"/>
      <c r="K208" s="7"/>
      <c r="L208" s="14"/>
      <c r="M208" s="7"/>
      <c r="N208" s="7"/>
      <c r="O208" s="11" t="str">
        <f>IF(H208="","",IF(I208&lt;&gt;"",I208,TODAY())-H208)</f>
        <v/>
      </c>
      <c r="P208" s="11" t="str">
        <f>IF(H208="","",IF(I208&lt;&gt;"",IF(I208-H208&lt;30,"No","Sí"),IF(TODAY()-H208&gt;=30,"Sí","En curso")))</f>
        <v/>
      </c>
      <c r="Q208" s="11" t="str">
        <f>IF(H208="","",IF(I208&lt;&gt;"",IF(I208-H208&lt;60,"No","Sí"),IF(TODAY()-H208&gt;=60,"Sí","En curso")))</f>
        <v/>
      </c>
      <c r="R208" s="11" t="str">
        <f>IF(H208="","",IF(I208&lt;&gt;"","Baja",IF(AND(TODAY()-H208&gt;=7,J208=""),"Falta check-in semana 1",IF(AND(TODAY()-H208&gt;=21,L208=""),"Falta check-in semana 3",""))))</f>
        <v/>
      </c>
    </row>
    <row r="209">
      <c r="A209" s="7"/>
      <c r="B209" s="7"/>
      <c r="C209" s="7"/>
      <c r="D209" s="7"/>
      <c r="E209" s="7"/>
      <c r="F209" s="15"/>
      <c r="G209" s="7"/>
      <c r="H209" s="14"/>
      <c r="I209" s="14"/>
      <c r="J209" s="14"/>
      <c r="K209" s="7"/>
      <c r="L209" s="14"/>
      <c r="M209" s="7"/>
      <c r="N209" s="7"/>
      <c r="O209" s="11" t="str">
        <f>IF(H209="","",IF(I209&lt;&gt;"",I209,TODAY())-H209)</f>
        <v/>
      </c>
      <c r="P209" s="11" t="str">
        <f>IF(H209="","",IF(I209&lt;&gt;"",IF(I209-H209&lt;30,"No","Sí"),IF(TODAY()-H209&gt;=30,"Sí","En curso")))</f>
        <v/>
      </c>
      <c r="Q209" s="11" t="str">
        <f>IF(H209="","",IF(I209&lt;&gt;"",IF(I209-H209&lt;60,"No","Sí"),IF(TODAY()-H209&gt;=60,"Sí","En curso")))</f>
        <v/>
      </c>
      <c r="R209" s="11" t="str">
        <f>IF(H209="","",IF(I209&lt;&gt;"","Baja",IF(AND(TODAY()-H209&gt;=7,J209=""),"Falta check-in semana 1",IF(AND(TODAY()-H209&gt;=21,L209=""),"Falta check-in semana 3",""))))</f>
        <v/>
      </c>
    </row>
    <row r="210">
      <c r="A210" s="7"/>
      <c r="B210" s="7"/>
      <c r="C210" s="7"/>
      <c r="D210" s="7"/>
      <c r="E210" s="7"/>
      <c r="F210" s="15"/>
      <c r="G210" s="7"/>
      <c r="H210" s="14"/>
      <c r="I210" s="14"/>
      <c r="J210" s="14"/>
      <c r="K210" s="7"/>
      <c r="L210" s="14"/>
      <c r="M210" s="7"/>
      <c r="N210" s="7"/>
      <c r="O210" s="11" t="str">
        <f>IF(H210="","",IF(I210&lt;&gt;"",I210,TODAY())-H210)</f>
        <v/>
      </c>
      <c r="P210" s="11" t="str">
        <f>IF(H210="","",IF(I210&lt;&gt;"",IF(I210-H210&lt;30,"No","Sí"),IF(TODAY()-H210&gt;=30,"Sí","En curso")))</f>
        <v/>
      </c>
      <c r="Q210" s="11" t="str">
        <f>IF(H210="","",IF(I210&lt;&gt;"",IF(I210-H210&lt;60,"No","Sí"),IF(TODAY()-H210&gt;=60,"Sí","En curso")))</f>
        <v/>
      </c>
      <c r="R210" s="11" t="str">
        <f>IF(H210="","",IF(I210&lt;&gt;"","Baja",IF(AND(TODAY()-H210&gt;=7,J210=""),"Falta check-in semana 1",IF(AND(TODAY()-H210&gt;=21,L210=""),"Falta check-in semana 3",""))))</f>
        <v/>
      </c>
    </row>
    <row r="211">
      <c r="A211" s="7"/>
      <c r="B211" s="7"/>
      <c r="C211" s="7"/>
      <c r="D211" s="7"/>
      <c r="E211" s="7"/>
      <c r="F211" s="15"/>
      <c r="G211" s="7"/>
      <c r="H211" s="14"/>
      <c r="I211" s="14"/>
      <c r="J211" s="14"/>
      <c r="K211" s="7"/>
      <c r="L211" s="14"/>
      <c r="M211" s="7"/>
      <c r="N211" s="7"/>
      <c r="O211" s="11" t="str">
        <f>IF(H211="","",IF(I211&lt;&gt;"",I211,TODAY())-H211)</f>
        <v/>
      </c>
      <c r="P211" s="11" t="str">
        <f>IF(H211="","",IF(I211&lt;&gt;"",IF(I211-H211&lt;30,"No","Sí"),IF(TODAY()-H211&gt;=30,"Sí","En curso")))</f>
        <v/>
      </c>
      <c r="Q211" s="11" t="str">
        <f>IF(H211="","",IF(I211&lt;&gt;"",IF(I211-H211&lt;60,"No","Sí"),IF(TODAY()-H211&gt;=60,"Sí","En curso")))</f>
        <v/>
      </c>
      <c r="R211" s="11" t="str">
        <f>IF(H211="","",IF(I211&lt;&gt;"","Baja",IF(AND(TODAY()-H211&gt;=7,J211=""),"Falta check-in semana 1",IF(AND(TODAY()-H211&gt;=21,L211=""),"Falta check-in semana 3",""))))</f>
        <v/>
      </c>
    </row>
    <row r="212">
      <c r="A212" s="7"/>
      <c r="B212" s="7"/>
      <c r="C212" s="7"/>
      <c r="D212" s="7"/>
      <c r="E212" s="7"/>
      <c r="F212" s="15"/>
      <c r="G212" s="7"/>
      <c r="H212" s="14"/>
      <c r="I212" s="14"/>
      <c r="J212" s="14"/>
      <c r="K212" s="7"/>
      <c r="L212" s="14"/>
      <c r="M212" s="7"/>
      <c r="N212" s="7"/>
      <c r="O212" s="11" t="str">
        <f>IF(H212="","",IF(I212&lt;&gt;"",I212,TODAY())-H212)</f>
        <v/>
      </c>
      <c r="P212" s="11" t="str">
        <f>IF(H212="","",IF(I212&lt;&gt;"",IF(I212-H212&lt;30,"No","Sí"),IF(TODAY()-H212&gt;=30,"Sí","En curso")))</f>
        <v/>
      </c>
      <c r="Q212" s="11" t="str">
        <f>IF(H212="","",IF(I212&lt;&gt;"",IF(I212-H212&lt;60,"No","Sí"),IF(TODAY()-H212&gt;=60,"Sí","En curso")))</f>
        <v/>
      </c>
      <c r="R212" s="11" t="str">
        <f>IF(H212="","",IF(I212&lt;&gt;"","Baja",IF(AND(TODAY()-H212&gt;=7,J212=""),"Falta check-in semana 1",IF(AND(TODAY()-H212&gt;=21,L212=""),"Falta check-in semana 3",""))))</f>
        <v/>
      </c>
    </row>
    <row r="213">
      <c r="A213" s="7"/>
      <c r="B213" s="7"/>
      <c r="C213" s="7"/>
      <c r="D213" s="7"/>
      <c r="E213" s="7"/>
      <c r="F213" s="15"/>
      <c r="G213" s="7"/>
      <c r="H213" s="14"/>
      <c r="I213" s="14"/>
      <c r="J213" s="14"/>
      <c r="K213" s="7"/>
      <c r="L213" s="14"/>
      <c r="M213" s="7"/>
      <c r="N213" s="7"/>
      <c r="O213" s="11" t="str">
        <f>IF(H213="","",IF(I213&lt;&gt;"",I213,TODAY())-H213)</f>
        <v/>
      </c>
      <c r="P213" s="11" t="str">
        <f>IF(H213="","",IF(I213&lt;&gt;"",IF(I213-H213&lt;30,"No","Sí"),IF(TODAY()-H213&gt;=30,"Sí","En curso")))</f>
        <v/>
      </c>
      <c r="Q213" s="11" t="str">
        <f>IF(H213="","",IF(I213&lt;&gt;"",IF(I213-H213&lt;60,"No","Sí"),IF(TODAY()-H213&gt;=60,"Sí","En curso")))</f>
        <v/>
      </c>
      <c r="R213" s="11" t="str">
        <f>IF(H213="","",IF(I213&lt;&gt;"","Baja",IF(AND(TODAY()-H213&gt;=7,J213=""),"Falta check-in semana 1",IF(AND(TODAY()-H213&gt;=21,L213=""),"Falta check-in semana 3",""))))</f>
        <v/>
      </c>
    </row>
    <row r="214">
      <c r="A214" s="7"/>
      <c r="B214" s="7"/>
      <c r="C214" s="7"/>
      <c r="D214" s="7"/>
      <c r="E214" s="7"/>
      <c r="F214" s="15"/>
      <c r="G214" s="7"/>
      <c r="H214" s="14"/>
      <c r="I214" s="14"/>
      <c r="J214" s="14"/>
      <c r="K214" s="7"/>
      <c r="L214" s="14"/>
      <c r="M214" s="7"/>
      <c r="N214" s="7"/>
      <c r="O214" s="11" t="str">
        <f>IF(H214="","",IF(I214&lt;&gt;"",I214,TODAY())-H214)</f>
        <v/>
      </c>
      <c r="P214" s="11" t="str">
        <f>IF(H214="","",IF(I214&lt;&gt;"",IF(I214-H214&lt;30,"No","Sí"),IF(TODAY()-H214&gt;=30,"Sí","En curso")))</f>
        <v/>
      </c>
      <c r="Q214" s="11" t="str">
        <f>IF(H214="","",IF(I214&lt;&gt;"",IF(I214-H214&lt;60,"No","Sí"),IF(TODAY()-H214&gt;=60,"Sí","En curso")))</f>
        <v/>
      </c>
      <c r="R214" s="11" t="str">
        <f>IF(H214="","",IF(I214&lt;&gt;"","Baja",IF(AND(TODAY()-H214&gt;=7,J214=""),"Falta check-in semana 1",IF(AND(TODAY()-H214&gt;=21,L214=""),"Falta check-in semana 3",""))))</f>
        <v/>
      </c>
    </row>
    <row r="215">
      <c r="A215" s="7"/>
      <c r="B215" s="7"/>
      <c r="C215" s="7"/>
      <c r="D215" s="7"/>
      <c r="E215" s="7"/>
      <c r="F215" s="15"/>
      <c r="G215" s="7"/>
      <c r="H215" s="14"/>
      <c r="I215" s="14"/>
      <c r="J215" s="14"/>
      <c r="K215" s="7"/>
      <c r="L215" s="14"/>
      <c r="M215" s="7"/>
      <c r="N215" s="7"/>
      <c r="O215" s="11" t="str">
        <f>IF(H215="","",IF(I215&lt;&gt;"",I215,TODAY())-H215)</f>
        <v/>
      </c>
      <c r="P215" s="11" t="str">
        <f>IF(H215="","",IF(I215&lt;&gt;"",IF(I215-H215&lt;30,"No","Sí"),IF(TODAY()-H215&gt;=30,"Sí","En curso")))</f>
        <v/>
      </c>
      <c r="Q215" s="11" t="str">
        <f>IF(H215="","",IF(I215&lt;&gt;"",IF(I215-H215&lt;60,"No","Sí"),IF(TODAY()-H215&gt;=60,"Sí","En curso")))</f>
        <v/>
      </c>
      <c r="R215" s="11" t="str">
        <f>IF(H215="","",IF(I215&lt;&gt;"","Baja",IF(AND(TODAY()-H215&gt;=7,J215=""),"Falta check-in semana 1",IF(AND(TODAY()-H215&gt;=21,L215=""),"Falta check-in semana 3",""))))</f>
        <v/>
      </c>
    </row>
    <row r="216">
      <c r="A216" s="7"/>
      <c r="B216" s="7"/>
      <c r="C216" s="7"/>
      <c r="D216" s="7"/>
      <c r="E216" s="7"/>
      <c r="F216" s="15"/>
      <c r="G216" s="7"/>
      <c r="H216" s="14"/>
      <c r="I216" s="14"/>
      <c r="J216" s="14"/>
      <c r="K216" s="7"/>
      <c r="L216" s="14"/>
      <c r="M216" s="7"/>
      <c r="N216" s="7"/>
      <c r="O216" s="11" t="str">
        <f>IF(H216="","",IF(I216&lt;&gt;"",I216,TODAY())-H216)</f>
        <v/>
      </c>
      <c r="P216" s="11" t="str">
        <f>IF(H216="","",IF(I216&lt;&gt;"",IF(I216-H216&lt;30,"No","Sí"),IF(TODAY()-H216&gt;=30,"Sí","En curso")))</f>
        <v/>
      </c>
      <c r="Q216" s="11" t="str">
        <f>IF(H216="","",IF(I216&lt;&gt;"",IF(I216-H216&lt;60,"No","Sí"),IF(TODAY()-H216&gt;=60,"Sí","En curso")))</f>
        <v/>
      </c>
      <c r="R216" s="11" t="str">
        <f>IF(H216="","",IF(I216&lt;&gt;"","Baja",IF(AND(TODAY()-H216&gt;=7,J216=""),"Falta check-in semana 1",IF(AND(TODAY()-H216&gt;=21,L216=""),"Falta check-in semana 3",""))))</f>
        <v/>
      </c>
    </row>
    <row r="217">
      <c r="A217" s="7"/>
      <c r="B217" s="7"/>
      <c r="C217" s="7"/>
      <c r="D217" s="7"/>
      <c r="E217" s="7"/>
      <c r="F217" s="15"/>
      <c r="G217" s="7"/>
      <c r="H217" s="14"/>
      <c r="I217" s="14"/>
      <c r="J217" s="14"/>
      <c r="K217" s="7"/>
      <c r="L217" s="14"/>
      <c r="M217" s="7"/>
      <c r="N217" s="7"/>
      <c r="O217" s="11" t="str">
        <f>IF(H217="","",IF(I217&lt;&gt;"",I217,TODAY())-H217)</f>
        <v/>
      </c>
      <c r="P217" s="11" t="str">
        <f>IF(H217="","",IF(I217&lt;&gt;"",IF(I217-H217&lt;30,"No","Sí"),IF(TODAY()-H217&gt;=30,"Sí","En curso")))</f>
        <v/>
      </c>
      <c r="Q217" s="11" t="str">
        <f>IF(H217="","",IF(I217&lt;&gt;"",IF(I217-H217&lt;60,"No","Sí"),IF(TODAY()-H217&gt;=60,"Sí","En curso")))</f>
        <v/>
      </c>
      <c r="R217" s="11" t="str">
        <f>IF(H217="","",IF(I217&lt;&gt;"","Baja",IF(AND(TODAY()-H217&gt;=7,J217=""),"Falta check-in semana 1",IF(AND(TODAY()-H217&gt;=21,L217=""),"Falta check-in semana 3",""))))</f>
        <v/>
      </c>
    </row>
    <row r="218">
      <c r="A218" s="7"/>
      <c r="B218" s="7"/>
      <c r="C218" s="7"/>
      <c r="D218" s="7"/>
      <c r="E218" s="7"/>
      <c r="F218" s="15"/>
      <c r="G218" s="7"/>
      <c r="H218" s="14"/>
      <c r="I218" s="14"/>
      <c r="J218" s="14"/>
      <c r="K218" s="7"/>
      <c r="L218" s="14"/>
      <c r="M218" s="7"/>
      <c r="N218" s="7"/>
      <c r="O218" s="11" t="str">
        <f>IF(H218="","",IF(I218&lt;&gt;"",I218,TODAY())-H218)</f>
        <v/>
      </c>
      <c r="P218" s="11" t="str">
        <f>IF(H218="","",IF(I218&lt;&gt;"",IF(I218-H218&lt;30,"No","Sí"),IF(TODAY()-H218&gt;=30,"Sí","En curso")))</f>
        <v/>
      </c>
      <c r="Q218" s="11" t="str">
        <f>IF(H218="","",IF(I218&lt;&gt;"",IF(I218-H218&lt;60,"No","Sí"),IF(TODAY()-H218&gt;=60,"Sí","En curso")))</f>
        <v/>
      </c>
      <c r="R218" s="11" t="str">
        <f>IF(H218="","",IF(I218&lt;&gt;"","Baja",IF(AND(TODAY()-H218&gt;=7,J218=""),"Falta check-in semana 1",IF(AND(TODAY()-H218&gt;=21,L218=""),"Falta check-in semana 3",""))))</f>
        <v/>
      </c>
    </row>
    <row r="219">
      <c r="A219" s="7"/>
      <c r="B219" s="7"/>
      <c r="C219" s="7"/>
      <c r="D219" s="7"/>
      <c r="E219" s="7"/>
      <c r="F219" s="15"/>
      <c r="G219" s="7"/>
      <c r="H219" s="14"/>
      <c r="I219" s="14"/>
      <c r="J219" s="14"/>
      <c r="K219" s="7"/>
      <c r="L219" s="14"/>
      <c r="M219" s="7"/>
      <c r="N219" s="7"/>
      <c r="O219" s="11" t="str">
        <f>IF(H219="","",IF(I219&lt;&gt;"",I219,TODAY())-H219)</f>
        <v/>
      </c>
      <c r="P219" s="11" t="str">
        <f>IF(H219="","",IF(I219&lt;&gt;"",IF(I219-H219&lt;30,"No","Sí"),IF(TODAY()-H219&gt;=30,"Sí","En curso")))</f>
        <v/>
      </c>
      <c r="Q219" s="11" t="str">
        <f>IF(H219="","",IF(I219&lt;&gt;"",IF(I219-H219&lt;60,"No","Sí"),IF(TODAY()-H219&gt;=60,"Sí","En curso")))</f>
        <v/>
      </c>
      <c r="R219" s="11" t="str">
        <f>IF(H219="","",IF(I219&lt;&gt;"","Baja",IF(AND(TODAY()-H219&gt;=7,J219=""),"Falta check-in semana 1",IF(AND(TODAY()-H219&gt;=21,L219=""),"Falta check-in semana 3",""))))</f>
        <v/>
      </c>
    </row>
    <row r="220">
      <c r="A220" s="7"/>
      <c r="B220" s="7"/>
      <c r="C220" s="7"/>
      <c r="D220" s="7"/>
      <c r="E220" s="7"/>
      <c r="F220" s="15"/>
      <c r="G220" s="7"/>
      <c r="H220" s="14"/>
      <c r="I220" s="14"/>
      <c r="J220" s="14"/>
      <c r="K220" s="7"/>
      <c r="L220" s="14"/>
      <c r="M220" s="7"/>
      <c r="N220" s="7"/>
      <c r="O220" s="11" t="str">
        <f>IF(H220="","",IF(I220&lt;&gt;"",I220,TODAY())-H220)</f>
        <v/>
      </c>
      <c r="P220" s="11" t="str">
        <f>IF(H220="","",IF(I220&lt;&gt;"",IF(I220-H220&lt;30,"No","Sí"),IF(TODAY()-H220&gt;=30,"Sí","En curso")))</f>
        <v/>
      </c>
      <c r="Q220" s="11" t="str">
        <f>IF(H220="","",IF(I220&lt;&gt;"",IF(I220-H220&lt;60,"No","Sí"),IF(TODAY()-H220&gt;=60,"Sí","En curso")))</f>
        <v/>
      </c>
      <c r="R220" s="11" t="str">
        <f>IF(H220="","",IF(I220&lt;&gt;"","Baja",IF(AND(TODAY()-H220&gt;=7,J220=""),"Falta check-in semana 1",IF(AND(TODAY()-H220&gt;=21,L220=""),"Falta check-in semana 3",""))))</f>
        <v/>
      </c>
    </row>
    <row r="221">
      <c r="A221" s="7"/>
      <c r="B221" s="7"/>
      <c r="C221" s="7"/>
      <c r="D221" s="7"/>
      <c r="E221" s="7"/>
      <c r="F221" s="15"/>
      <c r="G221" s="7"/>
      <c r="H221" s="14"/>
      <c r="I221" s="14"/>
      <c r="J221" s="14"/>
      <c r="K221" s="7"/>
      <c r="L221" s="14"/>
      <c r="M221" s="7"/>
      <c r="N221" s="7"/>
      <c r="O221" s="11" t="str">
        <f>IF(H221="","",IF(I221&lt;&gt;"",I221,TODAY())-H221)</f>
        <v/>
      </c>
      <c r="P221" s="11" t="str">
        <f>IF(H221="","",IF(I221&lt;&gt;"",IF(I221-H221&lt;30,"No","Sí"),IF(TODAY()-H221&gt;=30,"Sí","En curso")))</f>
        <v/>
      </c>
      <c r="Q221" s="11" t="str">
        <f>IF(H221="","",IF(I221&lt;&gt;"",IF(I221-H221&lt;60,"No","Sí"),IF(TODAY()-H221&gt;=60,"Sí","En curso")))</f>
        <v/>
      </c>
      <c r="R221" s="11" t="str">
        <f>IF(H221="","",IF(I221&lt;&gt;"","Baja",IF(AND(TODAY()-H221&gt;=7,J221=""),"Falta check-in semana 1",IF(AND(TODAY()-H221&gt;=21,L221=""),"Falta check-in semana 3",""))))</f>
        <v/>
      </c>
    </row>
    <row r="222">
      <c r="A222" s="7"/>
      <c r="B222" s="7"/>
      <c r="C222" s="7"/>
      <c r="D222" s="7"/>
      <c r="E222" s="7"/>
      <c r="F222" s="15"/>
      <c r="G222" s="7"/>
      <c r="H222" s="14"/>
      <c r="I222" s="14"/>
      <c r="J222" s="14"/>
      <c r="K222" s="7"/>
      <c r="L222" s="14"/>
      <c r="M222" s="7"/>
      <c r="N222" s="7"/>
      <c r="O222" s="11" t="str">
        <f>IF(H222="","",IF(I222&lt;&gt;"",I222,TODAY())-H222)</f>
        <v/>
      </c>
      <c r="P222" s="11" t="str">
        <f>IF(H222="","",IF(I222&lt;&gt;"",IF(I222-H222&lt;30,"No","Sí"),IF(TODAY()-H222&gt;=30,"Sí","En curso")))</f>
        <v/>
      </c>
      <c r="Q222" s="11" t="str">
        <f>IF(H222="","",IF(I222&lt;&gt;"",IF(I222-H222&lt;60,"No","Sí"),IF(TODAY()-H222&gt;=60,"Sí","En curso")))</f>
        <v/>
      </c>
      <c r="R222" s="11" t="str">
        <f>IF(H222="","",IF(I222&lt;&gt;"","Baja",IF(AND(TODAY()-H222&gt;=7,J222=""),"Falta check-in semana 1",IF(AND(TODAY()-H222&gt;=21,L222=""),"Falta check-in semana 3",""))))</f>
        <v/>
      </c>
    </row>
    <row r="223">
      <c r="A223" s="7"/>
      <c r="B223" s="7"/>
      <c r="C223" s="7"/>
      <c r="D223" s="7"/>
      <c r="E223" s="7"/>
      <c r="F223" s="15"/>
      <c r="G223" s="7"/>
      <c r="H223" s="14"/>
      <c r="I223" s="14"/>
      <c r="J223" s="14"/>
      <c r="K223" s="7"/>
      <c r="L223" s="14"/>
      <c r="M223" s="7"/>
      <c r="N223" s="7"/>
      <c r="O223" s="11" t="str">
        <f>IF(H223="","",IF(I223&lt;&gt;"",I223,TODAY())-H223)</f>
        <v/>
      </c>
      <c r="P223" s="11" t="str">
        <f>IF(H223="","",IF(I223&lt;&gt;"",IF(I223-H223&lt;30,"No","Sí"),IF(TODAY()-H223&gt;=30,"Sí","En curso")))</f>
        <v/>
      </c>
      <c r="Q223" s="11" t="str">
        <f>IF(H223="","",IF(I223&lt;&gt;"",IF(I223-H223&lt;60,"No","Sí"),IF(TODAY()-H223&gt;=60,"Sí","En curso")))</f>
        <v/>
      </c>
      <c r="R223" s="11" t="str">
        <f>IF(H223="","",IF(I223&lt;&gt;"","Baja",IF(AND(TODAY()-H223&gt;=7,J223=""),"Falta check-in semana 1",IF(AND(TODAY()-H223&gt;=21,L223=""),"Falta check-in semana 3",""))))</f>
        <v/>
      </c>
    </row>
    <row r="224">
      <c r="A224" s="7"/>
      <c r="B224" s="7"/>
      <c r="C224" s="7"/>
      <c r="D224" s="7"/>
      <c r="E224" s="7"/>
      <c r="F224" s="15"/>
      <c r="G224" s="7"/>
      <c r="H224" s="14"/>
      <c r="I224" s="14"/>
      <c r="J224" s="14"/>
      <c r="K224" s="7"/>
      <c r="L224" s="14"/>
      <c r="M224" s="7"/>
      <c r="N224" s="7"/>
      <c r="O224" s="11" t="str">
        <f>IF(H224="","",IF(I224&lt;&gt;"",I224,TODAY())-H224)</f>
        <v/>
      </c>
      <c r="P224" s="11" t="str">
        <f>IF(H224="","",IF(I224&lt;&gt;"",IF(I224-H224&lt;30,"No","Sí"),IF(TODAY()-H224&gt;=30,"Sí","En curso")))</f>
        <v/>
      </c>
      <c r="Q224" s="11" t="str">
        <f>IF(H224="","",IF(I224&lt;&gt;"",IF(I224-H224&lt;60,"No","Sí"),IF(TODAY()-H224&gt;=60,"Sí","En curso")))</f>
        <v/>
      </c>
      <c r="R224" s="11" t="str">
        <f>IF(H224="","",IF(I224&lt;&gt;"","Baja",IF(AND(TODAY()-H224&gt;=7,J224=""),"Falta check-in semana 1",IF(AND(TODAY()-H224&gt;=21,L224=""),"Falta check-in semana 3",""))))</f>
        <v/>
      </c>
    </row>
    <row r="225">
      <c r="A225" s="7"/>
      <c r="B225" s="7"/>
      <c r="C225" s="7"/>
      <c r="D225" s="7"/>
      <c r="E225" s="7"/>
      <c r="F225" s="15"/>
      <c r="G225" s="7"/>
      <c r="H225" s="14"/>
      <c r="I225" s="14"/>
      <c r="J225" s="14"/>
      <c r="K225" s="7"/>
      <c r="L225" s="14"/>
      <c r="M225" s="7"/>
      <c r="N225" s="7"/>
      <c r="O225" s="11" t="str">
        <f>IF(H225="","",IF(I225&lt;&gt;"",I225,TODAY())-H225)</f>
        <v/>
      </c>
      <c r="P225" s="11" t="str">
        <f>IF(H225="","",IF(I225&lt;&gt;"",IF(I225-H225&lt;30,"No","Sí"),IF(TODAY()-H225&gt;=30,"Sí","En curso")))</f>
        <v/>
      </c>
      <c r="Q225" s="11" t="str">
        <f>IF(H225="","",IF(I225&lt;&gt;"",IF(I225-H225&lt;60,"No","Sí"),IF(TODAY()-H225&gt;=60,"Sí","En curso")))</f>
        <v/>
      </c>
      <c r="R225" s="11" t="str">
        <f>IF(H225="","",IF(I225&lt;&gt;"","Baja",IF(AND(TODAY()-H225&gt;=7,J225=""),"Falta check-in semana 1",IF(AND(TODAY()-H225&gt;=21,L225=""),"Falta check-in semana 3",""))))</f>
        <v/>
      </c>
    </row>
    <row r="226">
      <c r="A226" s="7"/>
      <c r="B226" s="7"/>
      <c r="C226" s="7"/>
      <c r="D226" s="7"/>
      <c r="E226" s="7"/>
      <c r="F226" s="15"/>
      <c r="G226" s="7"/>
      <c r="H226" s="14"/>
      <c r="I226" s="14"/>
      <c r="J226" s="14"/>
      <c r="K226" s="7"/>
      <c r="L226" s="14"/>
      <c r="M226" s="7"/>
      <c r="N226" s="7"/>
      <c r="O226" s="11" t="str">
        <f>IF(H226="","",IF(I226&lt;&gt;"",I226,TODAY())-H226)</f>
        <v/>
      </c>
      <c r="P226" s="11" t="str">
        <f>IF(H226="","",IF(I226&lt;&gt;"",IF(I226-H226&lt;30,"No","Sí"),IF(TODAY()-H226&gt;=30,"Sí","En curso")))</f>
        <v/>
      </c>
      <c r="Q226" s="11" t="str">
        <f>IF(H226="","",IF(I226&lt;&gt;"",IF(I226-H226&lt;60,"No","Sí"),IF(TODAY()-H226&gt;=60,"Sí","En curso")))</f>
        <v/>
      </c>
      <c r="R226" s="11" t="str">
        <f>IF(H226="","",IF(I226&lt;&gt;"","Baja",IF(AND(TODAY()-H226&gt;=7,J226=""),"Falta check-in semana 1",IF(AND(TODAY()-H226&gt;=21,L226=""),"Falta check-in semana 3",""))))</f>
        <v/>
      </c>
    </row>
    <row r="227">
      <c r="A227" s="7"/>
      <c r="B227" s="7"/>
      <c r="C227" s="7"/>
      <c r="D227" s="7"/>
      <c r="E227" s="7"/>
      <c r="F227" s="15"/>
      <c r="G227" s="7"/>
      <c r="H227" s="14"/>
      <c r="I227" s="14"/>
      <c r="J227" s="14"/>
      <c r="K227" s="7"/>
      <c r="L227" s="14"/>
      <c r="M227" s="7"/>
      <c r="N227" s="7"/>
      <c r="O227" s="11" t="str">
        <f>IF(H227="","",IF(I227&lt;&gt;"",I227,TODAY())-H227)</f>
        <v/>
      </c>
      <c r="P227" s="11" t="str">
        <f>IF(H227="","",IF(I227&lt;&gt;"",IF(I227-H227&lt;30,"No","Sí"),IF(TODAY()-H227&gt;=30,"Sí","En curso")))</f>
        <v/>
      </c>
      <c r="Q227" s="11" t="str">
        <f>IF(H227="","",IF(I227&lt;&gt;"",IF(I227-H227&lt;60,"No","Sí"),IF(TODAY()-H227&gt;=60,"Sí","En curso")))</f>
        <v/>
      </c>
      <c r="R227" s="11" t="str">
        <f>IF(H227="","",IF(I227&lt;&gt;"","Baja",IF(AND(TODAY()-H227&gt;=7,J227=""),"Falta check-in semana 1",IF(AND(TODAY()-H227&gt;=21,L227=""),"Falta check-in semana 3",""))))</f>
        <v/>
      </c>
    </row>
    <row r="228">
      <c r="A228" s="7"/>
      <c r="B228" s="7"/>
      <c r="C228" s="7"/>
      <c r="D228" s="7"/>
      <c r="E228" s="7"/>
      <c r="F228" s="15"/>
      <c r="G228" s="7"/>
      <c r="H228" s="14"/>
      <c r="I228" s="14"/>
      <c r="J228" s="14"/>
      <c r="K228" s="7"/>
      <c r="L228" s="14"/>
      <c r="M228" s="7"/>
      <c r="N228" s="7"/>
      <c r="O228" s="11" t="str">
        <f>IF(H228="","",IF(I228&lt;&gt;"",I228,TODAY())-H228)</f>
        <v/>
      </c>
      <c r="P228" s="11" t="str">
        <f>IF(H228="","",IF(I228&lt;&gt;"",IF(I228-H228&lt;30,"No","Sí"),IF(TODAY()-H228&gt;=30,"Sí","En curso")))</f>
        <v/>
      </c>
      <c r="Q228" s="11" t="str">
        <f>IF(H228="","",IF(I228&lt;&gt;"",IF(I228-H228&lt;60,"No","Sí"),IF(TODAY()-H228&gt;=60,"Sí","En curso")))</f>
        <v/>
      </c>
      <c r="R228" s="11" t="str">
        <f>IF(H228="","",IF(I228&lt;&gt;"","Baja",IF(AND(TODAY()-H228&gt;=7,J228=""),"Falta check-in semana 1",IF(AND(TODAY()-H228&gt;=21,L228=""),"Falta check-in semana 3",""))))</f>
        <v/>
      </c>
    </row>
    <row r="229">
      <c r="A229" s="7"/>
      <c r="B229" s="7"/>
      <c r="C229" s="7"/>
      <c r="D229" s="7"/>
      <c r="E229" s="7"/>
      <c r="F229" s="15"/>
      <c r="G229" s="7"/>
      <c r="H229" s="14"/>
      <c r="I229" s="14"/>
      <c r="J229" s="14"/>
      <c r="K229" s="7"/>
      <c r="L229" s="14"/>
      <c r="M229" s="7"/>
      <c r="N229" s="7"/>
      <c r="O229" s="11" t="str">
        <f>IF(H229="","",IF(I229&lt;&gt;"",I229,TODAY())-H229)</f>
        <v/>
      </c>
      <c r="P229" s="11" t="str">
        <f>IF(H229="","",IF(I229&lt;&gt;"",IF(I229-H229&lt;30,"No","Sí"),IF(TODAY()-H229&gt;=30,"Sí","En curso")))</f>
        <v/>
      </c>
      <c r="Q229" s="11" t="str">
        <f>IF(H229="","",IF(I229&lt;&gt;"",IF(I229-H229&lt;60,"No","Sí"),IF(TODAY()-H229&gt;=60,"Sí","En curso")))</f>
        <v/>
      </c>
      <c r="R229" s="11" t="str">
        <f>IF(H229="","",IF(I229&lt;&gt;"","Baja",IF(AND(TODAY()-H229&gt;=7,J229=""),"Falta check-in semana 1",IF(AND(TODAY()-H229&gt;=21,L229=""),"Falta check-in semana 3",""))))</f>
        <v/>
      </c>
    </row>
    <row r="230">
      <c r="A230" s="7"/>
      <c r="B230" s="7"/>
      <c r="C230" s="7"/>
      <c r="D230" s="7"/>
      <c r="E230" s="7"/>
      <c r="F230" s="15"/>
      <c r="G230" s="7"/>
      <c r="H230" s="14"/>
      <c r="I230" s="14"/>
      <c r="J230" s="14"/>
      <c r="K230" s="7"/>
      <c r="L230" s="14"/>
      <c r="M230" s="7"/>
      <c r="N230" s="7"/>
      <c r="O230" s="11" t="str">
        <f>IF(H230="","",IF(I230&lt;&gt;"",I230,TODAY())-H230)</f>
        <v/>
      </c>
      <c r="P230" s="11" t="str">
        <f>IF(H230="","",IF(I230&lt;&gt;"",IF(I230-H230&lt;30,"No","Sí"),IF(TODAY()-H230&gt;=30,"Sí","En curso")))</f>
        <v/>
      </c>
      <c r="Q230" s="11" t="str">
        <f>IF(H230="","",IF(I230&lt;&gt;"",IF(I230-H230&lt;60,"No","Sí"),IF(TODAY()-H230&gt;=60,"Sí","En curso")))</f>
        <v/>
      </c>
      <c r="R230" s="11" t="str">
        <f>IF(H230="","",IF(I230&lt;&gt;"","Baja",IF(AND(TODAY()-H230&gt;=7,J230=""),"Falta check-in semana 1",IF(AND(TODAY()-H230&gt;=21,L230=""),"Falta check-in semana 3",""))))</f>
        <v/>
      </c>
    </row>
    <row r="231">
      <c r="A231" s="7"/>
      <c r="B231" s="7"/>
      <c r="C231" s="7"/>
      <c r="D231" s="7"/>
      <c r="E231" s="7"/>
      <c r="F231" s="15"/>
      <c r="G231" s="7"/>
      <c r="H231" s="14"/>
      <c r="I231" s="14"/>
      <c r="J231" s="14"/>
      <c r="K231" s="7"/>
      <c r="L231" s="14"/>
      <c r="M231" s="7"/>
      <c r="N231" s="7"/>
      <c r="O231" s="11" t="str">
        <f>IF(H231="","",IF(I231&lt;&gt;"",I231,TODAY())-H231)</f>
        <v/>
      </c>
      <c r="P231" s="11" t="str">
        <f>IF(H231="","",IF(I231&lt;&gt;"",IF(I231-H231&lt;30,"No","Sí"),IF(TODAY()-H231&gt;=30,"Sí","En curso")))</f>
        <v/>
      </c>
      <c r="Q231" s="11" t="str">
        <f>IF(H231="","",IF(I231&lt;&gt;"",IF(I231-H231&lt;60,"No","Sí"),IF(TODAY()-H231&gt;=60,"Sí","En curso")))</f>
        <v/>
      </c>
      <c r="R231" s="11" t="str">
        <f>IF(H231="","",IF(I231&lt;&gt;"","Baja",IF(AND(TODAY()-H231&gt;=7,J231=""),"Falta check-in semana 1",IF(AND(TODAY()-H231&gt;=21,L231=""),"Falta check-in semana 3",""))))</f>
        <v/>
      </c>
    </row>
    <row r="232">
      <c r="A232" s="7"/>
      <c r="B232" s="7"/>
      <c r="C232" s="7"/>
      <c r="D232" s="7"/>
      <c r="E232" s="7"/>
      <c r="F232" s="15"/>
      <c r="G232" s="7"/>
      <c r="H232" s="14"/>
      <c r="I232" s="14"/>
      <c r="J232" s="14"/>
      <c r="K232" s="7"/>
      <c r="L232" s="14"/>
      <c r="M232" s="7"/>
      <c r="N232" s="7"/>
      <c r="O232" s="11" t="str">
        <f>IF(H232="","",IF(I232&lt;&gt;"",I232,TODAY())-H232)</f>
        <v/>
      </c>
      <c r="P232" s="11" t="str">
        <f>IF(H232="","",IF(I232&lt;&gt;"",IF(I232-H232&lt;30,"No","Sí"),IF(TODAY()-H232&gt;=30,"Sí","En curso")))</f>
        <v/>
      </c>
      <c r="Q232" s="11" t="str">
        <f>IF(H232="","",IF(I232&lt;&gt;"",IF(I232-H232&lt;60,"No","Sí"),IF(TODAY()-H232&gt;=60,"Sí","En curso")))</f>
        <v/>
      </c>
      <c r="R232" s="11" t="str">
        <f>IF(H232="","",IF(I232&lt;&gt;"","Baja",IF(AND(TODAY()-H232&gt;=7,J232=""),"Falta check-in semana 1",IF(AND(TODAY()-H232&gt;=21,L232=""),"Falta check-in semana 3",""))))</f>
        <v/>
      </c>
    </row>
    <row r="233">
      <c r="A233" s="7"/>
      <c r="B233" s="7"/>
      <c r="C233" s="7"/>
      <c r="D233" s="7"/>
      <c r="E233" s="7"/>
      <c r="F233" s="15"/>
      <c r="G233" s="7"/>
      <c r="H233" s="14"/>
      <c r="I233" s="14"/>
      <c r="J233" s="14"/>
      <c r="K233" s="7"/>
      <c r="L233" s="14"/>
      <c r="M233" s="7"/>
      <c r="N233" s="7"/>
      <c r="O233" s="11" t="str">
        <f>IF(H233="","",IF(I233&lt;&gt;"",I233,TODAY())-H233)</f>
        <v/>
      </c>
      <c r="P233" s="11" t="str">
        <f>IF(H233="","",IF(I233&lt;&gt;"",IF(I233-H233&lt;30,"No","Sí"),IF(TODAY()-H233&gt;=30,"Sí","En curso")))</f>
        <v/>
      </c>
      <c r="Q233" s="11" t="str">
        <f>IF(H233="","",IF(I233&lt;&gt;"",IF(I233-H233&lt;60,"No","Sí"),IF(TODAY()-H233&gt;=60,"Sí","En curso")))</f>
        <v/>
      </c>
      <c r="R233" s="11" t="str">
        <f>IF(H233="","",IF(I233&lt;&gt;"","Baja",IF(AND(TODAY()-H233&gt;=7,J233=""),"Falta check-in semana 1",IF(AND(TODAY()-H233&gt;=21,L233=""),"Falta check-in semana 3",""))))</f>
        <v/>
      </c>
    </row>
    <row r="234">
      <c r="A234" s="7"/>
      <c r="B234" s="7"/>
      <c r="C234" s="7"/>
      <c r="D234" s="7"/>
      <c r="E234" s="7"/>
      <c r="F234" s="15"/>
      <c r="G234" s="7"/>
      <c r="H234" s="14"/>
      <c r="I234" s="14"/>
      <c r="J234" s="14"/>
      <c r="K234" s="7"/>
      <c r="L234" s="14"/>
      <c r="M234" s="7"/>
      <c r="N234" s="7"/>
      <c r="O234" s="11" t="str">
        <f>IF(H234="","",IF(I234&lt;&gt;"",I234,TODAY())-H234)</f>
        <v/>
      </c>
      <c r="P234" s="11" t="str">
        <f>IF(H234="","",IF(I234&lt;&gt;"",IF(I234-H234&lt;30,"No","Sí"),IF(TODAY()-H234&gt;=30,"Sí","En curso")))</f>
        <v/>
      </c>
      <c r="Q234" s="11" t="str">
        <f>IF(H234="","",IF(I234&lt;&gt;"",IF(I234-H234&lt;60,"No","Sí"),IF(TODAY()-H234&gt;=60,"Sí","En curso")))</f>
        <v/>
      </c>
      <c r="R234" s="11" t="str">
        <f>IF(H234="","",IF(I234&lt;&gt;"","Baja",IF(AND(TODAY()-H234&gt;=7,J234=""),"Falta check-in semana 1",IF(AND(TODAY()-H234&gt;=21,L234=""),"Falta check-in semana 3",""))))</f>
        <v/>
      </c>
    </row>
    <row r="235">
      <c r="A235" s="7"/>
      <c r="B235" s="7"/>
      <c r="C235" s="7"/>
      <c r="D235" s="7"/>
      <c r="E235" s="7"/>
      <c r="F235" s="15"/>
      <c r="G235" s="7"/>
      <c r="H235" s="14"/>
      <c r="I235" s="14"/>
      <c r="J235" s="14"/>
      <c r="K235" s="7"/>
      <c r="L235" s="14"/>
      <c r="M235" s="7"/>
      <c r="N235" s="7"/>
      <c r="O235" s="11" t="str">
        <f>IF(H235="","",IF(I235&lt;&gt;"",I235,TODAY())-H235)</f>
        <v/>
      </c>
      <c r="P235" s="11" t="str">
        <f>IF(H235="","",IF(I235&lt;&gt;"",IF(I235-H235&lt;30,"No","Sí"),IF(TODAY()-H235&gt;=30,"Sí","En curso")))</f>
        <v/>
      </c>
      <c r="Q235" s="11" t="str">
        <f>IF(H235="","",IF(I235&lt;&gt;"",IF(I235-H235&lt;60,"No","Sí"),IF(TODAY()-H235&gt;=60,"Sí","En curso")))</f>
        <v/>
      </c>
      <c r="R235" s="11" t="str">
        <f>IF(H235="","",IF(I235&lt;&gt;"","Baja",IF(AND(TODAY()-H235&gt;=7,J235=""),"Falta check-in semana 1",IF(AND(TODAY()-H235&gt;=21,L235=""),"Falta check-in semana 3",""))))</f>
        <v/>
      </c>
    </row>
    <row r="236">
      <c r="A236" s="7"/>
      <c r="B236" s="7"/>
      <c r="C236" s="7"/>
      <c r="D236" s="7"/>
      <c r="E236" s="7"/>
      <c r="F236" s="15"/>
      <c r="G236" s="7"/>
      <c r="H236" s="14"/>
      <c r="I236" s="14"/>
      <c r="J236" s="14"/>
      <c r="K236" s="7"/>
      <c r="L236" s="14"/>
      <c r="M236" s="7"/>
      <c r="N236" s="7"/>
      <c r="O236" s="11" t="str">
        <f>IF(H236="","",IF(I236&lt;&gt;"",I236,TODAY())-H236)</f>
        <v/>
      </c>
      <c r="P236" s="11" t="str">
        <f>IF(H236="","",IF(I236&lt;&gt;"",IF(I236-H236&lt;30,"No","Sí"),IF(TODAY()-H236&gt;=30,"Sí","En curso")))</f>
        <v/>
      </c>
      <c r="Q236" s="11" t="str">
        <f>IF(H236="","",IF(I236&lt;&gt;"",IF(I236-H236&lt;60,"No","Sí"),IF(TODAY()-H236&gt;=60,"Sí","En curso")))</f>
        <v/>
      </c>
      <c r="R236" s="11" t="str">
        <f>IF(H236="","",IF(I236&lt;&gt;"","Baja",IF(AND(TODAY()-H236&gt;=7,J236=""),"Falta check-in semana 1",IF(AND(TODAY()-H236&gt;=21,L236=""),"Falta check-in semana 3",""))))</f>
        <v/>
      </c>
    </row>
    <row r="237">
      <c r="A237" s="7"/>
      <c r="B237" s="7"/>
      <c r="C237" s="7"/>
      <c r="D237" s="7"/>
      <c r="E237" s="7"/>
      <c r="F237" s="15"/>
      <c r="G237" s="7"/>
      <c r="H237" s="14"/>
      <c r="I237" s="14"/>
      <c r="J237" s="14"/>
      <c r="K237" s="7"/>
      <c r="L237" s="14"/>
      <c r="M237" s="7"/>
      <c r="N237" s="7"/>
      <c r="O237" s="11" t="str">
        <f>IF(H237="","",IF(I237&lt;&gt;"",I237,TODAY())-H237)</f>
        <v/>
      </c>
      <c r="P237" s="11" t="str">
        <f>IF(H237="","",IF(I237&lt;&gt;"",IF(I237-H237&lt;30,"No","Sí"),IF(TODAY()-H237&gt;=30,"Sí","En curso")))</f>
        <v/>
      </c>
      <c r="Q237" s="11" t="str">
        <f>IF(H237="","",IF(I237&lt;&gt;"",IF(I237-H237&lt;60,"No","Sí"),IF(TODAY()-H237&gt;=60,"Sí","En curso")))</f>
        <v/>
      </c>
      <c r="R237" s="11" t="str">
        <f>IF(H237="","",IF(I237&lt;&gt;"","Baja",IF(AND(TODAY()-H237&gt;=7,J237=""),"Falta check-in semana 1",IF(AND(TODAY()-H237&gt;=21,L237=""),"Falta check-in semana 3",""))))</f>
        <v/>
      </c>
    </row>
    <row r="238">
      <c r="A238" s="7"/>
      <c r="B238" s="7"/>
      <c r="C238" s="7"/>
      <c r="D238" s="7"/>
      <c r="E238" s="7"/>
      <c r="F238" s="15"/>
      <c r="G238" s="7"/>
      <c r="H238" s="14"/>
      <c r="I238" s="14"/>
      <c r="J238" s="14"/>
      <c r="K238" s="7"/>
      <c r="L238" s="14"/>
      <c r="M238" s="7"/>
      <c r="N238" s="7"/>
      <c r="O238" s="11" t="str">
        <f>IF(H238="","",IF(I238&lt;&gt;"",I238,TODAY())-H238)</f>
        <v/>
      </c>
      <c r="P238" s="11" t="str">
        <f>IF(H238="","",IF(I238&lt;&gt;"",IF(I238-H238&lt;30,"No","Sí"),IF(TODAY()-H238&gt;=30,"Sí","En curso")))</f>
        <v/>
      </c>
      <c r="Q238" s="11" t="str">
        <f>IF(H238="","",IF(I238&lt;&gt;"",IF(I238-H238&lt;60,"No","Sí"),IF(TODAY()-H238&gt;=60,"Sí","En curso")))</f>
        <v/>
      </c>
      <c r="R238" s="11" t="str">
        <f>IF(H238="","",IF(I238&lt;&gt;"","Baja",IF(AND(TODAY()-H238&gt;=7,J238=""),"Falta check-in semana 1",IF(AND(TODAY()-H238&gt;=21,L238=""),"Falta check-in semana 3",""))))</f>
        <v/>
      </c>
    </row>
    <row r="239">
      <c r="A239" s="7"/>
      <c r="B239" s="7"/>
      <c r="C239" s="7"/>
      <c r="D239" s="7"/>
      <c r="E239" s="7"/>
      <c r="F239" s="15"/>
      <c r="G239" s="7"/>
      <c r="H239" s="14"/>
      <c r="I239" s="14"/>
      <c r="J239" s="14"/>
      <c r="K239" s="7"/>
      <c r="L239" s="14"/>
      <c r="M239" s="7"/>
      <c r="N239" s="7"/>
      <c r="O239" s="11" t="str">
        <f>IF(H239="","",IF(I239&lt;&gt;"",I239,TODAY())-H239)</f>
        <v/>
      </c>
      <c r="P239" s="11" t="str">
        <f>IF(H239="","",IF(I239&lt;&gt;"",IF(I239-H239&lt;30,"No","Sí"),IF(TODAY()-H239&gt;=30,"Sí","En curso")))</f>
        <v/>
      </c>
      <c r="Q239" s="11" t="str">
        <f>IF(H239="","",IF(I239&lt;&gt;"",IF(I239-H239&lt;60,"No","Sí"),IF(TODAY()-H239&gt;=60,"Sí","En curso")))</f>
        <v/>
      </c>
      <c r="R239" s="11" t="str">
        <f>IF(H239="","",IF(I239&lt;&gt;"","Baja",IF(AND(TODAY()-H239&gt;=7,J239=""),"Falta check-in semana 1",IF(AND(TODAY()-H239&gt;=21,L239=""),"Falta check-in semana 3",""))))</f>
        <v/>
      </c>
    </row>
    <row r="240">
      <c r="A240" s="7"/>
      <c r="B240" s="7"/>
      <c r="C240" s="7"/>
      <c r="D240" s="7"/>
      <c r="E240" s="7"/>
      <c r="F240" s="15"/>
      <c r="G240" s="7"/>
      <c r="H240" s="14"/>
      <c r="I240" s="14"/>
      <c r="J240" s="14"/>
      <c r="K240" s="7"/>
      <c r="L240" s="14"/>
      <c r="M240" s="7"/>
      <c r="N240" s="7"/>
      <c r="O240" s="11" t="str">
        <f>IF(H240="","",IF(I240&lt;&gt;"",I240,TODAY())-H240)</f>
        <v/>
      </c>
      <c r="P240" s="11" t="str">
        <f>IF(H240="","",IF(I240&lt;&gt;"",IF(I240-H240&lt;30,"No","Sí"),IF(TODAY()-H240&gt;=30,"Sí","En curso")))</f>
        <v/>
      </c>
      <c r="Q240" s="11" t="str">
        <f>IF(H240="","",IF(I240&lt;&gt;"",IF(I240-H240&lt;60,"No","Sí"),IF(TODAY()-H240&gt;=60,"Sí","En curso")))</f>
        <v/>
      </c>
      <c r="R240" s="11" t="str">
        <f>IF(H240="","",IF(I240&lt;&gt;"","Baja",IF(AND(TODAY()-H240&gt;=7,J240=""),"Falta check-in semana 1",IF(AND(TODAY()-H240&gt;=21,L240=""),"Falta check-in semana 3",""))))</f>
        <v/>
      </c>
    </row>
    <row r="241">
      <c r="A241" s="7"/>
      <c r="B241" s="7"/>
      <c r="C241" s="7"/>
      <c r="D241" s="7"/>
      <c r="E241" s="7"/>
      <c r="F241" s="15"/>
      <c r="G241" s="7"/>
      <c r="H241" s="14"/>
      <c r="I241" s="14"/>
      <c r="J241" s="14"/>
      <c r="K241" s="7"/>
      <c r="L241" s="14"/>
      <c r="M241" s="7"/>
      <c r="N241" s="7"/>
      <c r="O241" s="11" t="str">
        <f>IF(H241="","",IF(I241&lt;&gt;"",I241,TODAY())-H241)</f>
        <v/>
      </c>
      <c r="P241" s="11" t="str">
        <f>IF(H241="","",IF(I241&lt;&gt;"",IF(I241-H241&lt;30,"No","Sí"),IF(TODAY()-H241&gt;=30,"Sí","En curso")))</f>
        <v/>
      </c>
      <c r="Q241" s="11" t="str">
        <f>IF(H241="","",IF(I241&lt;&gt;"",IF(I241-H241&lt;60,"No","Sí"),IF(TODAY()-H241&gt;=60,"Sí","En curso")))</f>
        <v/>
      </c>
      <c r="R241" s="11" t="str">
        <f>IF(H241="","",IF(I241&lt;&gt;"","Baja",IF(AND(TODAY()-H241&gt;=7,J241=""),"Falta check-in semana 1",IF(AND(TODAY()-H241&gt;=21,L241=""),"Falta check-in semana 3",""))))</f>
        <v/>
      </c>
    </row>
    <row r="242">
      <c r="A242" s="7"/>
      <c r="B242" s="7"/>
      <c r="C242" s="7"/>
      <c r="D242" s="7"/>
      <c r="E242" s="7"/>
      <c r="F242" s="15"/>
      <c r="G242" s="7"/>
      <c r="H242" s="14"/>
      <c r="I242" s="14"/>
      <c r="J242" s="14"/>
      <c r="K242" s="7"/>
      <c r="L242" s="14"/>
      <c r="M242" s="7"/>
      <c r="N242" s="7"/>
      <c r="O242" s="11" t="str">
        <f>IF(H242="","",IF(I242&lt;&gt;"",I242,TODAY())-H242)</f>
        <v/>
      </c>
      <c r="P242" s="11" t="str">
        <f>IF(H242="","",IF(I242&lt;&gt;"",IF(I242-H242&lt;30,"No","Sí"),IF(TODAY()-H242&gt;=30,"Sí","En curso")))</f>
        <v/>
      </c>
      <c r="Q242" s="11" t="str">
        <f>IF(H242="","",IF(I242&lt;&gt;"",IF(I242-H242&lt;60,"No","Sí"),IF(TODAY()-H242&gt;=60,"Sí","En curso")))</f>
        <v/>
      </c>
      <c r="R242" s="11" t="str">
        <f>IF(H242="","",IF(I242&lt;&gt;"","Baja",IF(AND(TODAY()-H242&gt;=7,J242=""),"Falta check-in semana 1",IF(AND(TODAY()-H242&gt;=21,L242=""),"Falta check-in semana 3",""))))</f>
        <v/>
      </c>
    </row>
    <row r="243">
      <c r="A243" s="7"/>
      <c r="B243" s="7"/>
      <c r="C243" s="7"/>
      <c r="D243" s="7"/>
      <c r="E243" s="7"/>
      <c r="F243" s="15"/>
      <c r="G243" s="7"/>
      <c r="H243" s="14"/>
      <c r="I243" s="14"/>
      <c r="J243" s="14"/>
      <c r="K243" s="7"/>
      <c r="L243" s="14"/>
      <c r="M243" s="7"/>
      <c r="N243" s="7"/>
      <c r="O243" s="11" t="str">
        <f>IF(H243="","",IF(I243&lt;&gt;"",I243,TODAY())-H243)</f>
        <v/>
      </c>
      <c r="P243" s="11" t="str">
        <f>IF(H243="","",IF(I243&lt;&gt;"",IF(I243-H243&lt;30,"No","Sí"),IF(TODAY()-H243&gt;=30,"Sí","En curso")))</f>
        <v/>
      </c>
      <c r="Q243" s="11" t="str">
        <f>IF(H243="","",IF(I243&lt;&gt;"",IF(I243-H243&lt;60,"No","Sí"),IF(TODAY()-H243&gt;=60,"Sí","En curso")))</f>
        <v/>
      </c>
      <c r="R243" s="11" t="str">
        <f>IF(H243="","",IF(I243&lt;&gt;"","Baja",IF(AND(TODAY()-H243&gt;=7,J243=""),"Falta check-in semana 1",IF(AND(TODAY()-H243&gt;=21,L243=""),"Falta check-in semana 3",""))))</f>
        <v/>
      </c>
    </row>
    <row r="244">
      <c r="A244" s="7"/>
      <c r="B244" s="7"/>
      <c r="C244" s="7"/>
      <c r="D244" s="7"/>
      <c r="E244" s="7"/>
      <c r="F244" s="15"/>
      <c r="G244" s="7"/>
      <c r="H244" s="14"/>
      <c r="I244" s="14"/>
      <c r="J244" s="14"/>
      <c r="K244" s="7"/>
      <c r="L244" s="14"/>
      <c r="M244" s="7"/>
      <c r="N244" s="7"/>
      <c r="O244" s="11" t="str">
        <f>IF(H244="","",IF(I244&lt;&gt;"",I244,TODAY())-H244)</f>
        <v/>
      </c>
      <c r="P244" s="11" t="str">
        <f>IF(H244="","",IF(I244&lt;&gt;"",IF(I244-H244&lt;30,"No","Sí"),IF(TODAY()-H244&gt;=30,"Sí","En curso")))</f>
        <v/>
      </c>
      <c r="Q244" s="11" t="str">
        <f>IF(H244="","",IF(I244&lt;&gt;"",IF(I244-H244&lt;60,"No","Sí"),IF(TODAY()-H244&gt;=60,"Sí","En curso")))</f>
        <v/>
      </c>
      <c r="R244" s="11" t="str">
        <f>IF(H244="","",IF(I244&lt;&gt;"","Baja",IF(AND(TODAY()-H244&gt;=7,J244=""),"Falta check-in semana 1",IF(AND(TODAY()-H244&gt;=21,L244=""),"Falta check-in semana 3",""))))</f>
        <v/>
      </c>
    </row>
    <row r="245">
      <c r="A245" s="7"/>
      <c r="B245" s="7"/>
      <c r="C245" s="7"/>
      <c r="D245" s="7"/>
      <c r="E245" s="7"/>
      <c r="F245" s="15"/>
      <c r="G245" s="7"/>
      <c r="H245" s="14"/>
      <c r="I245" s="14"/>
      <c r="J245" s="14"/>
      <c r="K245" s="7"/>
      <c r="L245" s="14"/>
      <c r="M245" s="7"/>
      <c r="N245" s="7"/>
      <c r="O245" s="11" t="str">
        <f>IF(H245="","",IF(I245&lt;&gt;"",I245,TODAY())-H245)</f>
        <v/>
      </c>
      <c r="P245" s="11" t="str">
        <f>IF(H245="","",IF(I245&lt;&gt;"",IF(I245-H245&lt;30,"No","Sí"),IF(TODAY()-H245&gt;=30,"Sí","En curso")))</f>
        <v/>
      </c>
      <c r="Q245" s="11" t="str">
        <f>IF(H245="","",IF(I245&lt;&gt;"",IF(I245-H245&lt;60,"No","Sí"),IF(TODAY()-H245&gt;=60,"Sí","En curso")))</f>
        <v/>
      </c>
      <c r="R245" s="11" t="str">
        <f>IF(H245="","",IF(I245&lt;&gt;"","Baja",IF(AND(TODAY()-H245&gt;=7,J245=""),"Falta check-in semana 1",IF(AND(TODAY()-H245&gt;=21,L245=""),"Falta check-in semana 3",""))))</f>
        <v/>
      </c>
    </row>
    <row r="246">
      <c r="A246" s="7"/>
      <c r="B246" s="7"/>
      <c r="C246" s="7"/>
      <c r="D246" s="7"/>
      <c r="E246" s="7"/>
      <c r="F246" s="15"/>
      <c r="G246" s="7"/>
      <c r="H246" s="14"/>
      <c r="I246" s="14"/>
      <c r="J246" s="14"/>
      <c r="K246" s="7"/>
      <c r="L246" s="14"/>
      <c r="M246" s="7"/>
      <c r="N246" s="7"/>
      <c r="O246" s="11" t="str">
        <f>IF(H246="","",IF(I246&lt;&gt;"",I246,TODAY())-H246)</f>
        <v/>
      </c>
      <c r="P246" s="11" t="str">
        <f>IF(H246="","",IF(I246&lt;&gt;"",IF(I246-H246&lt;30,"No","Sí"),IF(TODAY()-H246&gt;=30,"Sí","En curso")))</f>
        <v/>
      </c>
      <c r="Q246" s="11" t="str">
        <f>IF(H246="","",IF(I246&lt;&gt;"",IF(I246-H246&lt;60,"No","Sí"),IF(TODAY()-H246&gt;=60,"Sí","En curso")))</f>
        <v/>
      </c>
      <c r="R246" s="11" t="str">
        <f>IF(H246="","",IF(I246&lt;&gt;"","Baja",IF(AND(TODAY()-H246&gt;=7,J246=""),"Falta check-in semana 1",IF(AND(TODAY()-H246&gt;=21,L246=""),"Falta check-in semana 3",""))))</f>
        <v/>
      </c>
    </row>
    <row r="247">
      <c r="A247" s="7"/>
      <c r="B247" s="7"/>
      <c r="C247" s="7"/>
      <c r="D247" s="7"/>
      <c r="E247" s="7"/>
      <c r="F247" s="15"/>
      <c r="G247" s="7"/>
      <c r="H247" s="14"/>
      <c r="I247" s="14"/>
      <c r="J247" s="14"/>
      <c r="K247" s="7"/>
      <c r="L247" s="14"/>
      <c r="M247" s="7"/>
      <c r="N247" s="7"/>
      <c r="O247" s="11" t="str">
        <f>IF(H247="","",IF(I247&lt;&gt;"",I247,TODAY())-H247)</f>
        <v/>
      </c>
      <c r="P247" s="11" t="str">
        <f>IF(H247="","",IF(I247&lt;&gt;"",IF(I247-H247&lt;30,"No","Sí"),IF(TODAY()-H247&gt;=30,"Sí","En curso")))</f>
        <v/>
      </c>
      <c r="Q247" s="11" t="str">
        <f>IF(H247="","",IF(I247&lt;&gt;"",IF(I247-H247&lt;60,"No","Sí"),IF(TODAY()-H247&gt;=60,"Sí","En curso")))</f>
        <v/>
      </c>
      <c r="R247" s="11" t="str">
        <f>IF(H247="","",IF(I247&lt;&gt;"","Baja",IF(AND(TODAY()-H247&gt;=7,J247=""),"Falta check-in semana 1",IF(AND(TODAY()-H247&gt;=21,L247=""),"Falta check-in semana 3",""))))</f>
        <v/>
      </c>
    </row>
    <row r="248">
      <c r="A248" s="7"/>
      <c r="B248" s="7"/>
      <c r="C248" s="7"/>
      <c r="D248" s="7"/>
      <c r="E248" s="7"/>
      <c r="F248" s="15"/>
      <c r="G248" s="7"/>
      <c r="H248" s="14"/>
      <c r="I248" s="14"/>
      <c r="J248" s="14"/>
      <c r="K248" s="7"/>
      <c r="L248" s="14"/>
      <c r="M248" s="7"/>
      <c r="N248" s="7"/>
      <c r="O248" s="11" t="str">
        <f>IF(H248="","",IF(I248&lt;&gt;"",I248,TODAY())-H248)</f>
        <v/>
      </c>
      <c r="P248" s="11" t="str">
        <f>IF(H248="","",IF(I248&lt;&gt;"",IF(I248-H248&lt;30,"No","Sí"),IF(TODAY()-H248&gt;=30,"Sí","En curso")))</f>
        <v/>
      </c>
      <c r="Q248" s="11" t="str">
        <f>IF(H248="","",IF(I248&lt;&gt;"",IF(I248-H248&lt;60,"No","Sí"),IF(TODAY()-H248&gt;=60,"Sí","En curso")))</f>
        <v/>
      </c>
      <c r="R248" s="11" t="str">
        <f>IF(H248="","",IF(I248&lt;&gt;"","Baja",IF(AND(TODAY()-H248&gt;=7,J248=""),"Falta check-in semana 1",IF(AND(TODAY()-H248&gt;=21,L248=""),"Falta check-in semana 3",""))))</f>
        <v/>
      </c>
    </row>
    <row r="249">
      <c r="A249" s="7"/>
      <c r="B249" s="7"/>
      <c r="C249" s="7"/>
      <c r="D249" s="7"/>
      <c r="E249" s="7"/>
      <c r="F249" s="15"/>
      <c r="G249" s="7"/>
      <c r="H249" s="14"/>
      <c r="I249" s="14"/>
      <c r="J249" s="14"/>
      <c r="K249" s="7"/>
      <c r="L249" s="14"/>
      <c r="M249" s="7"/>
      <c r="N249" s="7"/>
      <c r="O249" s="11" t="str">
        <f>IF(H249="","",IF(I249&lt;&gt;"",I249,TODAY())-H249)</f>
        <v/>
      </c>
      <c r="P249" s="11" t="str">
        <f>IF(H249="","",IF(I249&lt;&gt;"",IF(I249-H249&lt;30,"No","Sí"),IF(TODAY()-H249&gt;=30,"Sí","En curso")))</f>
        <v/>
      </c>
      <c r="Q249" s="11" t="str">
        <f>IF(H249="","",IF(I249&lt;&gt;"",IF(I249-H249&lt;60,"No","Sí"),IF(TODAY()-H249&gt;=60,"Sí","En curso")))</f>
        <v/>
      </c>
      <c r="R249" s="11" t="str">
        <f>IF(H249="","",IF(I249&lt;&gt;"","Baja",IF(AND(TODAY()-H249&gt;=7,J249=""),"Falta check-in semana 1",IF(AND(TODAY()-H249&gt;=21,L249=""),"Falta check-in semana 3",""))))</f>
        <v/>
      </c>
    </row>
    <row r="250">
      <c r="A250" s="7"/>
      <c r="B250" s="7"/>
      <c r="C250" s="7"/>
      <c r="D250" s="7"/>
      <c r="E250" s="7"/>
      <c r="F250" s="15"/>
      <c r="G250" s="7"/>
      <c r="H250" s="14"/>
      <c r="I250" s="14"/>
      <c r="J250" s="14"/>
      <c r="K250" s="7"/>
      <c r="L250" s="14"/>
      <c r="M250" s="7"/>
      <c r="N250" s="7"/>
      <c r="O250" s="11" t="str">
        <f>IF(H250="","",IF(I250&lt;&gt;"",I250,TODAY())-H250)</f>
        <v/>
      </c>
      <c r="P250" s="11" t="str">
        <f>IF(H250="","",IF(I250&lt;&gt;"",IF(I250-H250&lt;30,"No","Sí"),IF(TODAY()-H250&gt;=30,"Sí","En curso")))</f>
        <v/>
      </c>
      <c r="Q250" s="11" t="str">
        <f>IF(H250="","",IF(I250&lt;&gt;"",IF(I250-H250&lt;60,"No","Sí"),IF(TODAY()-H250&gt;=60,"Sí","En curso")))</f>
        <v/>
      </c>
      <c r="R250" s="11" t="str">
        <f>IF(H250="","",IF(I250&lt;&gt;"","Baja",IF(AND(TODAY()-H250&gt;=7,J250=""),"Falta check-in semana 1",IF(AND(TODAY()-H250&gt;=21,L250=""),"Falta check-in semana 3",""))))</f>
        <v/>
      </c>
    </row>
    <row r="251">
      <c r="A251" s="7"/>
      <c r="B251" s="7"/>
      <c r="C251" s="7"/>
      <c r="D251" s="7"/>
      <c r="E251" s="7"/>
      <c r="F251" s="15"/>
      <c r="G251" s="7"/>
      <c r="H251" s="14"/>
      <c r="I251" s="14"/>
      <c r="J251" s="14"/>
      <c r="K251" s="7"/>
      <c r="L251" s="14"/>
      <c r="M251" s="7"/>
      <c r="N251" s="7"/>
      <c r="O251" s="11" t="str">
        <f>IF(H251="","",IF(I251&lt;&gt;"",I251,TODAY())-H251)</f>
        <v/>
      </c>
      <c r="P251" s="11" t="str">
        <f>IF(H251="","",IF(I251&lt;&gt;"",IF(I251-H251&lt;30,"No","Sí"),IF(TODAY()-H251&gt;=30,"Sí","En curso")))</f>
        <v/>
      </c>
      <c r="Q251" s="11" t="str">
        <f>IF(H251="","",IF(I251&lt;&gt;"",IF(I251-H251&lt;60,"No","Sí"),IF(TODAY()-H251&gt;=60,"Sí","En curso")))</f>
        <v/>
      </c>
      <c r="R251" s="11" t="str">
        <f>IF(H251="","",IF(I251&lt;&gt;"","Baja",IF(AND(TODAY()-H251&gt;=7,J251=""),"Falta check-in semana 1",IF(AND(TODAY()-H251&gt;=21,L251=""),"Falta check-in semana 3",""))))</f>
        <v/>
      </c>
    </row>
    <row r="252">
      <c r="A252" s="7"/>
      <c r="B252" s="7"/>
      <c r="C252" s="7"/>
      <c r="D252" s="7"/>
      <c r="E252" s="7"/>
      <c r="F252" s="15"/>
      <c r="G252" s="7"/>
      <c r="H252" s="14"/>
      <c r="I252" s="14"/>
      <c r="J252" s="14"/>
      <c r="K252" s="7"/>
      <c r="L252" s="14"/>
      <c r="M252" s="7"/>
      <c r="N252" s="7"/>
      <c r="O252" s="11" t="str">
        <f>IF(H252="","",IF(I252&lt;&gt;"",I252,TODAY())-H252)</f>
        <v/>
      </c>
      <c r="P252" s="11" t="str">
        <f>IF(H252="","",IF(I252&lt;&gt;"",IF(I252-H252&lt;30,"No","Sí"),IF(TODAY()-H252&gt;=30,"Sí","En curso")))</f>
        <v/>
      </c>
      <c r="Q252" s="11" t="str">
        <f>IF(H252="","",IF(I252&lt;&gt;"",IF(I252-H252&lt;60,"No","Sí"),IF(TODAY()-H252&gt;=60,"Sí","En curso")))</f>
        <v/>
      </c>
      <c r="R252" s="11" t="str">
        <f>IF(H252="","",IF(I252&lt;&gt;"","Baja",IF(AND(TODAY()-H252&gt;=7,J252=""),"Falta check-in semana 1",IF(AND(TODAY()-H252&gt;=21,L252=""),"Falta check-in semana 3",""))))</f>
        <v/>
      </c>
    </row>
    <row r="253">
      <c r="A253" s="7"/>
      <c r="B253" s="7"/>
      <c r="C253" s="7"/>
      <c r="D253" s="7"/>
      <c r="E253" s="7"/>
      <c r="F253" s="15"/>
      <c r="G253" s="7"/>
      <c r="H253" s="14"/>
      <c r="I253" s="14"/>
      <c r="J253" s="14"/>
      <c r="K253" s="7"/>
      <c r="L253" s="14"/>
      <c r="M253" s="7"/>
      <c r="N253" s="7"/>
      <c r="O253" s="11" t="str">
        <f>IF(H253="","",IF(I253&lt;&gt;"",I253,TODAY())-H253)</f>
        <v/>
      </c>
      <c r="P253" s="11" t="str">
        <f>IF(H253="","",IF(I253&lt;&gt;"",IF(I253-H253&lt;30,"No","Sí"),IF(TODAY()-H253&gt;=30,"Sí","En curso")))</f>
        <v/>
      </c>
      <c r="Q253" s="11" t="str">
        <f>IF(H253="","",IF(I253&lt;&gt;"",IF(I253-H253&lt;60,"No","Sí"),IF(TODAY()-H253&gt;=60,"Sí","En curso")))</f>
        <v/>
      </c>
      <c r="R253" s="11" t="str">
        <f>IF(H253="","",IF(I253&lt;&gt;"","Baja",IF(AND(TODAY()-H253&gt;=7,J253=""),"Falta check-in semana 1",IF(AND(TODAY()-H253&gt;=21,L253=""),"Falta check-in semana 3",""))))</f>
        <v/>
      </c>
    </row>
    <row r="254">
      <c r="A254" s="7"/>
      <c r="B254" s="7"/>
      <c r="C254" s="7"/>
      <c r="D254" s="7"/>
      <c r="E254" s="7"/>
      <c r="F254" s="15"/>
      <c r="G254" s="7"/>
      <c r="H254" s="14"/>
      <c r="I254" s="14"/>
      <c r="J254" s="14"/>
      <c r="K254" s="7"/>
      <c r="L254" s="14"/>
      <c r="M254" s="7"/>
      <c r="N254" s="7"/>
      <c r="O254" s="11" t="str">
        <f>IF(H254="","",IF(I254&lt;&gt;"",I254,TODAY())-H254)</f>
        <v/>
      </c>
      <c r="P254" s="11" t="str">
        <f>IF(H254="","",IF(I254&lt;&gt;"",IF(I254-H254&lt;30,"No","Sí"),IF(TODAY()-H254&gt;=30,"Sí","En curso")))</f>
        <v/>
      </c>
      <c r="Q254" s="11" t="str">
        <f>IF(H254="","",IF(I254&lt;&gt;"",IF(I254-H254&lt;60,"No","Sí"),IF(TODAY()-H254&gt;=60,"Sí","En curso")))</f>
        <v/>
      </c>
      <c r="R254" s="11" t="str">
        <f>IF(H254="","",IF(I254&lt;&gt;"","Baja",IF(AND(TODAY()-H254&gt;=7,J254=""),"Falta check-in semana 1",IF(AND(TODAY()-H254&gt;=21,L254=""),"Falta check-in semana 3",""))))</f>
        <v/>
      </c>
    </row>
    <row r="255">
      <c r="A255" s="7"/>
      <c r="B255" s="7"/>
      <c r="C255" s="7"/>
      <c r="D255" s="7"/>
      <c r="E255" s="7"/>
      <c r="F255" s="15"/>
      <c r="G255" s="7"/>
      <c r="H255" s="14"/>
      <c r="I255" s="14"/>
      <c r="J255" s="14"/>
      <c r="K255" s="7"/>
      <c r="L255" s="14"/>
      <c r="M255" s="7"/>
      <c r="N255" s="7"/>
      <c r="O255" s="11" t="str">
        <f>IF(H255="","",IF(I255&lt;&gt;"",I255,TODAY())-H255)</f>
        <v/>
      </c>
      <c r="P255" s="11" t="str">
        <f>IF(H255="","",IF(I255&lt;&gt;"",IF(I255-H255&lt;30,"No","Sí"),IF(TODAY()-H255&gt;=30,"Sí","En curso")))</f>
        <v/>
      </c>
      <c r="Q255" s="11" t="str">
        <f>IF(H255="","",IF(I255&lt;&gt;"",IF(I255-H255&lt;60,"No","Sí"),IF(TODAY()-H255&gt;=60,"Sí","En curso")))</f>
        <v/>
      </c>
      <c r="R255" s="11" t="str">
        <f>IF(H255="","",IF(I255&lt;&gt;"","Baja",IF(AND(TODAY()-H255&gt;=7,J255=""),"Falta check-in semana 1",IF(AND(TODAY()-H255&gt;=21,L255=""),"Falta check-in semana 3",""))))</f>
        <v/>
      </c>
    </row>
    <row r="256">
      <c r="A256" s="7"/>
      <c r="B256" s="7"/>
      <c r="C256" s="7"/>
      <c r="D256" s="7"/>
      <c r="E256" s="7"/>
      <c r="F256" s="15"/>
      <c r="G256" s="7"/>
      <c r="H256" s="14"/>
      <c r="I256" s="14"/>
      <c r="J256" s="14"/>
      <c r="K256" s="7"/>
      <c r="L256" s="14"/>
      <c r="M256" s="7"/>
      <c r="N256" s="7"/>
      <c r="O256" s="11" t="str">
        <f>IF(H256="","",IF(I256&lt;&gt;"",I256,TODAY())-H256)</f>
        <v/>
      </c>
      <c r="P256" s="11" t="str">
        <f>IF(H256="","",IF(I256&lt;&gt;"",IF(I256-H256&lt;30,"No","Sí"),IF(TODAY()-H256&gt;=30,"Sí","En curso")))</f>
        <v/>
      </c>
      <c r="Q256" s="11" t="str">
        <f>IF(H256="","",IF(I256&lt;&gt;"",IF(I256-H256&lt;60,"No","Sí"),IF(TODAY()-H256&gt;=60,"Sí","En curso")))</f>
        <v/>
      </c>
      <c r="R256" s="11" t="str">
        <f>IF(H256="","",IF(I256&lt;&gt;"","Baja",IF(AND(TODAY()-H256&gt;=7,J256=""),"Falta check-in semana 1",IF(AND(TODAY()-H256&gt;=21,L256=""),"Falta check-in semana 3",""))))</f>
        <v/>
      </c>
    </row>
    <row r="257">
      <c r="A257" s="7"/>
      <c r="B257" s="7"/>
      <c r="C257" s="7"/>
      <c r="D257" s="7"/>
      <c r="E257" s="7"/>
      <c r="F257" s="15"/>
      <c r="G257" s="7"/>
      <c r="H257" s="14"/>
      <c r="I257" s="14"/>
      <c r="J257" s="14"/>
      <c r="K257" s="7"/>
      <c r="L257" s="14"/>
      <c r="M257" s="7"/>
      <c r="N257" s="7"/>
      <c r="O257" s="11" t="str">
        <f>IF(H257="","",IF(I257&lt;&gt;"",I257,TODAY())-H257)</f>
        <v/>
      </c>
      <c r="P257" s="11" t="str">
        <f>IF(H257="","",IF(I257&lt;&gt;"",IF(I257-H257&lt;30,"No","Sí"),IF(TODAY()-H257&gt;=30,"Sí","En curso")))</f>
        <v/>
      </c>
      <c r="Q257" s="11" t="str">
        <f>IF(H257="","",IF(I257&lt;&gt;"",IF(I257-H257&lt;60,"No","Sí"),IF(TODAY()-H257&gt;=60,"Sí","En curso")))</f>
        <v/>
      </c>
      <c r="R257" s="11" t="str">
        <f>IF(H257="","",IF(I257&lt;&gt;"","Baja",IF(AND(TODAY()-H257&gt;=7,J257=""),"Falta check-in semana 1",IF(AND(TODAY()-H257&gt;=21,L257=""),"Falta check-in semana 3",""))))</f>
        <v/>
      </c>
    </row>
    <row r="258">
      <c r="A258" s="7"/>
      <c r="B258" s="7"/>
      <c r="C258" s="7"/>
      <c r="D258" s="7"/>
      <c r="E258" s="7"/>
      <c r="F258" s="15"/>
      <c r="G258" s="7"/>
      <c r="H258" s="14"/>
      <c r="I258" s="14"/>
      <c r="J258" s="14"/>
      <c r="K258" s="7"/>
      <c r="L258" s="14"/>
      <c r="M258" s="7"/>
      <c r="N258" s="7"/>
      <c r="O258" s="11" t="str">
        <f>IF(H258="","",IF(I258&lt;&gt;"",I258,TODAY())-H258)</f>
        <v/>
      </c>
      <c r="P258" s="11" t="str">
        <f>IF(H258="","",IF(I258&lt;&gt;"",IF(I258-H258&lt;30,"No","Sí"),IF(TODAY()-H258&gt;=30,"Sí","En curso")))</f>
        <v/>
      </c>
      <c r="Q258" s="11" t="str">
        <f>IF(H258="","",IF(I258&lt;&gt;"",IF(I258-H258&lt;60,"No","Sí"),IF(TODAY()-H258&gt;=60,"Sí","En curso")))</f>
        <v/>
      </c>
      <c r="R258" s="11" t="str">
        <f>IF(H258="","",IF(I258&lt;&gt;"","Baja",IF(AND(TODAY()-H258&gt;=7,J258=""),"Falta check-in semana 1",IF(AND(TODAY()-H258&gt;=21,L258=""),"Falta check-in semana 3",""))))</f>
        <v/>
      </c>
    </row>
    <row r="259">
      <c r="A259" s="7"/>
      <c r="B259" s="7"/>
      <c r="C259" s="7"/>
      <c r="D259" s="7"/>
      <c r="E259" s="7"/>
      <c r="F259" s="15"/>
      <c r="G259" s="7"/>
      <c r="H259" s="14"/>
      <c r="I259" s="14"/>
      <c r="J259" s="14"/>
      <c r="K259" s="7"/>
      <c r="L259" s="14"/>
      <c r="M259" s="7"/>
      <c r="N259" s="7"/>
      <c r="O259" s="11" t="str">
        <f>IF(H259="","",IF(I259&lt;&gt;"",I259,TODAY())-H259)</f>
        <v/>
      </c>
      <c r="P259" s="11" t="str">
        <f>IF(H259="","",IF(I259&lt;&gt;"",IF(I259-H259&lt;30,"No","Sí"),IF(TODAY()-H259&gt;=30,"Sí","En curso")))</f>
        <v/>
      </c>
      <c r="Q259" s="11" t="str">
        <f>IF(H259="","",IF(I259&lt;&gt;"",IF(I259-H259&lt;60,"No","Sí"),IF(TODAY()-H259&gt;=60,"Sí","En curso")))</f>
        <v/>
      </c>
      <c r="R259" s="11" t="str">
        <f>IF(H259="","",IF(I259&lt;&gt;"","Baja",IF(AND(TODAY()-H259&gt;=7,J259=""),"Falta check-in semana 1",IF(AND(TODAY()-H259&gt;=21,L259=""),"Falta check-in semana 3",""))))</f>
        <v/>
      </c>
    </row>
    <row r="260">
      <c r="A260" s="7"/>
      <c r="B260" s="7"/>
      <c r="C260" s="7"/>
      <c r="D260" s="7"/>
      <c r="E260" s="7"/>
      <c r="F260" s="15"/>
      <c r="G260" s="7"/>
      <c r="H260" s="14"/>
      <c r="I260" s="14"/>
      <c r="J260" s="14"/>
      <c r="K260" s="7"/>
      <c r="L260" s="14"/>
      <c r="M260" s="7"/>
      <c r="N260" s="7"/>
      <c r="O260" s="11" t="str">
        <f>IF(H260="","",IF(I260&lt;&gt;"",I260,TODAY())-H260)</f>
        <v/>
      </c>
      <c r="P260" s="11" t="str">
        <f>IF(H260="","",IF(I260&lt;&gt;"",IF(I260-H260&lt;30,"No","Sí"),IF(TODAY()-H260&gt;=30,"Sí","En curso")))</f>
        <v/>
      </c>
      <c r="Q260" s="11" t="str">
        <f>IF(H260="","",IF(I260&lt;&gt;"",IF(I260-H260&lt;60,"No","Sí"),IF(TODAY()-H260&gt;=60,"Sí","En curso")))</f>
        <v/>
      </c>
      <c r="R260" s="11" t="str">
        <f>IF(H260="","",IF(I260&lt;&gt;"","Baja",IF(AND(TODAY()-H260&gt;=7,J260=""),"Falta check-in semana 1",IF(AND(TODAY()-H260&gt;=21,L260=""),"Falta check-in semana 3",""))))</f>
        <v/>
      </c>
    </row>
    <row r="261">
      <c r="A261" s="7"/>
      <c r="B261" s="7"/>
      <c r="C261" s="7"/>
      <c r="D261" s="7"/>
      <c r="E261" s="7"/>
      <c r="F261" s="15"/>
      <c r="G261" s="7"/>
      <c r="H261" s="14"/>
      <c r="I261" s="14"/>
      <c r="J261" s="14"/>
      <c r="K261" s="7"/>
      <c r="L261" s="14"/>
      <c r="M261" s="7"/>
      <c r="N261" s="7"/>
      <c r="O261" s="11" t="str">
        <f>IF(H261="","",IF(I261&lt;&gt;"",I261,TODAY())-H261)</f>
        <v/>
      </c>
      <c r="P261" s="11" t="str">
        <f>IF(H261="","",IF(I261&lt;&gt;"",IF(I261-H261&lt;30,"No","Sí"),IF(TODAY()-H261&gt;=30,"Sí","En curso")))</f>
        <v/>
      </c>
      <c r="Q261" s="11" t="str">
        <f>IF(H261="","",IF(I261&lt;&gt;"",IF(I261-H261&lt;60,"No","Sí"),IF(TODAY()-H261&gt;=60,"Sí","En curso")))</f>
        <v/>
      </c>
      <c r="R261" s="11" t="str">
        <f>IF(H261="","",IF(I261&lt;&gt;"","Baja",IF(AND(TODAY()-H261&gt;=7,J261=""),"Falta check-in semana 1",IF(AND(TODAY()-H261&gt;=21,L261=""),"Falta check-in semana 3",""))))</f>
        <v/>
      </c>
    </row>
    <row r="262">
      <c r="A262" s="7"/>
      <c r="B262" s="7"/>
      <c r="C262" s="7"/>
      <c r="D262" s="7"/>
      <c r="E262" s="7"/>
      <c r="F262" s="15"/>
      <c r="G262" s="7"/>
      <c r="H262" s="14"/>
      <c r="I262" s="14"/>
      <c r="J262" s="14"/>
      <c r="K262" s="7"/>
      <c r="L262" s="14"/>
      <c r="M262" s="7"/>
      <c r="N262" s="7"/>
      <c r="O262" s="11" t="str">
        <f>IF(H262="","",IF(I262&lt;&gt;"",I262,TODAY())-H262)</f>
        <v/>
      </c>
      <c r="P262" s="11" t="str">
        <f>IF(H262="","",IF(I262&lt;&gt;"",IF(I262-H262&lt;30,"No","Sí"),IF(TODAY()-H262&gt;=30,"Sí","En curso")))</f>
        <v/>
      </c>
      <c r="Q262" s="11" t="str">
        <f>IF(H262="","",IF(I262&lt;&gt;"",IF(I262-H262&lt;60,"No","Sí"),IF(TODAY()-H262&gt;=60,"Sí","En curso")))</f>
        <v/>
      </c>
      <c r="R262" s="11" t="str">
        <f>IF(H262="","",IF(I262&lt;&gt;"","Baja",IF(AND(TODAY()-H262&gt;=7,J262=""),"Falta check-in semana 1",IF(AND(TODAY()-H262&gt;=21,L262=""),"Falta check-in semana 3",""))))</f>
        <v/>
      </c>
    </row>
    <row r="263">
      <c r="A263" s="7"/>
      <c r="B263" s="7"/>
      <c r="C263" s="7"/>
      <c r="D263" s="7"/>
      <c r="E263" s="7"/>
      <c r="F263" s="15"/>
      <c r="G263" s="7"/>
      <c r="H263" s="14"/>
      <c r="I263" s="14"/>
      <c r="J263" s="14"/>
      <c r="K263" s="7"/>
      <c r="L263" s="14"/>
      <c r="M263" s="7"/>
      <c r="N263" s="7"/>
      <c r="O263" s="11" t="str">
        <f>IF(H263="","",IF(I263&lt;&gt;"",I263,TODAY())-H263)</f>
        <v/>
      </c>
      <c r="P263" s="11" t="str">
        <f>IF(H263="","",IF(I263&lt;&gt;"",IF(I263-H263&lt;30,"No","Sí"),IF(TODAY()-H263&gt;=30,"Sí","En curso")))</f>
        <v/>
      </c>
      <c r="Q263" s="11" t="str">
        <f>IF(H263="","",IF(I263&lt;&gt;"",IF(I263-H263&lt;60,"No","Sí"),IF(TODAY()-H263&gt;=60,"Sí","En curso")))</f>
        <v/>
      </c>
      <c r="R263" s="11" t="str">
        <f>IF(H263="","",IF(I263&lt;&gt;"","Baja",IF(AND(TODAY()-H263&gt;=7,J263=""),"Falta check-in semana 1",IF(AND(TODAY()-H263&gt;=21,L263=""),"Falta check-in semana 3",""))))</f>
        <v/>
      </c>
    </row>
    <row r="264">
      <c r="A264" s="7"/>
      <c r="B264" s="7"/>
      <c r="C264" s="7"/>
      <c r="D264" s="7"/>
      <c r="E264" s="7"/>
      <c r="F264" s="15"/>
      <c r="G264" s="7"/>
      <c r="H264" s="14"/>
      <c r="I264" s="14"/>
      <c r="J264" s="14"/>
      <c r="K264" s="7"/>
      <c r="L264" s="14"/>
      <c r="M264" s="7"/>
      <c r="N264" s="7"/>
      <c r="O264" s="11" t="str">
        <f>IF(H264="","",IF(I264&lt;&gt;"",I264,TODAY())-H264)</f>
        <v/>
      </c>
      <c r="P264" s="11" t="str">
        <f>IF(H264="","",IF(I264&lt;&gt;"",IF(I264-H264&lt;30,"No","Sí"),IF(TODAY()-H264&gt;=30,"Sí","En curso")))</f>
        <v/>
      </c>
      <c r="Q264" s="11" t="str">
        <f>IF(H264="","",IF(I264&lt;&gt;"",IF(I264-H264&lt;60,"No","Sí"),IF(TODAY()-H264&gt;=60,"Sí","En curso")))</f>
        <v/>
      </c>
      <c r="R264" s="11" t="str">
        <f>IF(H264="","",IF(I264&lt;&gt;"","Baja",IF(AND(TODAY()-H264&gt;=7,J264=""),"Falta check-in semana 1",IF(AND(TODAY()-H264&gt;=21,L264=""),"Falta check-in semana 3",""))))</f>
        <v/>
      </c>
    </row>
    <row r="265">
      <c r="A265" s="7"/>
      <c r="B265" s="7"/>
      <c r="C265" s="7"/>
      <c r="D265" s="7"/>
      <c r="E265" s="7"/>
      <c r="F265" s="15"/>
      <c r="G265" s="7"/>
      <c r="H265" s="14"/>
      <c r="I265" s="14"/>
      <c r="J265" s="14"/>
      <c r="K265" s="7"/>
      <c r="L265" s="14"/>
      <c r="M265" s="7"/>
      <c r="N265" s="7"/>
      <c r="O265" s="11" t="str">
        <f>IF(H265="","",IF(I265&lt;&gt;"",I265,TODAY())-H265)</f>
        <v/>
      </c>
      <c r="P265" s="11" t="str">
        <f>IF(H265="","",IF(I265&lt;&gt;"",IF(I265-H265&lt;30,"No","Sí"),IF(TODAY()-H265&gt;=30,"Sí","En curso")))</f>
        <v/>
      </c>
      <c r="Q265" s="11" t="str">
        <f>IF(H265="","",IF(I265&lt;&gt;"",IF(I265-H265&lt;60,"No","Sí"),IF(TODAY()-H265&gt;=60,"Sí","En curso")))</f>
        <v/>
      </c>
      <c r="R265" s="11" t="str">
        <f>IF(H265="","",IF(I265&lt;&gt;"","Baja",IF(AND(TODAY()-H265&gt;=7,J265=""),"Falta check-in semana 1",IF(AND(TODAY()-H265&gt;=21,L265=""),"Falta check-in semana 3",""))))</f>
        <v/>
      </c>
    </row>
    <row r="266">
      <c r="A266" s="7"/>
      <c r="B266" s="7"/>
      <c r="C266" s="7"/>
      <c r="D266" s="7"/>
      <c r="E266" s="7"/>
      <c r="F266" s="15"/>
      <c r="G266" s="7"/>
      <c r="H266" s="14"/>
      <c r="I266" s="14"/>
      <c r="J266" s="14"/>
      <c r="K266" s="7"/>
      <c r="L266" s="14"/>
      <c r="M266" s="7"/>
      <c r="N266" s="7"/>
      <c r="O266" s="11" t="str">
        <f>IF(H266="","",IF(I266&lt;&gt;"",I266,TODAY())-H266)</f>
        <v/>
      </c>
      <c r="P266" s="11" t="str">
        <f>IF(H266="","",IF(I266&lt;&gt;"",IF(I266-H266&lt;30,"No","Sí"),IF(TODAY()-H266&gt;=30,"Sí","En curso")))</f>
        <v/>
      </c>
      <c r="Q266" s="11" t="str">
        <f>IF(H266="","",IF(I266&lt;&gt;"",IF(I266-H266&lt;60,"No","Sí"),IF(TODAY()-H266&gt;=60,"Sí","En curso")))</f>
        <v/>
      </c>
      <c r="R266" s="11" t="str">
        <f>IF(H266="","",IF(I266&lt;&gt;"","Baja",IF(AND(TODAY()-H266&gt;=7,J266=""),"Falta check-in semana 1",IF(AND(TODAY()-H266&gt;=21,L266=""),"Falta check-in semana 3",""))))</f>
        <v/>
      </c>
    </row>
    <row r="267">
      <c r="A267" s="7"/>
      <c r="B267" s="7"/>
      <c r="C267" s="7"/>
      <c r="D267" s="7"/>
      <c r="E267" s="7"/>
      <c r="F267" s="15"/>
      <c r="G267" s="7"/>
      <c r="H267" s="14"/>
      <c r="I267" s="14"/>
      <c r="J267" s="14"/>
      <c r="K267" s="7"/>
      <c r="L267" s="14"/>
      <c r="M267" s="7"/>
      <c r="N267" s="7"/>
      <c r="O267" s="11" t="str">
        <f>IF(H267="","",IF(I267&lt;&gt;"",I267,TODAY())-H267)</f>
        <v/>
      </c>
      <c r="P267" s="11" t="str">
        <f>IF(H267="","",IF(I267&lt;&gt;"",IF(I267-H267&lt;30,"No","Sí"),IF(TODAY()-H267&gt;=30,"Sí","En curso")))</f>
        <v/>
      </c>
      <c r="Q267" s="11" t="str">
        <f>IF(H267="","",IF(I267&lt;&gt;"",IF(I267-H267&lt;60,"No","Sí"),IF(TODAY()-H267&gt;=60,"Sí","En curso")))</f>
        <v/>
      </c>
      <c r="R267" s="11" t="str">
        <f>IF(H267="","",IF(I267&lt;&gt;"","Baja",IF(AND(TODAY()-H267&gt;=7,J267=""),"Falta check-in semana 1",IF(AND(TODAY()-H267&gt;=21,L267=""),"Falta check-in semana 3",""))))</f>
        <v/>
      </c>
    </row>
    <row r="268">
      <c r="A268" s="7"/>
      <c r="B268" s="7"/>
      <c r="C268" s="7"/>
      <c r="D268" s="7"/>
      <c r="E268" s="7"/>
      <c r="F268" s="15"/>
      <c r="G268" s="7"/>
      <c r="H268" s="14"/>
      <c r="I268" s="14"/>
      <c r="J268" s="14"/>
      <c r="K268" s="7"/>
      <c r="L268" s="14"/>
      <c r="M268" s="7"/>
      <c r="N268" s="7"/>
      <c r="O268" s="11" t="str">
        <f>IF(H268="","",IF(I268&lt;&gt;"",I268,TODAY())-H268)</f>
        <v/>
      </c>
      <c r="P268" s="11" t="str">
        <f>IF(H268="","",IF(I268&lt;&gt;"",IF(I268-H268&lt;30,"No","Sí"),IF(TODAY()-H268&gt;=30,"Sí","En curso")))</f>
        <v/>
      </c>
      <c r="Q268" s="11" t="str">
        <f>IF(H268="","",IF(I268&lt;&gt;"",IF(I268-H268&lt;60,"No","Sí"),IF(TODAY()-H268&gt;=60,"Sí","En curso")))</f>
        <v/>
      </c>
      <c r="R268" s="11" t="str">
        <f>IF(H268="","",IF(I268&lt;&gt;"","Baja",IF(AND(TODAY()-H268&gt;=7,J268=""),"Falta check-in semana 1",IF(AND(TODAY()-H268&gt;=21,L268=""),"Falta check-in semana 3",""))))</f>
        <v/>
      </c>
    </row>
    <row r="269">
      <c r="A269" s="7"/>
      <c r="B269" s="7"/>
      <c r="C269" s="7"/>
      <c r="D269" s="7"/>
      <c r="E269" s="7"/>
      <c r="F269" s="15"/>
      <c r="G269" s="7"/>
      <c r="H269" s="14"/>
      <c r="I269" s="14"/>
      <c r="J269" s="14"/>
      <c r="K269" s="7"/>
      <c r="L269" s="14"/>
      <c r="M269" s="7"/>
      <c r="N269" s="7"/>
      <c r="O269" s="11" t="str">
        <f>IF(H269="","",IF(I269&lt;&gt;"",I269,TODAY())-H269)</f>
        <v/>
      </c>
      <c r="P269" s="11" t="str">
        <f>IF(H269="","",IF(I269&lt;&gt;"",IF(I269-H269&lt;30,"No","Sí"),IF(TODAY()-H269&gt;=30,"Sí","En curso")))</f>
        <v/>
      </c>
      <c r="Q269" s="11" t="str">
        <f>IF(H269="","",IF(I269&lt;&gt;"",IF(I269-H269&lt;60,"No","Sí"),IF(TODAY()-H269&gt;=60,"Sí","En curso")))</f>
        <v/>
      </c>
      <c r="R269" s="11" t="str">
        <f>IF(H269="","",IF(I269&lt;&gt;"","Baja",IF(AND(TODAY()-H269&gt;=7,J269=""),"Falta check-in semana 1",IF(AND(TODAY()-H269&gt;=21,L269=""),"Falta check-in semana 3",""))))</f>
        <v/>
      </c>
    </row>
    <row r="270">
      <c r="A270" s="7"/>
      <c r="B270" s="7"/>
      <c r="C270" s="7"/>
      <c r="D270" s="7"/>
      <c r="E270" s="7"/>
      <c r="F270" s="15"/>
      <c r="G270" s="7"/>
      <c r="H270" s="14"/>
      <c r="I270" s="14"/>
      <c r="J270" s="14"/>
      <c r="K270" s="7"/>
      <c r="L270" s="14"/>
      <c r="M270" s="7"/>
      <c r="N270" s="7"/>
      <c r="O270" s="11" t="str">
        <f>IF(H270="","",IF(I270&lt;&gt;"",I270,TODAY())-H270)</f>
        <v/>
      </c>
      <c r="P270" s="11" t="str">
        <f>IF(H270="","",IF(I270&lt;&gt;"",IF(I270-H270&lt;30,"No","Sí"),IF(TODAY()-H270&gt;=30,"Sí","En curso")))</f>
        <v/>
      </c>
      <c r="Q270" s="11" t="str">
        <f>IF(H270="","",IF(I270&lt;&gt;"",IF(I270-H270&lt;60,"No","Sí"),IF(TODAY()-H270&gt;=60,"Sí","En curso")))</f>
        <v/>
      </c>
      <c r="R270" s="11" t="str">
        <f>IF(H270="","",IF(I270&lt;&gt;"","Baja",IF(AND(TODAY()-H270&gt;=7,J270=""),"Falta check-in semana 1",IF(AND(TODAY()-H270&gt;=21,L270=""),"Falta check-in semana 3",""))))</f>
        <v/>
      </c>
    </row>
    <row r="271">
      <c r="A271" s="7"/>
      <c r="B271" s="7"/>
      <c r="C271" s="7"/>
      <c r="D271" s="7"/>
      <c r="E271" s="7"/>
      <c r="F271" s="15"/>
      <c r="G271" s="7"/>
      <c r="H271" s="14"/>
      <c r="I271" s="14"/>
      <c r="J271" s="14"/>
      <c r="K271" s="7"/>
      <c r="L271" s="14"/>
      <c r="M271" s="7"/>
      <c r="N271" s="7"/>
      <c r="O271" s="11" t="str">
        <f>IF(H271="","",IF(I271&lt;&gt;"",I271,TODAY())-H271)</f>
        <v/>
      </c>
      <c r="P271" s="11" t="str">
        <f>IF(H271="","",IF(I271&lt;&gt;"",IF(I271-H271&lt;30,"No","Sí"),IF(TODAY()-H271&gt;=30,"Sí","En curso")))</f>
        <v/>
      </c>
      <c r="Q271" s="11" t="str">
        <f>IF(H271="","",IF(I271&lt;&gt;"",IF(I271-H271&lt;60,"No","Sí"),IF(TODAY()-H271&gt;=60,"Sí","En curso")))</f>
        <v/>
      </c>
      <c r="R271" s="11" t="str">
        <f>IF(H271="","",IF(I271&lt;&gt;"","Baja",IF(AND(TODAY()-H271&gt;=7,J271=""),"Falta check-in semana 1",IF(AND(TODAY()-H271&gt;=21,L271=""),"Falta check-in semana 3",""))))</f>
        <v/>
      </c>
    </row>
    <row r="272">
      <c r="A272" s="7"/>
      <c r="B272" s="7"/>
      <c r="C272" s="7"/>
      <c r="D272" s="7"/>
      <c r="E272" s="7"/>
      <c r="F272" s="15"/>
      <c r="G272" s="7"/>
      <c r="H272" s="14"/>
      <c r="I272" s="14"/>
      <c r="J272" s="14"/>
      <c r="K272" s="7"/>
      <c r="L272" s="14"/>
      <c r="M272" s="7"/>
      <c r="N272" s="7"/>
      <c r="O272" s="11" t="str">
        <f>IF(H272="","",IF(I272&lt;&gt;"",I272,TODAY())-H272)</f>
        <v/>
      </c>
      <c r="P272" s="11" t="str">
        <f>IF(H272="","",IF(I272&lt;&gt;"",IF(I272-H272&lt;30,"No","Sí"),IF(TODAY()-H272&gt;=30,"Sí","En curso")))</f>
        <v/>
      </c>
      <c r="Q272" s="11" t="str">
        <f>IF(H272="","",IF(I272&lt;&gt;"",IF(I272-H272&lt;60,"No","Sí"),IF(TODAY()-H272&gt;=60,"Sí","En curso")))</f>
        <v/>
      </c>
      <c r="R272" s="11" t="str">
        <f>IF(H272="","",IF(I272&lt;&gt;"","Baja",IF(AND(TODAY()-H272&gt;=7,J272=""),"Falta check-in semana 1",IF(AND(TODAY()-H272&gt;=21,L272=""),"Falta check-in semana 3",""))))</f>
        <v/>
      </c>
    </row>
    <row r="273">
      <c r="A273" s="7"/>
      <c r="B273" s="7"/>
      <c r="C273" s="7"/>
      <c r="D273" s="7"/>
      <c r="E273" s="7"/>
      <c r="F273" s="15"/>
      <c r="G273" s="7"/>
      <c r="H273" s="14"/>
      <c r="I273" s="14"/>
      <c r="J273" s="14"/>
      <c r="K273" s="7"/>
      <c r="L273" s="14"/>
      <c r="M273" s="7"/>
      <c r="N273" s="7"/>
      <c r="O273" s="11" t="str">
        <f>IF(H273="","",IF(I273&lt;&gt;"",I273,TODAY())-H273)</f>
        <v/>
      </c>
      <c r="P273" s="11" t="str">
        <f>IF(H273="","",IF(I273&lt;&gt;"",IF(I273-H273&lt;30,"No","Sí"),IF(TODAY()-H273&gt;=30,"Sí","En curso")))</f>
        <v/>
      </c>
      <c r="Q273" s="11" t="str">
        <f>IF(H273="","",IF(I273&lt;&gt;"",IF(I273-H273&lt;60,"No","Sí"),IF(TODAY()-H273&gt;=60,"Sí","En curso")))</f>
        <v/>
      </c>
      <c r="R273" s="11" t="str">
        <f>IF(H273="","",IF(I273&lt;&gt;"","Baja",IF(AND(TODAY()-H273&gt;=7,J273=""),"Falta check-in semana 1",IF(AND(TODAY()-H273&gt;=21,L273=""),"Falta check-in semana 3",""))))</f>
        <v/>
      </c>
    </row>
    <row r="274">
      <c r="A274" s="7"/>
      <c r="B274" s="7"/>
      <c r="C274" s="7"/>
      <c r="D274" s="7"/>
      <c r="E274" s="7"/>
      <c r="F274" s="15"/>
      <c r="G274" s="7"/>
      <c r="H274" s="14"/>
      <c r="I274" s="14"/>
      <c r="J274" s="14"/>
      <c r="K274" s="7"/>
      <c r="L274" s="14"/>
      <c r="M274" s="7"/>
      <c r="N274" s="7"/>
      <c r="O274" s="11" t="str">
        <f>IF(H274="","",IF(I274&lt;&gt;"",I274,TODAY())-H274)</f>
        <v/>
      </c>
      <c r="P274" s="11" t="str">
        <f>IF(H274="","",IF(I274&lt;&gt;"",IF(I274-H274&lt;30,"No","Sí"),IF(TODAY()-H274&gt;=30,"Sí","En curso")))</f>
        <v/>
      </c>
      <c r="Q274" s="11" t="str">
        <f>IF(H274="","",IF(I274&lt;&gt;"",IF(I274-H274&lt;60,"No","Sí"),IF(TODAY()-H274&gt;=60,"Sí","En curso")))</f>
        <v/>
      </c>
      <c r="R274" s="11" t="str">
        <f>IF(H274="","",IF(I274&lt;&gt;"","Baja",IF(AND(TODAY()-H274&gt;=7,J274=""),"Falta check-in semana 1",IF(AND(TODAY()-H274&gt;=21,L274=""),"Falta check-in semana 3",""))))</f>
        <v/>
      </c>
    </row>
    <row r="275">
      <c r="A275" s="7"/>
      <c r="B275" s="7"/>
      <c r="C275" s="7"/>
      <c r="D275" s="7"/>
      <c r="E275" s="7"/>
      <c r="F275" s="15"/>
      <c r="G275" s="7"/>
      <c r="H275" s="14"/>
      <c r="I275" s="14"/>
      <c r="J275" s="14"/>
      <c r="K275" s="7"/>
      <c r="L275" s="14"/>
      <c r="M275" s="7"/>
      <c r="N275" s="7"/>
      <c r="O275" s="11" t="str">
        <f>IF(H275="","",IF(I275&lt;&gt;"",I275,TODAY())-H275)</f>
        <v/>
      </c>
      <c r="P275" s="11" t="str">
        <f>IF(H275="","",IF(I275&lt;&gt;"",IF(I275-H275&lt;30,"No","Sí"),IF(TODAY()-H275&gt;=30,"Sí","En curso")))</f>
        <v/>
      </c>
      <c r="Q275" s="11" t="str">
        <f>IF(H275="","",IF(I275&lt;&gt;"",IF(I275-H275&lt;60,"No","Sí"),IF(TODAY()-H275&gt;=60,"Sí","En curso")))</f>
        <v/>
      </c>
      <c r="R275" s="11" t="str">
        <f>IF(H275="","",IF(I275&lt;&gt;"","Baja",IF(AND(TODAY()-H275&gt;=7,J275=""),"Falta check-in semana 1",IF(AND(TODAY()-H275&gt;=21,L275=""),"Falta check-in semana 3",""))))</f>
        <v/>
      </c>
    </row>
    <row r="276">
      <c r="A276" s="7"/>
      <c r="B276" s="7"/>
      <c r="C276" s="7"/>
      <c r="D276" s="7"/>
      <c r="E276" s="7"/>
      <c r="F276" s="15"/>
      <c r="G276" s="7"/>
      <c r="H276" s="14"/>
      <c r="I276" s="14"/>
      <c r="J276" s="14"/>
      <c r="K276" s="7"/>
      <c r="L276" s="14"/>
      <c r="M276" s="7"/>
      <c r="N276" s="7"/>
      <c r="O276" s="11" t="str">
        <f>IF(H276="","",IF(I276&lt;&gt;"",I276,TODAY())-H276)</f>
        <v/>
      </c>
      <c r="P276" s="11" t="str">
        <f>IF(H276="","",IF(I276&lt;&gt;"",IF(I276-H276&lt;30,"No","Sí"),IF(TODAY()-H276&gt;=30,"Sí","En curso")))</f>
        <v/>
      </c>
      <c r="Q276" s="11" t="str">
        <f>IF(H276="","",IF(I276&lt;&gt;"",IF(I276-H276&lt;60,"No","Sí"),IF(TODAY()-H276&gt;=60,"Sí","En curso")))</f>
        <v/>
      </c>
      <c r="R276" s="11" t="str">
        <f>IF(H276="","",IF(I276&lt;&gt;"","Baja",IF(AND(TODAY()-H276&gt;=7,J276=""),"Falta check-in semana 1",IF(AND(TODAY()-H276&gt;=21,L276=""),"Falta check-in semana 3",""))))</f>
        <v/>
      </c>
    </row>
    <row r="277">
      <c r="A277" s="7"/>
      <c r="B277" s="7"/>
      <c r="C277" s="7"/>
      <c r="D277" s="7"/>
      <c r="E277" s="7"/>
      <c r="F277" s="15"/>
      <c r="G277" s="7"/>
      <c r="H277" s="14"/>
      <c r="I277" s="14"/>
      <c r="J277" s="14"/>
      <c r="K277" s="7"/>
      <c r="L277" s="14"/>
      <c r="M277" s="7"/>
      <c r="N277" s="7"/>
      <c r="O277" s="11" t="str">
        <f>IF(H277="","",IF(I277&lt;&gt;"",I277,TODAY())-H277)</f>
        <v/>
      </c>
      <c r="P277" s="11" t="str">
        <f>IF(H277="","",IF(I277&lt;&gt;"",IF(I277-H277&lt;30,"No","Sí"),IF(TODAY()-H277&gt;=30,"Sí","En curso")))</f>
        <v/>
      </c>
      <c r="Q277" s="11" t="str">
        <f>IF(H277="","",IF(I277&lt;&gt;"",IF(I277-H277&lt;60,"No","Sí"),IF(TODAY()-H277&gt;=60,"Sí","En curso")))</f>
        <v/>
      </c>
      <c r="R277" s="11" t="str">
        <f>IF(H277="","",IF(I277&lt;&gt;"","Baja",IF(AND(TODAY()-H277&gt;=7,J277=""),"Falta check-in semana 1",IF(AND(TODAY()-H277&gt;=21,L277=""),"Falta check-in semana 3",""))))</f>
        <v/>
      </c>
    </row>
    <row r="278">
      <c r="A278" s="7"/>
      <c r="B278" s="7"/>
      <c r="C278" s="7"/>
      <c r="D278" s="7"/>
      <c r="E278" s="7"/>
      <c r="F278" s="15"/>
      <c r="G278" s="7"/>
      <c r="H278" s="14"/>
      <c r="I278" s="14"/>
      <c r="J278" s="14"/>
      <c r="K278" s="7"/>
      <c r="L278" s="14"/>
      <c r="M278" s="7"/>
      <c r="N278" s="7"/>
      <c r="O278" s="11" t="str">
        <f>IF(H278="","",IF(I278&lt;&gt;"",I278,TODAY())-H278)</f>
        <v/>
      </c>
      <c r="P278" s="11" t="str">
        <f>IF(H278="","",IF(I278&lt;&gt;"",IF(I278-H278&lt;30,"No","Sí"),IF(TODAY()-H278&gt;=30,"Sí","En curso")))</f>
        <v/>
      </c>
      <c r="Q278" s="11" t="str">
        <f>IF(H278="","",IF(I278&lt;&gt;"",IF(I278-H278&lt;60,"No","Sí"),IF(TODAY()-H278&gt;=60,"Sí","En curso")))</f>
        <v/>
      </c>
      <c r="R278" s="11" t="str">
        <f>IF(H278="","",IF(I278&lt;&gt;"","Baja",IF(AND(TODAY()-H278&gt;=7,J278=""),"Falta check-in semana 1",IF(AND(TODAY()-H278&gt;=21,L278=""),"Falta check-in semana 3",""))))</f>
        <v/>
      </c>
    </row>
    <row r="279">
      <c r="A279" s="7"/>
      <c r="B279" s="7"/>
      <c r="C279" s="7"/>
      <c r="D279" s="7"/>
      <c r="E279" s="7"/>
      <c r="F279" s="15"/>
      <c r="G279" s="7"/>
      <c r="H279" s="14"/>
      <c r="I279" s="14"/>
      <c r="J279" s="14"/>
      <c r="K279" s="7"/>
      <c r="L279" s="14"/>
      <c r="M279" s="7"/>
      <c r="N279" s="7"/>
      <c r="O279" s="11" t="str">
        <f>IF(H279="","",IF(I279&lt;&gt;"",I279,TODAY())-H279)</f>
        <v/>
      </c>
      <c r="P279" s="11" t="str">
        <f>IF(H279="","",IF(I279&lt;&gt;"",IF(I279-H279&lt;30,"No","Sí"),IF(TODAY()-H279&gt;=30,"Sí","En curso")))</f>
        <v/>
      </c>
      <c r="Q279" s="11" t="str">
        <f>IF(H279="","",IF(I279&lt;&gt;"",IF(I279-H279&lt;60,"No","Sí"),IF(TODAY()-H279&gt;=60,"Sí","En curso")))</f>
        <v/>
      </c>
      <c r="R279" s="11" t="str">
        <f>IF(H279="","",IF(I279&lt;&gt;"","Baja",IF(AND(TODAY()-H279&gt;=7,J279=""),"Falta check-in semana 1",IF(AND(TODAY()-H279&gt;=21,L279=""),"Falta check-in semana 3",""))))</f>
        <v/>
      </c>
    </row>
    <row r="280">
      <c r="A280" s="7"/>
      <c r="B280" s="7"/>
      <c r="C280" s="7"/>
      <c r="D280" s="7"/>
      <c r="E280" s="7"/>
      <c r="F280" s="15"/>
      <c r="G280" s="7"/>
      <c r="H280" s="14"/>
      <c r="I280" s="14"/>
      <c r="J280" s="14"/>
      <c r="K280" s="7"/>
      <c r="L280" s="14"/>
      <c r="M280" s="7"/>
      <c r="N280" s="7"/>
      <c r="O280" s="11" t="str">
        <f>IF(H280="","",IF(I280&lt;&gt;"",I280,TODAY())-H280)</f>
        <v/>
      </c>
      <c r="P280" s="11" t="str">
        <f>IF(H280="","",IF(I280&lt;&gt;"",IF(I280-H280&lt;30,"No","Sí"),IF(TODAY()-H280&gt;=30,"Sí","En curso")))</f>
        <v/>
      </c>
      <c r="Q280" s="11" t="str">
        <f>IF(H280="","",IF(I280&lt;&gt;"",IF(I280-H280&lt;60,"No","Sí"),IF(TODAY()-H280&gt;=60,"Sí","En curso")))</f>
        <v/>
      </c>
      <c r="R280" s="11" t="str">
        <f>IF(H280="","",IF(I280&lt;&gt;"","Baja",IF(AND(TODAY()-H280&gt;=7,J280=""),"Falta check-in semana 1",IF(AND(TODAY()-H280&gt;=21,L280=""),"Falta check-in semana 3",""))))</f>
        <v/>
      </c>
    </row>
    <row r="281">
      <c r="A281" s="7"/>
      <c r="B281" s="7"/>
      <c r="C281" s="7"/>
      <c r="D281" s="7"/>
      <c r="E281" s="7"/>
      <c r="F281" s="15"/>
      <c r="G281" s="7"/>
      <c r="H281" s="14"/>
      <c r="I281" s="14"/>
      <c r="J281" s="14"/>
      <c r="K281" s="7"/>
      <c r="L281" s="14"/>
      <c r="M281" s="7"/>
      <c r="N281" s="7"/>
      <c r="O281" s="11" t="str">
        <f>IF(H281="","",IF(I281&lt;&gt;"",I281,TODAY())-H281)</f>
        <v/>
      </c>
      <c r="P281" s="11" t="str">
        <f>IF(H281="","",IF(I281&lt;&gt;"",IF(I281-H281&lt;30,"No","Sí"),IF(TODAY()-H281&gt;=30,"Sí","En curso")))</f>
        <v/>
      </c>
      <c r="Q281" s="11" t="str">
        <f>IF(H281="","",IF(I281&lt;&gt;"",IF(I281-H281&lt;60,"No","Sí"),IF(TODAY()-H281&gt;=60,"Sí","En curso")))</f>
        <v/>
      </c>
      <c r="R281" s="11" t="str">
        <f>IF(H281="","",IF(I281&lt;&gt;"","Baja",IF(AND(TODAY()-H281&gt;=7,J281=""),"Falta check-in semana 1",IF(AND(TODAY()-H281&gt;=21,L281=""),"Falta check-in semana 3",""))))</f>
        <v/>
      </c>
    </row>
    <row r="282">
      <c r="A282" s="7"/>
      <c r="B282" s="7"/>
      <c r="C282" s="7"/>
      <c r="D282" s="7"/>
      <c r="E282" s="7"/>
      <c r="F282" s="15"/>
      <c r="G282" s="7"/>
      <c r="H282" s="14"/>
      <c r="I282" s="14"/>
      <c r="J282" s="14"/>
      <c r="K282" s="7"/>
      <c r="L282" s="14"/>
      <c r="M282" s="7"/>
      <c r="N282" s="7"/>
      <c r="O282" s="11" t="str">
        <f>IF(H282="","",IF(I282&lt;&gt;"",I282,TODAY())-H282)</f>
        <v/>
      </c>
      <c r="P282" s="11" t="str">
        <f>IF(H282="","",IF(I282&lt;&gt;"",IF(I282-H282&lt;30,"No","Sí"),IF(TODAY()-H282&gt;=30,"Sí","En curso")))</f>
        <v/>
      </c>
      <c r="Q282" s="11" t="str">
        <f>IF(H282="","",IF(I282&lt;&gt;"",IF(I282-H282&lt;60,"No","Sí"),IF(TODAY()-H282&gt;=60,"Sí","En curso")))</f>
        <v/>
      </c>
      <c r="R282" s="11" t="str">
        <f>IF(H282="","",IF(I282&lt;&gt;"","Baja",IF(AND(TODAY()-H282&gt;=7,J282=""),"Falta check-in semana 1",IF(AND(TODAY()-H282&gt;=21,L282=""),"Falta check-in semana 3",""))))</f>
        <v/>
      </c>
    </row>
    <row r="283">
      <c r="A283" s="7"/>
      <c r="B283" s="7"/>
      <c r="C283" s="7"/>
      <c r="D283" s="7"/>
      <c r="E283" s="7"/>
      <c r="F283" s="15"/>
      <c r="G283" s="7"/>
      <c r="H283" s="14"/>
      <c r="I283" s="14"/>
      <c r="J283" s="14"/>
      <c r="K283" s="7"/>
      <c r="L283" s="14"/>
      <c r="M283" s="7"/>
      <c r="N283" s="7"/>
      <c r="O283" s="11" t="str">
        <f>IF(H283="","",IF(I283&lt;&gt;"",I283,TODAY())-H283)</f>
        <v/>
      </c>
      <c r="P283" s="11" t="str">
        <f>IF(H283="","",IF(I283&lt;&gt;"",IF(I283-H283&lt;30,"No","Sí"),IF(TODAY()-H283&gt;=30,"Sí","En curso")))</f>
        <v/>
      </c>
      <c r="Q283" s="11" t="str">
        <f>IF(H283="","",IF(I283&lt;&gt;"",IF(I283-H283&lt;60,"No","Sí"),IF(TODAY()-H283&gt;=60,"Sí","En curso")))</f>
        <v/>
      </c>
      <c r="R283" s="11" t="str">
        <f>IF(H283="","",IF(I283&lt;&gt;"","Baja",IF(AND(TODAY()-H283&gt;=7,J283=""),"Falta check-in semana 1",IF(AND(TODAY()-H283&gt;=21,L283=""),"Falta check-in semana 3",""))))</f>
        <v/>
      </c>
    </row>
    <row r="284">
      <c r="A284" s="7"/>
      <c r="B284" s="7"/>
      <c r="C284" s="7"/>
      <c r="D284" s="7"/>
      <c r="E284" s="7"/>
      <c r="F284" s="15"/>
      <c r="G284" s="7"/>
      <c r="H284" s="14"/>
      <c r="I284" s="14"/>
      <c r="J284" s="14"/>
      <c r="K284" s="7"/>
      <c r="L284" s="14"/>
      <c r="M284" s="7"/>
      <c r="N284" s="7"/>
      <c r="O284" s="11" t="str">
        <f>IF(H284="","",IF(I284&lt;&gt;"",I284,TODAY())-H284)</f>
        <v/>
      </c>
      <c r="P284" s="11" t="str">
        <f>IF(H284="","",IF(I284&lt;&gt;"",IF(I284-H284&lt;30,"No","Sí"),IF(TODAY()-H284&gt;=30,"Sí","En curso")))</f>
        <v/>
      </c>
      <c r="Q284" s="11" t="str">
        <f>IF(H284="","",IF(I284&lt;&gt;"",IF(I284-H284&lt;60,"No","Sí"),IF(TODAY()-H284&gt;=60,"Sí","En curso")))</f>
        <v/>
      </c>
      <c r="R284" s="11" t="str">
        <f>IF(H284="","",IF(I284&lt;&gt;"","Baja",IF(AND(TODAY()-H284&gt;=7,J284=""),"Falta check-in semana 1",IF(AND(TODAY()-H284&gt;=21,L284=""),"Falta check-in semana 3",""))))</f>
        <v/>
      </c>
    </row>
    <row r="285">
      <c r="A285" s="7"/>
      <c r="B285" s="7"/>
      <c r="C285" s="7"/>
      <c r="D285" s="7"/>
      <c r="E285" s="7"/>
      <c r="F285" s="15"/>
      <c r="G285" s="7"/>
      <c r="H285" s="14"/>
      <c r="I285" s="14"/>
      <c r="J285" s="14"/>
      <c r="K285" s="7"/>
      <c r="L285" s="14"/>
      <c r="M285" s="7"/>
      <c r="N285" s="7"/>
      <c r="O285" s="11" t="str">
        <f>IF(H285="","",IF(I285&lt;&gt;"",I285,TODAY())-H285)</f>
        <v/>
      </c>
      <c r="P285" s="11" t="str">
        <f>IF(H285="","",IF(I285&lt;&gt;"",IF(I285-H285&lt;30,"No","Sí"),IF(TODAY()-H285&gt;=30,"Sí","En curso")))</f>
        <v/>
      </c>
      <c r="Q285" s="11" t="str">
        <f>IF(H285="","",IF(I285&lt;&gt;"",IF(I285-H285&lt;60,"No","Sí"),IF(TODAY()-H285&gt;=60,"Sí","En curso")))</f>
        <v/>
      </c>
      <c r="R285" s="11" t="str">
        <f>IF(H285="","",IF(I285&lt;&gt;"","Baja",IF(AND(TODAY()-H285&gt;=7,J285=""),"Falta check-in semana 1",IF(AND(TODAY()-H285&gt;=21,L285=""),"Falta check-in semana 3",""))))</f>
        <v/>
      </c>
    </row>
    <row r="286">
      <c r="A286" s="7"/>
      <c r="B286" s="7"/>
      <c r="C286" s="7"/>
      <c r="D286" s="7"/>
      <c r="E286" s="7"/>
      <c r="F286" s="15"/>
      <c r="G286" s="7"/>
      <c r="H286" s="14"/>
      <c r="I286" s="14"/>
      <c r="J286" s="14"/>
      <c r="K286" s="7"/>
      <c r="L286" s="14"/>
      <c r="M286" s="7"/>
      <c r="N286" s="7"/>
      <c r="O286" s="11" t="str">
        <f>IF(H286="","",IF(I286&lt;&gt;"",I286,TODAY())-H286)</f>
        <v/>
      </c>
      <c r="P286" s="11" t="str">
        <f>IF(H286="","",IF(I286&lt;&gt;"",IF(I286-H286&lt;30,"No","Sí"),IF(TODAY()-H286&gt;=30,"Sí","En curso")))</f>
        <v/>
      </c>
      <c r="Q286" s="11" t="str">
        <f>IF(H286="","",IF(I286&lt;&gt;"",IF(I286-H286&lt;60,"No","Sí"),IF(TODAY()-H286&gt;=60,"Sí","En curso")))</f>
        <v/>
      </c>
      <c r="R286" s="11" t="str">
        <f>IF(H286="","",IF(I286&lt;&gt;"","Baja",IF(AND(TODAY()-H286&gt;=7,J286=""),"Falta check-in semana 1",IF(AND(TODAY()-H286&gt;=21,L286=""),"Falta check-in semana 3",""))))</f>
        <v/>
      </c>
    </row>
    <row r="287">
      <c r="A287" s="7"/>
      <c r="B287" s="7"/>
      <c r="C287" s="7"/>
      <c r="D287" s="7"/>
      <c r="E287" s="7"/>
      <c r="F287" s="15"/>
      <c r="G287" s="7"/>
      <c r="H287" s="14"/>
      <c r="I287" s="14"/>
      <c r="J287" s="14"/>
      <c r="K287" s="7"/>
      <c r="L287" s="14"/>
      <c r="M287" s="7"/>
      <c r="N287" s="7"/>
      <c r="O287" s="11" t="str">
        <f>IF(H287="","",IF(I287&lt;&gt;"",I287,TODAY())-H287)</f>
        <v/>
      </c>
      <c r="P287" s="11" t="str">
        <f>IF(H287="","",IF(I287&lt;&gt;"",IF(I287-H287&lt;30,"No","Sí"),IF(TODAY()-H287&gt;=30,"Sí","En curso")))</f>
        <v/>
      </c>
      <c r="Q287" s="11" t="str">
        <f>IF(H287="","",IF(I287&lt;&gt;"",IF(I287-H287&lt;60,"No","Sí"),IF(TODAY()-H287&gt;=60,"Sí","En curso")))</f>
        <v/>
      </c>
      <c r="R287" s="11" t="str">
        <f>IF(H287="","",IF(I287&lt;&gt;"","Baja",IF(AND(TODAY()-H287&gt;=7,J287=""),"Falta check-in semana 1",IF(AND(TODAY()-H287&gt;=21,L287=""),"Falta check-in semana 3",""))))</f>
        <v/>
      </c>
    </row>
    <row r="288">
      <c r="A288" s="7"/>
      <c r="B288" s="7"/>
      <c r="C288" s="7"/>
      <c r="D288" s="7"/>
      <c r="E288" s="7"/>
      <c r="F288" s="15"/>
      <c r="G288" s="7"/>
      <c r="H288" s="14"/>
      <c r="I288" s="14"/>
      <c r="J288" s="14"/>
      <c r="K288" s="7"/>
      <c r="L288" s="14"/>
      <c r="M288" s="7"/>
      <c r="N288" s="7"/>
      <c r="O288" s="11" t="str">
        <f>IF(H288="","",IF(I288&lt;&gt;"",I288,TODAY())-H288)</f>
        <v/>
      </c>
      <c r="P288" s="11" t="str">
        <f>IF(H288="","",IF(I288&lt;&gt;"",IF(I288-H288&lt;30,"No","Sí"),IF(TODAY()-H288&gt;=30,"Sí","En curso")))</f>
        <v/>
      </c>
      <c r="Q288" s="11" t="str">
        <f>IF(H288="","",IF(I288&lt;&gt;"",IF(I288-H288&lt;60,"No","Sí"),IF(TODAY()-H288&gt;=60,"Sí","En curso")))</f>
        <v/>
      </c>
      <c r="R288" s="11" t="str">
        <f>IF(H288="","",IF(I288&lt;&gt;"","Baja",IF(AND(TODAY()-H288&gt;=7,J288=""),"Falta check-in semana 1",IF(AND(TODAY()-H288&gt;=21,L288=""),"Falta check-in semana 3",""))))</f>
        <v/>
      </c>
    </row>
    <row r="289">
      <c r="A289" s="7"/>
      <c r="B289" s="7"/>
      <c r="C289" s="7"/>
      <c r="D289" s="7"/>
      <c r="E289" s="7"/>
      <c r="F289" s="15"/>
      <c r="G289" s="7"/>
      <c r="H289" s="14"/>
      <c r="I289" s="14"/>
      <c r="J289" s="14"/>
      <c r="K289" s="7"/>
      <c r="L289" s="14"/>
      <c r="M289" s="7"/>
      <c r="N289" s="7"/>
      <c r="O289" s="11" t="str">
        <f>IF(H289="","",IF(I289&lt;&gt;"",I289,TODAY())-H289)</f>
        <v/>
      </c>
      <c r="P289" s="11" t="str">
        <f>IF(H289="","",IF(I289&lt;&gt;"",IF(I289-H289&lt;30,"No","Sí"),IF(TODAY()-H289&gt;=30,"Sí","En curso")))</f>
        <v/>
      </c>
      <c r="Q289" s="11" t="str">
        <f>IF(H289="","",IF(I289&lt;&gt;"",IF(I289-H289&lt;60,"No","Sí"),IF(TODAY()-H289&gt;=60,"Sí","En curso")))</f>
        <v/>
      </c>
      <c r="R289" s="11" t="str">
        <f>IF(H289="","",IF(I289&lt;&gt;"","Baja",IF(AND(TODAY()-H289&gt;=7,J289=""),"Falta check-in semana 1",IF(AND(TODAY()-H289&gt;=21,L289=""),"Falta check-in semana 3",""))))</f>
        <v/>
      </c>
    </row>
    <row r="290">
      <c r="A290" s="7"/>
      <c r="B290" s="7"/>
      <c r="C290" s="7"/>
      <c r="D290" s="7"/>
      <c r="E290" s="7"/>
      <c r="F290" s="15"/>
      <c r="G290" s="7"/>
      <c r="H290" s="14"/>
      <c r="I290" s="14"/>
      <c r="J290" s="14"/>
      <c r="K290" s="7"/>
      <c r="L290" s="14"/>
      <c r="M290" s="7"/>
      <c r="N290" s="7"/>
      <c r="O290" s="11" t="str">
        <f>IF(H290="","",IF(I290&lt;&gt;"",I290,TODAY())-H290)</f>
        <v/>
      </c>
      <c r="P290" s="11" t="str">
        <f>IF(H290="","",IF(I290&lt;&gt;"",IF(I290-H290&lt;30,"No","Sí"),IF(TODAY()-H290&gt;=30,"Sí","En curso")))</f>
        <v/>
      </c>
      <c r="Q290" s="11" t="str">
        <f>IF(H290="","",IF(I290&lt;&gt;"",IF(I290-H290&lt;60,"No","Sí"),IF(TODAY()-H290&gt;=60,"Sí","En curso")))</f>
        <v/>
      </c>
      <c r="R290" s="11" t="str">
        <f>IF(H290="","",IF(I290&lt;&gt;"","Baja",IF(AND(TODAY()-H290&gt;=7,J290=""),"Falta check-in semana 1",IF(AND(TODAY()-H290&gt;=21,L290=""),"Falta check-in semana 3",""))))</f>
        <v/>
      </c>
    </row>
    <row r="291">
      <c r="A291" s="7"/>
      <c r="B291" s="7"/>
      <c r="C291" s="7"/>
      <c r="D291" s="7"/>
      <c r="E291" s="7"/>
      <c r="F291" s="15"/>
      <c r="G291" s="7"/>
      <c r="H291" s="14"/>
      <c r="I291" s="14"/>
      <c r="J291" s="14"/>
      <c r="K291" s="7"/>
      <c r="L291" s="14"/>
      <c r="M291" s="7"/>
      <c r="N291" s="7"/>
      <c r="O291" s="11" t="str">
        <f>IF(H291="","",IF(I291&lt;&gt;"",I291,TODAY())-H291)</f>
        <v/>
      </c>
      <c r="P291" s="11" t="str">
        <f>IF(H291="","",IF(I291&lt;&gt;"",IF(I291-H291&lt;30,"No","Sí"),IF(TODAY()-H291&gt;=30,"Sí","En curso")))</f>
        <v/>
      </c>
      <c r="Q291" s="11" t="str">
        <f>IF(H291="","",IF(I291&lt;&gt;"",IF(I291-H291&lt;60,"No","Sí"),IF(TODAY()-H291&gt;=60,"Sí","En curso")))</f>
        <v/>
      </c>
      <c r="R291" s="11" t="str">
        <f>IF(H291="","",IF(I291&lt;&gt;"","Baja",IF(AND(TODAY()-H291&gt;=7,J291=""),"Falta check-in semana 1",IF(AND(TODAY()-H291&gt;=21,L291=""),"Falta check-in semana 3",""))))</f>
        <v/>
      </c>
    </row>
    <row r="292">
      <c r="A292" s="7"/>
      <c r="B292" s="7"/>
      <c r="C292" s="7"/>
      <c r="D292" s="7"/>
      <c r="E292" s="7"/>
      <c r="F292" s="15"/>
      <c r="G292" s="7"/>
      <c r="H292" s="14"/>
      <c r="I292" s="14"/>
      <c r="J292" s="14"/>
      <c r="K292" s="7"/>
      <c r="L292" s="14"/>
      <c r="M292" s="7"/>
      <c r="N292" s="7"/>
      <c r="O292" s="11" t="str">
        <f>IF(H292="","",IF(I292&lt;&gt;"",I292,TODAY())-H292)</f>
        <v/>
      </c>
      <c r="P292" s="11" t="str">
        <f>IF(H292="","",IF(I292&lt;&gt;"",IF(I292-H292&lt;30,"No","Sí"),IF(TODAY()-H292&gt;=30,"Sí","En curso")))</f>
        <v/>
      </c>
      <c r="Q292" s="11" t="str">
        <f>IF(H292="","",IF(I292&lt;&gt;"",IF(I292-H292&lt;60,"No","Sí"),IF(TODAY()-H292&gt;=60,"Sí","En curso")))</f>
        <v/>
      </c>
      <c r="R292" s="11" t="str">
        <f>IF(H292="","",IF(I292&lt;&gt;"","Baja",IF(AND(TODAY()-H292&gt;=7,J292=""),"Falta check-in semana 1",IF(AND(TODAY()-H292&gt;=21,L292=""),"Falta check-in semana 3",""))))</f>
        <v/>
      </c>
    </row>
    <row r="293">
      <c r="A293" s="7"/>
      <c r="B293" s="7"/>
      <c r="C293" s="7"/>
      <c r="D293" s="7"/>
      <c r="E293" s="7"/>
      <c r="F293" s="15"/>
      <c r="G293" s="7"/>
      <c r="H293" s="14"/>
      <c r="I293" s="14"/>
      <c r="J293" s="14"/>
      <c r="K293" s="7"/>
      <c r="L293" s="14"/>
      <c r="M293" s="7"/>
      <c r="N293" s="7"/>
      <c r="O293" s="11" t="str">
        <f>IF(H293="","",IF(I293&lt;&gt;"",I293,TODAY())-H293)</f>
        <v/>
      </c>
      <c r="P293" s="11" t="str">
        <f>IF(H293="","",IF(I293&lt;&gt;"",IF(I293-H293&lt;30,"No","Sí"),IF(TODAY()-H293&gt;=30,"Sí","En curso")))</f>
        <v/>
      </c>
      <c r="Q293" s="11" t="str">
        <f>IF(H293="","",IF(I293&lt;&gt;"",IF(I293-H293&lt;60,"No","Sí"),IF(TODAY()-H293&gt;=60,"Sí","En curso")))</f>
        <v/>
      </c>
      <c r="R293" s="11" t="str">
        <f>IF(H293="","",IF(I293&lt;&gt;"","Baja",IF(AND(TODAY()-H293&gt;=7,J293=""),"Falta check-in semana 1",IF(AND(TODAY()-H293&gt;=21,L293=""),"Falta check-in semana 3",""))))</f>
        <v/>
      </c>
    </row>
    <row r="294">
      <c r="A294" s="7"/>
      <c r="B294" s="7"/>
      <c r="C294" s="7"/>
      <c r="D294" s="7"/>
      <c r="E294" s="7"/>
      <c r="F294" s="15"/>
      <c r="G294" s="7"/>
      <c r="H294" s="14"/>
      <c r="I294" s="14"/>
      <c r="J294" s="14"/>
      <c r="K294" s="7"/>
      <c r="L294" s="14"/>
      <c r="M294" s="7"/>
      <c r="N294" s="7"/>
      <c r="O294" s="11" t="str">
        <f>IF(H294="","",IF(I294&lt;&gt;"",I294,TODAY())-H294)</f>
        <v/>
      </c>
      <c r="P294" s="11" t="str">
        <f>IF(H294="","",IF(I294&lt;&gt;"",IF(I294-H294&lt;30,"No","Sí"),IF(TODAY()-H294&gt;=30,"Sí","En curso")))</f>
        <v/>
      </c>
      <c r="Q294" s="11" t="str">
        <f>IF(H294="","",IF(I294&lt;&gt;"",IF(I294-H294&lt;60,"No","Sí"),IF(TODAY()-H294&gt;=60,"Sí","En curso")))</f>
        <v/>
      </c>
      <c r="R294" s="11" t="str">
        <f>IF(H294="","",IF(I294&lt;&gt;"","Baja",IF(AND(TODAY()-H294&gt;=7,J294=""),"Falta check-in semana 1",IF(AND(TODAY()-H294&gt;=21,L294=""),"Falta check-in semana 3",""))))</f>
        <v/>
      </c>
    </row>
    <row r="295">
      <c r="A295" s="7"/>
      <c r="B295" s="7"/>
      <c r="C295" s="7"/>
      <c r="D295" s="7"/>
      <c r="E295" s="7"/>
      <c r="F295" s="15"/>
      <c r="G295" s="7"/>
      <c r="H295" s="14"/>
      <c r="I295" s="14"/>
      <c r="J295" s="14"/>
      <c r="K295" s="7"/>
      <c r="L295" s="14"/>
      <c r="M295" s="7"/>
      <c r="N295" s="7"/>
      <c r="O295" s="11" t="str">
        <f>IF(H295="","",IF(I295&lt;&gt;"",I295,TODAY())-H295)</f>
        <v/>
      </c>
      <c r="P295" s="11" t="str">
        <f>IF(H295="","",IF(I295&lt;&gt;"",IF(I295-H295&lt;30,"No","Sí"),IF(TODAY()-H295&gt;=30,"Sí","En curso")))</f>
        <v/>
      </c>
      <c r="Q295" s="11" t="str">
        <f>IF(H295="","",IF(I295&lt;&gt;"",IF(I295-H295&lt;60,"No","Sí"),IF(TODAY()-H295&gt;=60,"Sí","En curso")))</f>
        <v/>
      </c>
      <c r="R295" s="11" t="str">
        <f>IF(H295="","",IF(I295&lt;&gt;"","Baja",IF(AND(TODAY()-H295&gt;=7,J295=""),"Falta check-in semana 1",IF(AND(TODAY()-H295&gt;=21,L295=""),"Falta check-in semana 3",""))))</f>
        <v/>
      </c>
    </row>
    <row r="296">
      <c r="A296" s="7"/>
      <c r="B296" s="7"/>
      <c r="C296" s="7"/>
      <c r="D296" s="7"/>
      <c r="E296" s="7"/>
      <c r="F296" s="15"/>
      <c r="G296" s="7"/>
      <c r="H296" s="14"/>
      <c r="I296" s="14"/>
      <c r="J296" s="14"/>
      <c r="K296" s="7"/>
      <c r="L296" s="14"/>
      <c r="M296" s="7"/>
      <c r="N296" s="7"/>
      <c r="O296" s="11" t="str">
        <f>IF(H296="","",IF(I296&lt;&gt;"",I296,TODAY())-H296)</f>
        <v/>
      </c>
      <c r="P296" s="11" t="str">
        <f>IF(H296="","",IF(I296&lt;&gt;"",IF(I296-H296&lt;30,"No","Sí"),IF(TODAY()-H296&gt;=30,"Sí","En curso")))</f>
        <v/>
      </c>
      <c r="Q296" s="11" t="str">
        <f>IF(H296="","",IF(I296&lt;&gt;"",IF(I296-H296&lt;60,"No","Sí"),IF(TODAY()-H296&gt;=60,"Sí","En curso")))</f>
        <v/>
      </c>
      <c r="R296" s="11" t="str">
        <f>IF(H296="","",IF(I296&lt;&gt;"","Baja",IF(AND(TODAY()-H296&gt;=7,J296=""),"Falta check-in semana 1",IF(AND(TODAY()-H296&gt;=21,L296=""),"Falta check-in semana 3",""))))</f>
        <v/>
      </c>
    </row>
    <row r="297">
      <c r="A297" s="7"/>
      <c r="B297" s="7"/>
      <c r="C297" s="7"/>
      <c r="D297" s="7"/>
      <c r="E297" s="7"/>
      <c r="F297" s="15"/>
      <c r="G297" s="7"/>
      <c r="H297" s="14"/>
      <c r="I297" s="14"/>
      <c r="J297" s="14"/>
      <c r="K297" s="7"/>
      <c r="L297" s="14"/>
      <c r="M297" s="7"/>
      <c r="N297" s="7"/>
      <c r="O297" s="11" t="str">
        <f>IF(H297="","",IF(I297&lt;&gt;"",I297,TODAY())-H297)</f>
        <v/>
      </c>
      <c r="P297" s="11" t="str">
        <f>IF(H297="","",IF(I297&lt;&gt;"",IF(I297-H297&lt;30,"No","Sí"),IF(TODAY()-H297&gt;=30,"Sí","En curso")))</f>
        <v/>
      </c>
      <c r="Q297" s="11" t="str">
        <f>IF(H297="","",IF(I297&lt;&gt;"",IF(I297-H297&lt;60,"No","Sí"),IF(TODAY()-H297&gt;=60,"Sí","En curso")))</f>
        <v/>
      </c>
      <c r="R297" s="11" t="str">
        <f>IF(H297="","",IF(I297&lt;&gt;"","Baja",IF(AND(TODAY()-H297&gt;=7,J297=""),"Falta check-in semana 1",IF(AND(TODAY()-H297&gt;=21,L297=""),"Falta check-in semana 3",""))))</f>
        <v/>
      </c>
    </row>
    <row r="298">
      <c r="A298" s="7"/>
      <c r="B298" s="7"/>
      <c r="C298" s="7"/>
      <c r="D298" s="7"/>
      <c r="E298" s="7"/>
      <c r="F298" s="15"/>
      <c r="G298" s="7"/>
      <c r="H298" s="14"/>
      <c r="I298" s="14"/>
      <c r="J298" s="14"/>
      <c r="K298" s="7"/>
      <c r="L298" s="14"/>
      <c r="M298" s="7"/>
      <c r="N298" s="7"/>
      <c r="O298" s="11" t="str">
        <f>IF(H298="","",IF(I298&lt;&gt;"",I298,TODAY())-H298)</f>
        <v/>
      </c>
      <c r="P298" s="11" t="str">
        <f>IF(H298="","",IF(I298&lt;&gt;"",IF(I298-H298&lt;30,"No","Sí"),IF(TODAY()-H298&gt;=30,"Sí","En curso")))</f>
        <v/>
      </c>
      <c r="Q298" s="11" t="str">
        <f>IF(H298="","",IF(I298&lt;&gt;"",IF(I298-H298&lt;60,"No","Sí"),IF(TODAY()-H298&gt;=60,"Sí","En curso")))</f>
        <v/>
      </c>
      <c r="R298" s="11" t="str">
        <f>IF(H298="","",IF(I298&lt;&gt;"","Baja",IF(AND(TODAY()-H298&gt;=7,J298=""),"Falta check-in semana 1",IF(AND(TODAY()-H298&gt;=21,L298=""),"Falta check-in semana 3",""))))</f>
        <v/>
      </c>
    </row>
    <row r="299">
      <c r="A299" s="7"/>
      <c r="B299" s="7"/>
      <c r="C299" s="7"/>
      <c r="D299" s="7"/>
      <c r="E299" s="7"/>
      <c r="F299" s="15"/>
      <c r="G299" s="7"/>
      <c r="H299" s="14"/>
      <c r="I299" s="14"/>
      <c r="J299" s="14"/>
      <c r="K299" s="7"/>
      <c r="L299" s="14"/>
      <c r="M299" s="7"/>
      <c r="N299" s="7"/>
      <c r="O299" s="11" t="str">
        <f>IF(H299="","",IF(I299&lt;&gt;"",I299,TODAY())-H299)</f>
        <v/>
      </c>
      <c r="P299" s="11" t="str">
        <f>IF(H299="","",IF(I299&lt;&gt;"",IF(I299-H299&lt;30,"No","Sí"),IF(TODAY()-H299&gt;=30,"Sí","En curso")))</f>
        <v/>
      </c>
      <c r="Q299" s="11" t="str">
        <f>IF(H299="","",IF(I299&lt;&gt;"",IF(I299-H299&lt;60,"No","Sí"),IF(TODAY()-H299&gt;=60,"Sí","En curso")))</f>
        <v/>
      </c>
      <c r="R299" s="11" t="str">
        <f>IF(H299="","",IF(I299&lt;&gt;"","Baja",IF(AND(TODAY()-H299&gt;=7,J299=""),"Falta check-in semana 1",IF(AND(TODAY()-H299&gt;=21,L299=""),"Falta check-in semana 3",""))))</f>
        <v/>
      </c>
    </row>
    <row r="300">
      <c r="A300" s="7"/>
      <c r="B300" s="7"/>
      <c r="C300" s="7"/>
      <c r="D300" s="7"/>
      <c r="E300" s="7"/>
      <c r="F300" s="15"/>
      <c r="G300" s="7"/>
      <c r="H300" s="14"/>
      <c r="I300" s="14"/>
      <c r="J300" s="14"/>
      <c r="K300" s="7"/>
      <c r="L300" s="14"/>
      <c r="M300" s="7"/>
      <c r="N300" s="7"/>
      <c r="O300" s="11" t="str">
        <f>IF(H300="","",IF(I300&lt;&gt;"",I300,TODAY())-H300)</f>
        <v/>
      </c>
      <c r="P300" s="11" t="str">
        <f>IF(H300="","",IF(I300&lt;&gt;"",IF(I300-H300&lt;30,"No","Sí"),IF(TODAY()-H300&gt;=30,"Sí","En curso")))</f>
        <v/>
      </c>
      <c r="Q300" s="11" t="str">
        <f>IF(H300="","",IF(I300&lt;&gt;"",IF(I300-H300&lt;60,"No","Sí"),IF(TODAY()-H300&gt;=60,"Sí","En curso")))</f>
        <v/>
      </c>
      <c r="R300" s="11" t="str">
        <f>IF(H300="","",IF(I300&lt;&gt;"","Baja",IF(AND(TODAY()-H300&gt;=7,J300=""),"Falta check-in semana 1",IF(AND(TODAY()-H300&gt;=21,L300=""),"Falta check-in semana 3",""))))</f>
        <v/>
      </c>
    </row>
    <row r="301">
      <c r="A301" s="7"/>
      <c r="B301" s="7"/>
      <c r="C301" s="7"/>
      <c r="D301" s="7"/>
      <c r="E301" s="7"/>
      <c r="F301" s="15"/>
      <c r="G301" s="7"/>
      <c r="H301" s="14"/>
      <c r="I301" s="14"/>
      <c r="J301" s="14"/>
      <c r="K301" s="7"/>
      <c r="L301" s="14"/>
      <c r="M301" s="7"/>
      <c r="N301" s="7"/>
      <c r="O301" s="11" t="str">
        <f>IF(H301="","",IF(I301&lt;&gt;"",I301,TODAY())-H301)</f>
        <v/>
      </c>
      <c r="P301" s="11" t="str">
        <f>IF(H301="","",IF(I301&lt;&gt;"",IF(I301-H301&lt;30,"No","Sí"),IF(TODAY()-H301&gt;=30,"Sí","En curso")))</f>
        <v/>
      </c>
      <c r="Q301" s="11" t="str">
        <f>IF(H301="","",IF(I301&lt;&gt;"",IF(I301-H301&lt;60,"No","Sí"),IF(TODAY()-H301&gt;=60,"Sí","En curso")))</f>
        <v/>
      </c>
      <c r="R301" s="11" t="str">
        <f>IF(H301="","",IF(I301&lt;&gt;"","Baja",IF(AND(TODAY()-H301&gt;=7,J301=""),"Falta check-in semana 1",IF(AND(TODAY()-H301&gt;=21,L301=""),"Falta check-in semana 3",""))))</f>
        <v/>
      </c>
    </row>
    <row r="302">
      <c r="A302" s="7"/>
      <c r="B302" s="7"/>
      <c r="C302" s="7"/>
      <c r="D302" s="7"/>
      <c r="E302" s="7"/>
      <c r="F302" s="15"/>
      <c r="G302" s="7"/>
      <c r="H302" s="14"/>
      <c r="I302" s="14"/>
      <c r="J302" s="14"/>
      <c r="K302" s="7"/>
      <c r="L302" s="14"/>
      <c r="M302" s="7"/>
      <c r="N302" s="7"/>
      <c r="O302" s="11" t="str">
        <f>IF(H302="","",IF(I302&lt;&gt;"",I302,TODAY())-H302)</f>
        <v/>
      </c>
      <c r="P302" s="11" t="str">
        <f>IF(H302="","",IF(I302&lt;&gt;"",IF(I302-H302&lt;30,"No","Sí"),IF(TODAY()-H302&gt;=30,"Sí","En curso")))</f>
        <v/>
      </c>
      <c r="Q302" s="11" t="str">
        <f>IF(H302="","",IF(I302&lt;&gt;"",IF(I302-H302&lt;60,"No","Sí"),IF(TODAY()-H302&gt;=60,"Sí","En curso")))</f>
        <v/>
      </c>
      <c r="R302" s="11" t="str">
        <f>IF(H302="","",IF(I302&lt;&gt;"","Baja",IF(AND(TODAY()-H302&gt;=7,J302=""),"Falta check-in semana 1",IF(AND(TODAY()-H302&gt;=21,L302=""),"Falta check-in semana 3",""))))</f>
        <v/>
      </c>
    </row>
    <row r="303">
      <c r="A303" s="7"/>
      <c r="B303" s="7"/>
      <c r="C303" s="7"/>
      <c r="D303" s="7"/>
      <c r="E303" s="7"/>
      <c r="F303" s="15"/>
      <c r="G303" s="7"/>
      <c r="H303" s="14"/>
      <c r="I303" s="14"/>
      <c r="J303" s="14"/>
      <c r="K303" s="7"/>
      <c r="L303" s="14"/>
      <c r="M303" s="7"/>
      <c r="N303" s="7"/>
      <c r="O303" s="11" t="str">
        <f>IF(H303="","",IF(I303&lt;&gt;"",I303,TODAY())-H303)</f>
        <v/>
      </c>
      <c r="P303" s="11" t="str">
        <f>IF(H303="","",IF(I303&lt;&gt;"",IF(I303-H303&lt;30,"No","Sí"),IF(TODAY()-H303&gt;=30,"Sí","En curso")))</f>
        <v/>
      </c>
      <c r="Q303" s="11" t="str">
        <f>IF(H303="","",IF(I303&lt;&gt;"",IF(I303-H303&lt;60,"No","Sí"),IF(TODAY()-H303&gt;=60,"Sí","En curso")))</f>
        <v/>
      </c>
      <c r="R303" s="11" t="str">
        <f>IF(H303="","",IF(I303&lt;&gt;"","Baja",IF(AND(TODAY()-H303&gt;=7,J303=""),"Falta check-in semana 1",IF(AND(TODAY()-H303&gt;=21,L303=""),"Falta check-in semana 3",""))))</f>
        <v/>
      </c>
    </row>
    <row r="304">
      <c r="A304" s="7"/>
      <c r="B304" s="7"/>
      <c r="C304" s="7"/>
      <c r="D304" s="7"/>
      <c r="E304" s="7"/>
      <c r="F304" s="15"/>
      <c r="G304" s="7"/>
      <c r="H304" s="14"/>
      <c r="I304" s="14"/>
      <c r="J304" s="14"/>
      <c r="K304" s="7"/>
      <c r="L304" s="14"/>
      <c r="M304" s="7"/>
      <c r="N304" s="7"/>
      <c r="O304" s="11" t="str">
        <f>IF(H304="","",IF(I304&lt;&gt;"",I304,TODAY())-H304)</f>
        <v/>
      </c>
      <c r="P304" s="11" t="str">
        <f>IF(H304="","",IF(I304&lt;&gt;"",IF(I304-H304&lt;30,"No","Sí"),IF(TODAY()-H304&gt;=30,"Sí","En curso")))</f>
        <v/>
      </c>
      <c r="Q304" s="11" t="str">
        <f>IF(H304="","",IF(I304&lt;&gt;"",IF(I304-H304&lt;60,"No","Sí"),IF(TODAY()-H304&gt;=60,"Sí","En curso")))</f>
        <v/>
      </c>
      <c r="R304" s="11" t="str">
        <f>IF(H304="","",IF(I304&lt;&gt;"","Baja",IF(AND(TODAY()-H304&gt;=7,J304=""),"Falta check-in semana 1",IF(AND(TODAY()-H304&gt;=21,L304=""),"Falta check-in semana 3",""))))</f>
        <v/>
      </c>
    </row>
  </sheetData>
  <autoFilter ref="A4:R304"/>
  <conditionalFormatting sqref="P5:Q304">
    <cfRule type="expression" dxfId="5" priority="1">
      <formula>P5="No"</formula>
    </cfRule>
  </conditionalFormatting>
  <conditionalFormatting sqref="R5:R304">
    <cfRule type="expression" dxfId="6" priority="2">
      <formula>LEFT(R5,5)="Falta"</formula>
    </cfRule>
  </conditionalFormatting>
  <conditionalFormatting sqref="R5:R304">
    <cfRule type="expression" dxfId="5" priority="3">
      <formula>R5="Baja"</formula>
    </cfRule>
  </conditionalFormatting>
  <dataValidations count="3">
    <dataValidation type="list" allowBlank="1" showErrorMessage="1" errorStyle="warning" errorTitle="Valor fuera de catálogo" error="Usa un valor de la lista para que el tablero lo cuente." sqref="C5:C304">
      <formula1>L_Programa</formula1>
    </dataValidation>
    <dataValidation type="list" allowBlank="1" showErrorMessage="1" errorStyle="warning" errorTitle="Valor fuera de catálogo" error="Usa un valor de la lista para que el tablero lo cuente." sqref="G5:G304">
      <formula1>L_Canal</formula1>
    </dataValidation>
    <dataValidation type="list" allowBlank="1" showErrorMessage="1" errorStyle="warning" errorTitle="Valor fuera de catálogo" error="Usa un valor de la lista para que el tablero lo cuente." sqref="N5:N304">
      <formula1>L_MotivoBaja</formula1>
    </dataValidation>
  </dataValidations>
  <pageMargins left="0.5" right="0.5" top="0.6" bottom="0.6" header="0.3" footer="0.3"/>
  <pageSetup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C00000"/>
  </sheetPr>
  <dimension ref="A1:S306"/>
  <sheetViews>
    <sheetView workbookViewId="0" zoomScale="100">
      <pane xSplit="3" ySplit="4" topLeftCell="D5" activePane="bottomRight" state="frozen"/>
      <selection pane="bottomRight" activeCell="D5" sqref="D5"/>
    </sheetView>
  </sheetViews>
  <sheetFormatPr defaultRowHeight="15"/>
  <cols>
    <col min="1" max="1" width="9" customWidth="1"/>
    <col min="2" max="2" width="12" customWidth="1"/>
    <col min="3" max="3" width="28" customWidth="1"/>
    <col min="4" max="4" width="13" customWidth="1"/>
    <col min="5" max="5" width="12" customWidth="1"/>
    <col min="6" max="6" width="28" customWidth="1"/>
    <col min="7" max="7" width="15" customWidth="1"/>
    <col min="8" max="8" width="12" customWidth="1"/>
    <col min="9" max="9" width="12" customWidth="1"/>
    <col min="10" max="10" width="12" customWidth="1"/>
    <col min="11" max="11" width="12" customWidth="1"/>
    <col min="12" max="12" width="40" customWidth="1"/>
    <col min="13" max="13" width="12" customWidth="1"/>
    <col min="14" max="14" width="11" customWidth="1"/>
    <col min="15" max="15" width="14" customWidth="1"/>
    <col min="16" max="16" width="13" customWidth="1"/>
    <col min="17" max="17" width="32" customWidth="1"/>
    <col min="18" max="18" width="9" customWidth="1"/>
    <col min="19" max="19" width="11" customWidth="1"/>
  </cols>
  <sheetData>
    <row r="1">
      <c r="A1" s="1" t="inlineStr">
        <is>
          <t>Registro de bajas</t>
        </is>
      </c>
    </row>
    <row r="2">
      <c r="A2" s="2" t="inlineStr">
        <is>
          <t>Mismas columnas que el registro de deserción actual, más cuatro campos para medir retención: mensualidad, horario, días inscrito y si hubo contacto antes de la baja.</t>
        </is>
      </c>
    </row>
    <row r="4" ht="48" customHeight="1">
      <c r="A4" s="6" t="inlineStr">
        <is>
          <t>ID</t>
        </is>
      </c>
      <c r="B4" s="6" t="inlineStr">
        <is>
          <t>Fecha de baja</t>
        </is>
      </c>
      <c r="C4" s="6" t="inlineStr">
        <is>
          <t>Nombre / ID alumno</t>
        </is>
      </c>
      <c r="D4" s="6" t="inlineStr">
        <is>
          <t>Categoría</t>
        </is>
      </c>
      <c r="E4" s="6" t="inlineStr">
        <is>
          <t>Fecha de ingreso</t>
        </is>
      </c>
      <c r="F4" s="6" t="inlineStr">
        <is>
          <t>Motivo de baja</t>
        </is>
      </c>
      <c r="G4" s="6" t="inlineStr">
        <is>
          <t>Estatus de baja</t>
        </is>
      </c>
      <c r="H4" s="6" t="inlineStr">
        <is>
          <t>Último contacto</t>
        </is>
      </c>
      <c r="I4" s="6" t="inlineStr">
        <is>
          <t>Posibilidad de retorno</t>
        </is>
      </c>
      <c r="J4" s="6" t="inlineStr">
        <is>
          <t>Próximo seguimiento</t>
        </is>
      </c>
      <c r="K4" s="6" t="inlineStr">
        <is>
          <t>Responsable</t>
        </is>
      </c>
      <c r="L4" s="6" t="inlineStr">
        <is>
          <t>Acción / comentarios</t>
        </is>
      </c>
      <c r="M4" s="6" t="inlineStr">
        <is>
          <t>Fecha de regreso</t>
        </is>
      </c>
      <c r="N4" s="24" t="inlineStr">
        <is>
          <t>Mensualidad</t>
        </is>
      </c>
      <c r="O4" s="24" t="inlineStr">
        <is>
          <t>Horario</t>
        </is>
      </c>
      <c r="P4" s="24" t="inlineStr">
        <is>
          <t>¿Hubo contacto antes de la baja?</t>
        </is>
      </c>
      <c r="Q4" s="24" t="inlineStr">
        <is>
          <t>Detalle del motivo (obligatorio si es "Temas personales")</t>
        </is>
      </c>
      <c r="R4" s="20" t="inlineStr">
        <is>
          <t>Días inscrito</t>
        </is>
      </c>
      <c r="S4" s="20" t="inlineStr">
        <is>
          <t>Baja temprana (&lt; 30 días)</t>
        </is>
      </c>
    </row>
    <row r="5">
      <c r="A5" s="7" t="inlineStr">
        <is>
          <t>KSO60</t>
        </is>
      </c>
      <c r="B5" s="14">
        <v>46296</v>
      </c>
      <c r="C5" s="7" t="inlineStr">
        <is>
          <t>Kevin Noé Chavez Salguero</t>
        </is>
      </c>
      <c r="D5" s="7" t="inlineStr">
        <is>
          <t>Kids</t>
        </is>
      </c>
      <c r="E5" s="14">
        <v>45926</v>
      </c>
      <c r="F5" s="7" t="inlineStr">
        <is>
          <t>Falta de tiempo</t>
        </is>
      </c>
      <c r="G5" s="7" t="inlineStr">
        <is>
          <t>Baja definitiva</t>
        </is>
      </c>
      <c r="H5" s="14">
        <v>46296</v>
      </c>
      <c r="I5" s="7" t="inlineStr">
        <is>
          <t>Baja</t>
        </is>
      </c>
      <c r="J5" s="14">
        <v>46327</v>
      </c>
      <c r="K5" s="7" t="inlineStr">
        <is>
          <t>KATH</t>
        </is>
      </c>
      <c r="L5" s="7" t="inlineStr">
        <is>
          <t>Mensaje: Recordatorio para volver a ser parte de la comunidad</t>
        </is>
      </c>
      <c r="M5" s="14"/>
      <c r="N5" s="15">
        <v>700</v>
      </c>
      <c r="O5" s="7" t="inlineStr">
        <is>
          <t>Mañana</t>
        </is>
      </c>
      <c r="P5" s="7" t="inlineStr">
        <is>
          <t>No</t>
        </is>
      </c>
      <c r="Q5" s="7"/>
      <c r="R5" s="11">
        <f>IF(OR(B5="",E5=""),"",B5-E5)</f>
        <v>370</v>
      </c>
      <c r="S5" s="11" t="str">
        <f>IF(R5="","",IF(R5&lt;30,"Sí","No"))</f>
        <v>No</v>
      </c>
    </row>
    <row r="6">
      <c r="A6" s="7" t="inlineStr">
        <is>
          <t>ALV104</t>
        </is>
      </c>
      <c r="B6" s="14">
        <v>46297</v>
      </c>
      <c r="C6" s="7" t="inlineStr">
        <is>
          <t>Arantza Sofía Vargas Lara</t>
        </is>
      </c>
      <c r="D6" s="7" t="inlineStr">
        <is>
          <t>Kids</t>
        </is>
      </c>
      <c r="E6" s="14">
        <v>46077</v>
      </c>
      <c r="F6" s="7" t="inlineStr">
        <is>
          <t>Problemas de transporte/distancia</t>
        </is>
      </c>
      <c r="G6" s="7" t="inlineStr">
        <is>
          <t>Baja definitiva</t>
        </is>
      </c>
      <c r="H6" s="14">
        <v>46297</v>
      </c>
      <c r="I6" s="7" t="inlineStr">
        <is>
          <t>Alta</t>
        </is>
      </c>
      <c r="J6" s="14">
        <v>46327</v>
      </c>
      <c r="K6" s="7" t="inlineStr">
        <is>
          <t>KATH</t>
        </is>
      </c>
      <c r="L6" s="7" t="inlineStr">
        <is>
          <t>Mensaje: Retomar sus clases.</t>
        </is>
      </c>
      <c r="M6" s="14"/>
      <c r="N6" s="15">
        <v>800</v>
      </c>
      <c r="O6" s="7" t="inlineStr">
        <is>
          <t>Tarde</t>
        </is>
      </c>
      <c r="P6" s="7" t="inlineStr">
        <is>
          <t>No</t>
        </is>
      </c>
      <c r="Q6" s="7"/>
      <c r="R6" s="11">
        <f>IF(OR(B6="",E6=""),"",B6-E6)</f>
        <v>220</v>
      </c>
      <c r="S6" s="11" t="str">
        <f>IF(R6="","",IF(R6&lt;30,"Sí","No"))</f>
        <v>No</v>
      </c>
    </row>
    <row r="7">
      <c r="A7" s="7" t="inlineStr">
        <is>
          <t>LFL191</t>
        </is>
      </c>
      <c r="B7" s="14">
        <v>46301</v>
      </c>
      <c r="C7" s="7" t="inlineStr">
        <is>
          <t>Lianne Osmara Flores Lopez</t>
        </is>
      </c>
      <c r="D7" s="7" t="inlineStr">
        <is>
          <t>College</t>
        </is>
      </c>
      <c r="E7" s="14">
        <v>46290</v>
      </c>
      <c r="F7" s="7" t="inlineStr">
        <is>
          <t>Temas personales o familiares</t>
        </is>
      </c>
      <c r="G7" s="7" t="inlineStr">
        <is>
          <t>Baja temporal</t>
        </is>
      </c>
      <c r="H7" s="14">
        <v>46301</v>
      </c>
      <c r="I7" s="7" t="inlineStr">
        <is>
          <t>Alta</t>
        </is>
      </c>
      <c r="J7" s="14">
        <v>46327</v>
      </c>
      <c r="K7" s="7" t="inlineStr">
        <is>
          <t>KATH</t>
        </is>
      </c>
      <c r="L7" s="7" t="inlineStr">
        <is>
          <t>Mensaje:Retomar sus clases y horarios disponibles.</t>
        </is>
      </c>
      <c r="M7" s="14"/>
      <c r="N7" s="15">
        <v>750</v>
      </c>
      <c r="O7" s="7" t="inlineStr">
        <is>
          <t>Sin dato</t>
        </is>
      </c>
      <c r="P7" s="7" t="inlineStr">
        <is>
          <t>No</t>
        </is>
      </c>
      <c r="Q7" s="7"/>
      <c r="R7" s="11">
        <f>IF(OR(B7="",E7=""),"",B7-E7)</f>
        <v>11</v>
      </c>
      <c r="S7" s="11" t="str">
        <f>IF(R7="","",IF(R7&lt;30,"Sí","No"))</f>
        <v>Sí</v>
      </c>
    </row>
    <row r="8">
      <c r="A8" s="7" t="inlineStr">
        <is>
          <t>LVA131</t>
        </is>
      </c>
      <c r="B8" s="14">
        <v>46301</v>
      </c>
      <c r="C8" s="7" t="inlineStr">
        <is>
          <t>Luisa Fernanda Villareal Andrade</t>
        </is>
      </c>
      <c r="D8" s="7" t="inlineStr">
        <is>
          <t>Kids</t>
        </is>
      </c>
      <c r="E8" s="14">
        <v>46181</v>
      </c>
      <c r="F8" s="7" t="inlineStr">
        <is>
          <t>Falta de tiempo</t>
        </is>
      </c>
      <c r="G8" s="7" t="inlineStr">
        <is>
          <t>Baja definitiva</t>
        </is>
      </c>
      <c r="H8" s="14">
        <v>46301</v>
      </c>
      <c r="I8" s="7" t="inlineStr">
        <is>
          <t>Alta</t>
        </is>
      </c>
      <c r="J8" s="14">
        <v>46327</v>
      </c>
      <c r="K8" s="7" t="inlineStr">
        <is>
          <t>KATH</t>
        </is>
      </c>
      <c r="L8" s="7" t="inlineStr">
        <is>
          <t>Mensaje: Retomar sus clases con alguna promocion y propuesta de horarios.</t>
        </is>
      </c>
      <c r="M8" s="14"/>
      <c r="N8" s="15">
        <v>800</v>
      </c>
      <c r="O8" s="7" t="inlineStr">
        <is>
          <t>Tarde</t>
        </is>
      </c>
      <c r="P8" s="7" t="inlineStr">
        <is>
          <t>No</t>
        </is>
      </c>
      <c r="Q8" s="7"/>
      <c r="R8" s="11">
        <f>IF(OR(B8="",E8=""),"",B8-E8)</f>
        <v>120</v>
      </c>
      <c r="S8" s="11" t="str">
        <f>IF(R8="","",IF(R8&lt;30,"Sí","No"))</f>
        <v>No</v>
      </c>
    </row>
    <row r="9">
      <c r="A9" s="7" t="inlineStr">
        <is>
          <t>JCO188</t>
        </is>
      </c>
      <c r="B9" s="14">
        <v>46304</v>
      </c>
      <c r="C9" s="7" t="inlineStr">
        <is>
          <t>José Luis Campa Ortíz</t>
        </is>
      </c>
      <c r="D9" s="7" t="inlineStr">
        <is>
          <t>College</t>
        </is>
      </c>
      <c r="E9" s="14">
        <v>46287</v>
      </c>
      <c r="F9" s="7" t="inlineStr">
        <is>
          <t>Preferí otra escuela</t>
        </is>
      </c>
      <c r="G9" s="7" t="inlineStr">
        <is>
          <t>Baja definitiva</t>
        </is>
      </c>
      <c r="H9" s="14">
        <v>46304</v>
      </c>
      <c r="I9" s="7" t="inlineStr">
        <is>
          <t>Baja</t>
        </is>
      </c>
      <c r="J9" s="14">
        <v>46327</v>
      </c>
      <c r="K9" s="7" t="inlineStr">
        <is>
          <t>KATH</t>
        </is>
      </c>
      <c r="L9" s="7"/>
      <c r="M9" s="14"/>
      <c r="N9" s="15">
        <v>800</v>
      </c>
      <c r="O9" s="7" t="inlineStr">
        <is>
          <t>Mañana</t>
        </is>
      </c>
      <c r="P9" s="7" t="inlineStr">
        <is>
          <t>No</t>
        </is>
      </c>
      <c r="Q9" s="7"/>
      <c r="R9" s="11">
        <f>IF(OR(B9="",E9=""),"",B9-E9)</f>
        <v>17</v>
      </c>
      <c r="S9" s="11" t="str">
        <f>IF(R9="","",IF(R9&lt;30,"Sí","No"))</f>
        <v>Sí</v>
      </c>
    </row>
    <row r="10">
      <c r="A10" s="7" t="inlineStr">
        <is>
          <t>PRJ196</t>
        </is>
      </c>
      <c r="B10" s="14">
        <v>46308</v>
      </c>
      <c r="C10" s="7" t="inlineStr">
        <is>
          <t xml:space="preserve">Paula Rodriguez </t>
        </is>
      </c>
      <c r="D10" s="7" t="inlineStr">
        <is>
          <t>College</t>
        </is>
      </c>
      <c r="E10" s="14">
        <v>46297</v>
      </c>
      <c r="F10" s="7" t="inlineStr">
        <is>
          <t>Temas personales o familiares</t>
        </is>
      </c>
      <c r="G10" s="7" t="inlineStr">
        <is>
          <t>Baja temporal</t>
        </is>
      </c>
      <c r="H10" s="14">
        <v>46308</v>
      </c>
      <c r="I10" s="7" t="inlineStr">
        <is>
          <t>Media</t>
        </is>
      </c>
      <c r="J10" s="14">
        <v>46327</v>
      </c>
      <c r="K10" s="7" t="inlineStr">
        <is>
          <t>KATH</t>
        </is>
      </c>
      <c r="L10" s="7" t="inlineStr">
        <is>
          <t>Mensaje: Recordatorio para volver a ser parte de la comunidad</t>
        </is>
      </c>
      <c r="M10" s="14"/>
      <c r="N10" s="15">
        <v>800</v>
      </c>
      <c r="O10" s="7" t="inlineStr">
        <is>
          <t>Sin dato</t>
        </is>
      </c>
      <c r="P10" s="7" t="inlineStr">
        <is>
          <t>No</t>
        </is>
      </c>
      <c r="Q10" s="7"/>
      <c r="R10" s="11">
        <f>IF(OR(B10="",E10=""),"",B10-E10)</f>
        <v>11</v>
      </c>
      <c r="S10" s="11" t="str">
        <f>IF(R10="","",IF(R10&lt;30,"Sí","No"))</f>
        <v>Sí</v>
      </c>
    </row>
    <row r="11">
      <c r="A11" s="7" t="inlineStr">
        <is>
          <t>MLH133</t>
        </is>
      </c>
      <c r="B11" s="14">
        <v>46309</v>
      </c>
      <c r="C11" s="7" t="inlineStr">
        <is>
          <t>Montserrat Lugo</t>
        </is>
      </c>
      <c r="D11" s="7" t="inlineStr">
        <is>
          <t>Certifications</t>
        </is>
      </c>
      <c r="E11" s="14">
        <v>46181</v>
      </c>
      <c r="F11" s="7" t="inlineStr">
        <is>
          <t>Económicos</t>
        </is>
      </c>
      <c r="G11" s="7" t="inlineStr">
        <is>
          <t>Baja temporal</t>
        </is>
      </c>
      <c r="H11" s="14">
        <v>46309</v>
      </c>
      <c r="I11" s="7" t="inlineStr">
        <is>
          <t>Alta</t>
        </is>
      </c>
      <c r="J11" s="14">
        <v>46327</v>
      </c>
      <c r="K11" s="7" t="inlineStr">
        <is>
          <t>KATH</t>
        </is>
      </c>
      <c r="L11" s="7" t="inlineStr">
        <is>
          <t>Mensaje: Retomar sus clases.</t>
        </is>
      </c>
      <c r="M11" s="14"/>
      <c r="N11" s="15">
        <v>800</v>
      </c>
      <c r="O11" s="7" t="inlineStr">
        <is>
          <t>Mañana</t>
        </is>
      </c>
      <c r="P11" s="7" t="inlineStr">
        <is>
          <t>No</t>
        </is>
      </c>
      <c r="Q11" s="7"/>
      <c r="R11" s="11">
        <f>IF(OR(B11="",E11=""),"",B11-E11)</f>
        <v>128</v>
      </c>
      <c r="S11" s="11" t="str">
        <f>IF(R11="","",IF(R11&lt;30,"Sí","No"))</f>
        <v>No</v>
      </c>
    </row>
    <row r="12">
      <c r="A12" s="7" t="inlineStr">
        <is>
          <t>MCC079</t>
        </is>
      </c>
      <c r="B12" s="14">
        <v>46309</v>
      </c>
      <c r="C12" s="7" t="inlineStr">
        <is>
          <t>María Cristina Carrillo</t>
        </is>
      </c>
      <c r="D12" s="7" t="inlineStr">
        <is>
          <t>College</t>
        </is>
      </c>
      <c r="E12" s="14">
        <v>45825</v>
      </c>
      <c r="F12" s="7" t="inlineStr">
        <is>
          <t>Temas personales o familiares</t>
        </is>
      </c>
      <c r="G12" s="7" t="inlineStr">
        <is>
          <t>Baja temporal</t>
        </is>
      </c>
      <c r="H12" s="14">
        <v>46309</v>
      </c>
      <c r="I12" s="7" t="inlineStr">
        <is>
          <t>Alta</t>
        </is>
      </c>
      <c r="J12" s="14">
        <v>46327</v>
      </c>
      <c r="K12" s="7" t="inlineStr">
        <is>
          <t>KATH</t>
        </is>
      </c>
      <c r="L12" s="7" t="inlineStr">
        <is>
          <t>Mensaje: Retomar sus clases.</t>
        </is>
      </c>
      <c r="M12" s="14"/>
      <c r="N12" s="15">
        <v>0</v>
      </c>
      <c r="O12" s="7" t="inlineStr">
        <is>
          <t>Mañana</t>
        </is>
      </c>
      <c r="P12" s="7" t="inlineStr">
        <is>
          <t>No</t>
        </is>
      </c>
      <c r="Q12" s="7" t="inlineStr">
        <is>
          <t>Beca (mensualidad $0 en la base)</t>
        </is>
      </c>
      <c r="R12" s="11">
        <f>IF(OR(B12="",E12=""),"",B12-E12)</f>
        <v>484</v>
      </c>
      <c r="S12" s="11" t="str">
        <f>IF(R12="","",IF(R12&lt;30,"Sí","No"))</f>
        <v>No</v>
      </c>
    </row>
    <row r="13">
      <c r="A13" s="7" t="inlineStr">
        <is>
          <t>ILL1</t>
        </is>
      </c>
      <c r="B13" s="14">
        <v>46311</v>
      </c>
      <c r="C13" s="7" t="inlineStr">
        <is>
          <t>Irma Imelda Luna Lira</t>
        </is>
      </c>
      <c r="D13" s="7" t="inlineStr">
        <is>
          <t>College</t>
        </is>
      </c>
      <c r="E13" s="14">
        <v>46297</v>
      </c>
      <c r="F13" s="7" t="inlineStr">
        <is>
          <t>Horarios</t>
        </is>
      </c>
      <c r="G13" s="7" t="inlineStr">
        <is>
          <t>Baja definitiva</t>
        </is>
      </c>
      <c r="H13" s="14">
        <v>46311</v>
      </c>
      <c r="I13" s="7" t="inlineStr">
        <is>
          <t>Baja</t>
        </is>
      </c>
      <c r="J13" s="14">
        <v>46327</v>
      </c>
      <c r="K13" s="7" t="inlineStr">
        <is>
          <t>KATH</t>
        </is>
      </c>
      <c r="L13" s="7" t="inlineStr">
        <is>
          <t>Mensaje:Retomar sus clases y horarios disponibles.</t>
        </is>
      </c>
      <c r="M13" s="14"/>
      <c r="N13" s="15">
        <v>800</v>
      </c>
      <c r="O13" s="7" t="inlineStr">
        <is>
          <t>Mañana (CM 10 am)</t>
        </is>
      </c>
      <c r="P13" s="7" t="inlineStr">
        <is>
          <t>No</t>
        </is>
      </c>
      <c r="Q13" s="7"/>
      <c r="R13" s="11">
        <f>IF(OR(B13="",E13=""),"",B13-E13)</f>
        <v>14</v>
      </c>
      <c r="S13" s="11" t="str">
        <f>IF(R13="","",IF(R13&lt;30,"Sí","No"))</f>
        <v>Sí</v>
      </c>
    </row>
    <row r="14">
      <c r="A14" s="7"/>
      <c r="B14" s="14"/>
      <c r="C14" s="7"/>
      <c r="D14" s="7"/>
      <c r="E14" s="14"/>
      <c r="F14" s="7"/>
      <c r="G14" s="7"/>
      <c r="H14" s="14"/>
      <c r="I14" s="7"/>
      <c r="J14" s="14"/>
      <c r="K14" s="7"/>
      <c r="L14" s="7"/>
      <c r="M14" s="14"/>
      <c r="N14" s="15"/>
      <c r="O14" s="7"/>
      <c r="P14" s="7"/>
      <c r="Q14" s="7"/>
      <c r="R14" s="11" t="str">
        <f>IF(OR(B14="",E14=""),"",B14-E14)</f>
        <v/>
      </c>
      <c r="S14" s="11" t="str">
        <f>IF(R14="","",IF(R14&lt;30,"Sí","No"))</f>
        <v/>
      </c>
    </row>
    <row r="15">
      <c r="A15" s="7"/>
      <c r="B15" s="14"/>
      <c r="C15" s="7"/>
      <c r="D15" s="7"/>
      <c r="E15" s="14"/>
      <c r="F15" s="7"/>
      <c r="G15" s="7"/>
      <c r="H15" s="14"/>
      <c r="I15" s="7"/>
      <c r="J15" s="14"/>
      <c r="K15" s="7"/>
      <c r="L15" s="7"/>
      <c r="M15" s="14"/>
      <c r="N15" s="15"/>
      <c r="O15" s="7"/>
      <c r="P15" s="7"/>
      <c r="Q15" s="7"/>
      <c r="R15" s="11" t="str">
        <f>IF(OR(B15="",E15=""),"",B15-E15)</f>
        <v/>
      </c>
      <c r="S15" s="11" t="str">
        <f>IF(R15="","",IF(R15&lt;30,"Sí","No"))</f>
        <v/>
      </c>
    </row>
    <row r="16">
      <c r="A16" s="7"/>
      <c r="B16" s="14"/>
      <c r="C16" s="7"/>
      <c r="D16" s="7"/>
      <c r="E16" s="14"/>
      <c r="F16" s="7"/>
      <c r="G16" s="7"/>
      <c r="H16" s="14"/>
      <c r="I16" s="7"/>
      <c r="J16" s="14"/>
      <c r="K16" s="7"/>
      <c r="L16" s="7"/>
      <c r="M16" s="14"/>
      <c r="N16" s="15"/>
      <c r="O16" s="7"/>
      <c r="P16" s="7"/>
      <c r="Q16" s="7"/>
      <c r="R16" s="11" t="str">
        <f>IF(OR(B16="",E16=""),"",B16-E16)</f>
        <v/>
      </c>
      <c r="S16" s="11" t="str">
        <f>IF(R16="","",IF(R16&lt;30,"Sí","No"))</f>
        <v/>
      </c>
    </row>
    <row r="17">
      <c r="A17" s="7"/>
      <c r="B17" s="14"/>
      <c r="C17" s="7"/>
      <c r="D17" s="7"/>
      <c r="E17" s="14"/>
      <c r="F17" s="7"/>
      <c r="G17" s="7"/>
      <c r="H17" s="14"/>
      <c r="I17" s="7"/>
      <c r="J17" s="14"/>
      <c r="K17" s="7"/>
      <c r="L17" s="7"/>
      <c r="M17" s="14"/>
      <c r="N17" s="15"/>
      <c r="O17" s="7"/>
      <c r="P17" s="7"/>
      <c r="Q17" s="7"/>
      <c r="R17" s="11" t="str">
        <f>IF(OR(B17="",E17=""),"",B17-E17)</f>
        <v/>
      </c>
      <c r="S17" s="11" t="str">
        <f>IF(R17="","",IF(R17&lt;30,"Sí","No"))</f>
        <v/>
      </c>
    </row>
    <row r="18">
      <c r="A18" s="7"/>
      <c r="B18" s="14"/>
      <c r="C18" s="7"/>
      <c r="D18" s="7"/>
      <c r="E18" s="14"/>
      <c r="F18" s="7"/>
      <c r="G18" s="7"/>
      <c r="H18" s="14"/>
      <c r="I18" s="7"/>
      <c r="J18" s="14"/>
      <c r="K18" s="7"/>
      <c r="L18" s="7"/>
      <c r="M18" s="14"/>
      <c r="N18" s="15"/>
      <c r="O18" s="7"/>
      <c r="P18" s="7"/>
      <c r="Q18" s="7"/>
      <c r="R18" s="11" t="str">
        <f>IF(OR(B18="",E18=""),"",B18-E18)</f>
        <v/>
      </c>
      <c r="S18" s="11" t="str">
        <f>IF(R18="","",IF(R18&lt;30,"Sí","No"))</f>
        <v/>
      </c>
    </row>
    <row r="19">
      <c r="A19" s="7"/>
      <c r="B19" s="14"/>
      <c r="C19" s="7"/>
      <c r="D19" s="7"/>
      <c r="E19" s="14"/>
      <c r="F19" s="7"/>
      <c r="G19" s="7"/>
      <c r="H19" s="14"/>
      <c r="I19" s="7"/>
      <c r="J19" s="14"/>
      <c r="K19" s="7"/>
      <c r="L19" s="7"/>
      <c r="M19" s="14"/>
      <c r="N19" s="15"/>
      <c r="O19" s="7"/>
      <c r="P19" s="7"/>
      <c r="Q19" s="7"/>
      <c r="R19" s="11" t="str">
        <f>IF(OR(B19="",E19=""),"",B19-E19)</f>
        <v/>
      </c>
      <c r="S19" s="11" t="str">
        <f>IF(R19="","",IF(R19&lt;30,"Sí","No"))</f>
        <v/>
      </c>
    </row>
    <row r="20">
      <c r="A20" s="7"/>
      <c r="B20" s="14"/>
      <c r="C20" s="7"/>
      <c r="D20" s="7"/>
      <c r="E20" s="14"/>
      <c r="F20" s="7"/>
      <c r="G20" s="7"/>
      <c r="H20" s="14"/>
      <c r="I20" s="7"/>
      <c r="J20" s="14"/>
      <c r="K20" s="7"/>
      <c r="L20" s="7"/>
      <c r="M20" s="14"/>
      <c r="N20" s="15"/>
      <c r="O20" s="7"/>
      <c r="P20" s="7"/>
      <c r="Q20" s="7"/>
      <c r="R20" s="11" t="str">
        <f>IF(OR(B20="",E20=""),"",B20-E20)</f>
        <v/>
      </c>
      <c r="S20" s="11" t="str">
        <f>IF(R20="","",IF(R20&lt;30,"Sí","No"))</f>
        <v/>
      </c>
    </row>
    <row r="21">
      <c r="A21" s="7"/>
      <c r="B21" s="14"/>
      <c r="C21" s="7"/>
      <c r="D21" s="7"/>
      <c r="E21" s="14"/>
      <c r="F21" s="7"/>
      <c r="G21" s="7"/>
      <c r="H21" s="14"/>
      <c r="I21" s="7"/>
      <c r="J21" s="14"/>
      <c r="K21" s="7"/>
      <c r="L21" s="7"/>
      <c r="M21" s="14"/>
      <c r="N21" s="15"/>
      <c r="O21" s="7"/>
      <c r="P21" s="7"/>
      <c r="Q21" s="7"/>
      <c r="R21" s="11" t="str">
        <f>IF(OR(B21="",E21=""),"",B21-E21)</f>
        <v/>
      </c>
      <c r="S21" s="11" t="str">
        <f>IF(R21="","",IF(R21&lt;30,"Sí","No"))</f>
        <v/>
      </c>
    </row>
    <row r="22">
      <c r="A22" s="7"/>
      <c r="B22" s="14"/>
      <c r="C22" s="7"/>
      <c r="D22" s="7"/>
      <c r="E22" s="14"/>
      <c r="F22" s="7"/>
      <c r="G22" s="7"/>
      <c r="H22" s="14"/>
      <c r="I22" s="7"/>
      <c r="J22" s="14"/>
      <c r="K22" s="7"/>
      <c r="L22" s="7"/>
      <c r="M22" s="14"/>
      <c r="N22" s="15"/>
      <c r="O22" s="7"/>
      <c r="P22" s="7"/>
      <c r="Q22" s="7"/>
      <c r="R22" s="11" t="str">
        <f>IF(OR(B22="",E22=""),"",B22-E22)</f>
        <v/>
      </c>
      <c r="S22" s="11" t="str">
        <f>IF(R22="","",IF(R22&lt;30,"Sí","No"))</f>
        <v/>
      </c>
    </row>
    <row r="23">
      <c r="A23" s="7"/>
      <c r="B23" s="14"/>
      <c r="C23" s="7"/>
      <c r="D23" s="7"/>
      <c r="E23" s="14"/>
      <c r="F23" s="7"/>
      <c r="G23" s="7"/>
      <c r="H23" s="14"/>
      <c r="I23" s="7"/>
      <c r="J23" s="14"/>
      <c r="K23" s="7"/>
      <c r="L23" s="7"/>
      <c r="M23" s="14"/>
      <c r="N23" s="15"/>
      <c r="O23" s="7"/>
      <c r="P23" s="7"/>
      <c r="Q23" s="7"/>
      <c r="R23" s="11" t="str">
        <f>IF(OR(B23="",E23=""),"",B23-E23)</f>
        <v/>
      </c>
      <c r="S23" s="11" t="str">
        <f>IF(R23="","",IF(R23&lt;30,"Sí","No"))</f>
        <v/>
      </c>
    </row>
    <row r="24">
      <c r="A24" s="7"/>
      <c r="B24" s="14"/>
      <c r="C24" s="7"/>
      <c r="D24" s="7"/>
      <c r="E24" s="14"/>
      <c r="F24" s="7"/>
      <c r="G24" s="7"/>
      <c r="H24" s="14"/>
      <c r="I24" s="7"/>
      <c r="J24" s="14"/>
      <c r="K24" s="7"/>
      <c r="L24" s="7"/>
      <c r="M24" s="14"/>
      <c r="N24" s="15"/>
      <c r="O24" s="7"/>
      <c r="P24" s="7"/>
      <c r="Q24" s="7"/>
      <c r="R24" s="11" t="str">
        <f>IF(OR(B24="",E24=""),"",B24-E24)</f>
        <v/>
      </c>
      <c r="S24" s="11" t="str">
        <f>IF(R24="","",IF(R24&lt;30,"Sí","No"))</f>
        <v/>
      </c>
    </row>
    <row r="25">
      <c r="A25" s="7"/>
      <c r="B25" s="14"/>
      <c r="C25" s="7"/>
      <c r="D25" s="7"/>
      <c r="E25" s="14"/>
      <c r="F25" s="7"/>
      <c r="G25" s="7"/>
      <c r="H25" s="14"/>
      <c r="I25" s="7"/>
      <c r="J25" s="14"/>
      <c r="K25" s="7"/>
      <c r="L25" s="7"/>
      <c r="M25" s="14"/>
      <c r="N25" s="15"/>
      <c r="O25" s="7"/>
      <c r="P25" s="7"/>
      <c r="Q25" s="7"/>
      <c r="R25" s="11" t="str">
        <f>IF(OR(B25="",E25=""),"",B25-E25)</f>
        <v/>
      </c>
      <c r="S25" s="11" t="str">
        <f>IF(R25="","",IF(R25&lt;30,"Sí","No"))</f>
        <v/>
      </c>
    </row>
    <row r="26">
      <c r="A26" s="7"/>
      <c r="B26" s="14"/>
      <c r="C26" s="7"/>
      <c r="D26" s="7"/>
      <c r="E26" s="14"/>
      <c r="F26" s="7"/>
      <c r="G26" s="7"/>
      <c r="H26" s="14"/>
      <c r="I26" s="7"/>
      <c r="J26" s="14"/>
      <c r="K26" s="7"/>
      <c r="L26" s="7"/>
      <c r="M26" s="14"/>
      <c r="N26" s="15"/>
      <c r="O26" s="7"/>
      <c r="P26" s="7"/>
      <c r="Q26" s="7"/>
      <c r="R26" s="11" t="str">
        <f>IF(OR(B26="",E26=""),"",B26-E26)</f>
        <v/>
      </c>
      <c r="S26" s="11" t="str">
        <f>IF(R26="","",IF(R26&lt;30,"Sí","No"))</f>
        <v/>
      </c>
    </row>
    <row r="27">
      <c r="A27" s="7"/>
      <c r="B27" s="14"/>
      <c r="C27" s="7"/>
      <c r="D27" s="7"/>
      <c r="E27" s="14"/>
      <c r="F27" s="7"/>
      <c r="G27" s="7"/>
      <c r="H27" s="14"/>
      <c r="I27" s="7"/>
      <c r="J27" s="14"/>
      <c r="K27" s="7"/>
      <c r="L27" s="7"/>
      <c r="M27" s="14"/>
      <c r="N27" s="15"/>
      <c r="O27" s="7"/>
      <c r="P27" s="7"/>
      <c r="Q27" s="7"/>
      <c r="R27" s="11" t="str">
        <f>IF(OR(B27="",E27=""),"",B27-E27)</f>
        <v/>
      </c>
      <c r="S27" s="11" t="str">
        <f>IF(R27="","",IF(R27&lt;30,"Sí","No"))</f>
        <v/>
      </c>
    </row>
    <row r="28">
      <c r="A28" s="7"/>
      <c r="B28" s="14"/>
      <c r="C28" s="7"/>
      <c r="D28" s="7"/>
      <c r="E28" s="14"/>
      <c r="F28" s="7"/>
      <c r="G28" s="7"/>
      <c r="H28" s="14"/>
      <c r="I28" s="7"/>
      <c r="J28" s="14"/>
      <c r="K28" s="7"/>
      <c r="L28" s="7"/>
      <c r="M28" s="14"/>
      <c r="N28" s="15"/>
      <c r="O28" s="7"/>
      <c r="P28" s="7"/>
      <c r="Q28" s="7"/>
      <c r="R28" s="11" t="str">
        <f>IF(OR(B28="",E28=""),"",B28-E28)</f>
        <v/>
      </c>
      <c r="S28" s="11" t="str">
        <f>IF(R28="","",IF(R28&lt;30,"Sí","No"))</f>
        <v/>
      </c>
    </row>
    <row r="29">
      <c r="A29" s="7"/>
      <c r="B29" s="14"/>
      <c r="C29" s="7"/>
      <c r="D29" s="7"/>
      <c r="E29" s="14"/>
      <c r="F29" s="7"/>
      <c r="G29" s="7"/>
      <c r="H29" s="14"/>
      <c r="I29" s="7"/>
      <c r="J29" s="14"/>
      <c r="K29" s="7"/>
      <c r="L29" s="7"/>
      <c r="M29" s="14"/>
      <c r="N29" s="15"/>
      <c r="O29" s="7"/>
      <c r="P29" s="7"/>
      <c r="Q29" s="7"/>
      <c r="R29" s="11" t="str">
        <f>IF(OR(B29="",E29=""),"",B29-E29)</f>
        <v/>
      </c>
      <c r="S29" s="11" t="str">
        <f>IF(R29="","",IF(R29&lt;30,"Sí","No"))</f>
        <v/>
      </c>
    </row>
    <row r="30">
      <c r="A30" s="7"/>
      <c r="B30" s="14"/>
      <c r="C30" s="7"/>
      <c r="D30" s="7"/>
      <c r="E30" s="14"/>
      <c r="F30" s="7"/>
      <c r="G30" s="7"/>
      <c r="H30" s="14"/>
      <c r="I30" s="7"/>
      <c r="J30" s="14"/>
      <c r="K30" s="7"/>
      <c r="L30" s="7"/>
      <c r="M30" s="14"/>
      <c r="N30" s="15"/>
      <c r="O30" s="7"/>
      <c r="P30" s="7"/>
      <c r="Q30" s="7"/>
      <c r="R30" s="11" t="str">
        <f>IF(OR(B30="",E30=""),"",B30-E30)</f>
        <v/>
      </c>
      <c r="S30" s="11" t="str">
        <f>IF(R30="","",IF(R30&lt;30,"Sí","No"))</f>
        <v/>
      </c>
    </row>
    <row r="31">
      <c r="A31" s="7"/>
      <c r="B31" s="14"/>
      <c r="C31" s="7"/>
      <c r="D31" s="7"/>
      <c r="E31" s="14"/>
      <c r="F31" s="7"/>
      <c r="G31" s="7"/>
      <c r="H31" s="14"/>
      <c r="I31" s="7"/>
      <c r="J31" s="14"/>
      <c r="K31" s="7"/>
      <c r="L31" s="7"/>
      <c r="M31" s="14"/>
      <c r="N31" s="15"/>
      <c r="O31" s="7"/>
      <c r="P31" s="7"/>
      <c r="Q31" s="7"/>
      <c r="R31" s="11" t="str">
        <f>IF(OR(B31="",E31=""),"",B31-E31)</f>
        <v/>
      </c>
      <c r="S31" s="11" t="str">
        <f>IF(R31="","",IF(R31&lt;30,"Sí","No"))</f>
        <v/>
      </c>
    </row>
    <row r="32">
      <c r="A32" s="7"/>
      <c r="B32" s="14"/>
      <c r="C32" s="7"/>
      <c r="D32" s="7"/>
      <c r="E32" s="14"/>
      <c r="F32" s="7"/>
      <c r="G32" s="7"/>
      <c r="H32" s="14"/>
      <c r="I32" s="7"/>
      <c r="J32" s="14"/>
      <c r="K32" s="7"/>
      <c r="L32" s="7"/>
      <c r="M32" s="14"/>
      <c r="N32" s="15"/>
      <c r="O32" s="7"/>
      <c r="P32" s="7"/>
      <c r="Q32" s="7"/>
      <c r="R32" s="11" t="str">
        <f>IF(OR(B32="",E32=""),"",B32-E32)</f>
        <v/>
      </c>
      <c r="S32" s="11" t="str">
        <f>IF(R32="","",IF(R32&lt;30,"Sí","No"))</f>
        <v/>
      </c>
    </row>
    <row r="33">
      <c r="A33" s="7"/>
      <c r="B33" s="14"/>
      <c r="C33" s="7"/>
      <c r="D33" s="7"/>
      <c r="E33" s="14"/>
      <c r="F33" s="7"/>
      <c r="G33" s="7"/>
      <c r="H33" s="14"/>
      <c r="I33" s="7"/>
      <c r="J33" s="14"/>
      <c r="K33" s="7"/>
      <c r="L33" s="7"/>
      <c r="M33" s="14"/>
      <c r="N33" s="15"/>
      <c r="O33" s="7"/>
      <c r="P33" s="7"/>
      <c r="Q33" s="7"/>
      <c r="R33" s="11" t="str">
        <f>IF(OR(B33="",E33=""),"",B33-E33)</f>
        <v/>
      </c>
      <c r="S33" s="11" t="str">
        <f>IF(R33="","",IF(R33&lt;30,"Sí","No"))</f>
        <v/>
      </c>
    </row>
    <row r="34">
      <c r="A34" s="7"/>
      <c r="B34" s="14"/>
      <c r="C34" s="7"/>
      <c r="D34" s="7"/>
      <c r="E34" s="14"/>
      <c r="F34" s="7"/>
      <c r="G34" s="7"/>
      <c r="H34" s="14"/>
      <c r="I34" s="7"/>
      <c r="J34" s="14"/>
      <c r="K34" s="7"/>
      <c r="L34" s="7"/>
      <c r="M34" s="14"/>
      <c r="N34" s="15"/>
      <c r="O34" s="7"/>
      <c r="P34" s="7"/>
      <c r="Q34" s="7"/>
      <c r="R34" s="11" t="str">
        <f>IF(OR(B34="",E34=""),"",B34-E34)</f>
        <v/>
      </c>
      <c r="S34" s="11" t="str">
        <f>IF(R34="","",IF(R34&lt;30,"Sí","No"))</f>
        <v/>
      </c>
    </row>
    <row r="35">
      <c r="A35" s="7"/>
      <c r="B35" s="14"/>
      <c r="C35" s="7"/>
      <c r="D35" s="7"/>
      <c r="E35" s="14"/>
      <c r="F35" s="7"/>
      <c r="G35" s="7"/>
      <c r="H35" s="14"/>
      <c r="I35" s="7"/>
      <c r="J35" s="14"/>
      <c r="K35" s="7"/>
      <c r="L35" s="7"/>
      <c r="M35" s="14"/>
      <c r="N35" s="15"/>
      <c r="O35" s="7"/>
      <c r="P35" s="7"/>
      <c r="Q35" s="7"/>
      <c r="R35" s="11" t="str">
        <f>IF(OR(B35="",E35=""),"",B35-E35)</f>
        <v/>
      </c>
      <c r="S35" s="11" t="str">
        <f>IF(R35="","",IF(R35&lt;30,"Sí","No"))</f>
        <v/>
      </c>
    </row>
    <row r="36">
      <c r="A36" s="7"/>
      <c r="B36" s="14"/>
      <c r="C36" s="7"/>
      <c r="D36" s="7"/>
      <c r="E36" s="14"/>
      <c r="F36" s="7"/>
      <c r="G36" s="7"/>
      <c r="H36" s="14"/>
      <c r="I36" s="7"/>
      <c r="J36" s="14"/>
      <c r="K36" s="7"/>
      <c r="L36" s="7"/>
      <c r="M36" s="14"/>
      <c r="N36" s="15"/>
      <c r="O36" s="7"/>
      <c r="P36" s="7"/>
      <c r="Q36" s="7"/>
      <c r="R36" s="11" t="str">
        <f>IF(OR(B36="",E36=""),"",B36-E36)</f>
        <v/>
      </c>
      <c r="S36" s="11" t="str">
        <f>IF(R36="","",IF(R36&lt;30,"Sí","No"))</f>
        <v/>
      </c>
    </row>
    <row r="37">
      <c r="A37" s="7"/>
      <c r="B37" s="14"/>
      <c r="C37" s="7"/>
      <c r="D37" s="7"/>
      <c r="E37" s="14"/>
      <c r="F37" s="7"/>
      <c r="G37" s="7"/>
      <c r="H37" s="14"/>
      <c r="I37" s="7"/>
      <c r="J37" s="14"/>
      <c r="K37" s="7"/>
      <c r="L37" s="7"/>
      <c r="M37" s="14"/>
      <c r="N37" s="15"/>
      <c r="O37" s="7"/>
      <c r="P37" s="7"/>
      <c r="Q37" s="7"/>
      <c r="R37" s="11" t="str">
        <f>IF(OR(B37="",E37=""),"",B37-E37)</f>
        <v/>
      </c>
      <c r="S37" s="11" t="str">
        <f>IF(R37="","",IF(R37&lt;30,"Sí","No"))</f>
        <v/>
      </c>
    </row>
    <row r="38">
      <c r="A38" s="7"/>
      <c r="B38" s="14"/>
      <c r="C38" s="7"/>
      <c r="D38" s="7"/>
      <c r="E38" s="14"/>
      <c r="F38" s="7"/>
      <c r="G38" s="7"/>
      <c r="H38" s="14"/>
      <c r="I38" s="7"/>
      <c r="J38" s="14"/>
      <c r="K38" s="7"/>
      <c r="L38" s="7"/>
      <c r="M38" s="14"/>
      <c r="N38" s="15"/>
      <c r="O38" s="7"/>
      <c r="P38" s="7"/>
      <c r="Q38" s="7"/>
      <c r="R38" s="11" t="str">
        <f>IF(OR(B38="",E38=""),"",B38-E38)</f>
        <v/>
      </c>
      <c r="S38" s="11" t="str">
        <f>IF(R38="","",IF(R38&lt;30,"Sí","No"))</f>
        <v/>
      </c>
    </row>
    <row r="39">
      <c r="A39" s="7"/>
      <c r="B39" s="14"/>
      <c r="C39" s="7"/>
      <c r="D39" s="7"/>
      <c r="E39" s="14"/>
      <c r="F39" s="7"/>
      <c r="G39" s="7"/>
      <c r="H39" s="14"/>
      <c r="I39" s="7"/>
      <c r="J39" s="14"/>
      <c r="K39" s="7"/>
      <c r="L39" s="7"/>
      <c r="M39" s="14"/>
      <c r="N39" s="15"/>
      <c r="O39" s="7"/>
      <c r="P39" s="7"/>
      <c r="Q39" s="7"/>
      <c r="R39" s="11" t="str">
        <f>IF(OR(B39="",E39=""),"",B39-E39)</f>
        <v/>
      </c>
      <c r="S39" s="11" t="str">
        <f>IF(R39="","",IF(R39&lt;30,"Sí","No"))</f>
        <v/>
      </c>
    </row>
    <row r="40">
      <c r="A40" s="7"/>
      <c r="B40" s="14"/>
      <c r="C40" s="7"/>
      <c r="D40" s="7"/>
      <c r="E40" s="14"/>
      <c r="F40" s="7"/>
      <c r="G40" s="7"/>
      <c r="H40" s="14"/>
      <c r="I40" s="7"/>
      <c r="J40" s="14"/>
      <c r="K40" s="7"/>
      <c r="L40" s="7"/>
      <c r="M40" s="14"/>
      <c r="N40" s="15"/>
      <c r="O40" s="7"/>
      <c r="P40" s="7"/>
      <c r="Q40" s="7"/>
      <c r="R40" s="11" t="str">
        <f>IF(OR(B40="",E40=""),"",B40-E40)</f>
        <v/>
      </c>
      <c r="S40" s="11" t="str">
        <f>IF(R40="","",IF(R40&lt;30,"Sí","No"))</f>
        <v/>
      </c>
    </row>
    <row r="41">
      <c r="A41" s="7"/>
      <c r="B41" s="14"/>
      <c r="C41" s="7"/>
      <c r="D41" s="7"/>
      <c r="E41" s="14"/>
      <c r="F41" s="7"/>
      <c r="G41" s="7"/>
      <c r="H41" s="14"/>
      <c r="I41" s="7"/>
      <c r="J41" s="14"/>
      <c r="K41" s="7"/>
      <c r="L41" s="7"/>
      <c r="M41" s="14"/>
      <c r="N41" s="15"/>
      <c r="O41" s="7"/>
      <c r="P41" s="7"/>
      <c r="Q41" s="7"/>
      <c r="R41" s="11" t="str">
        <f>IF(OR(B41="",E41=""),"",B41-E41)</f>
        <v/>
      </c>
      <c r="S41" s="11" t="str">
        <f>IF(R41="","",IF(R41&lt;30,"Sí","No"))</f>
        <v/>
      </c>
    </row>
    <row r="42">
      <c r="A42" s="7"/>
      <c r="B42" s="14"/>
      <c r="C42" s="7"/>
      <c r="D42" s="7"/>
      <c r="E42" s="14"/>
      <c r="F42" s="7"/>
      <c r="G42" s="7"/>
      <c r="H42" s="14"/>
      <c r="I42" s="7"/>
      <c r="J42" s="14"/>
      <c r="K42" s="7"/>
      <c r="L42" s="7"/>
      <c r="M42" s="14"/>
      <c r="N42" s="15"/>
      <c r="O42" s="7"/>
      <c r="P42" s="7"/>
      <c r="Q42" s="7"/>
      <c r="R42" s="11" t="str">
        <f>IF(OR(B42="",E42=""),"",B42-E42)</f>
        <v/>
      </c>
      <c r="S42" s="11" t="str">
        <f>IF(R42="","",IF(R42&lt;30,"Sí","No"))</f>
        <v/>
      </c>
    </row>
    <row r="43">
      <c r="A43" s="7"/>
      <c r="B43" s="14"/>
      <c r="C43" s="7"/>
      <c r="D43" s="7"/>
      <c r="E43" s="14"/>
      <c r="F43" s="7"/>
      <c r="G43" s="7"/>
      <c r="H43" s="14"/>
      <c r="I43" s="7"/>
      <c r="J43" s="14"/>
      <c r="K43" s="7"/>
      <c r="L43" s="7"/>
      <c r="M43" s="14"/>
      <c r="N43" s="15"/>
      <c r="O43" s="7"/>
      <c r="P43" s="7"/>
      <c r="Q43" s="7"/>
      <c r="R43" s="11" t="str">
        <f>IF(OR(B43="",E43=""),"",B43-E43)</f>
        <v/>
      </c>
      <c r="S43" s="11" t="str">
        <f>IF(R43="","",IF(R43&lt;30,"Sí","No"))</f>
        <v/>
      </c>
    </row>
    <row r="44">
      <c r="A44" s="7"/>
      <c r="B44" s="14"/>
      <c r="C44" s="7"/>
      <c r="D44" s="7"/>
      <c r="E44" s="14"/>
      <c r="F44" s="7"/>
      <c r="G44" s="7"/>
      <c r="H44" s="14"/>
      <c r="I44" s="7"/>
      <c r="J44" s="14"/>
      <c r="K44" s="7"/>
      <c r="L44" s="7"/>
      <c r="M44" s="14"/>
      <c r="N44" s="15"/>
      <c r="O44" s="7"/>
      <c r="P44" s="7"/>
      <c r="Q44" s="7"/>
      <c r="R44" s="11" t="str">
        <f>IF(OR(B44="",E44=""),"",B44-E44)</f>
        <v/>
      </c>
      <c r="S44" s="11" t="str">
        <f>IF(R44="","",IF(R44&lt;30,"Sí","No"))</f>
        <v/>
      </c>
    </row>
    <row r="45">
      <c r="A45" s="7"/>
      <c r="B45" s="14"/>
      <c r="C45" s="7"/>
      <c r="D45" s="7"/>
      <c r="E45" s="14"/>
      <c r="F45" s="7"/>
      <c r="G45" s="7"/>
      <c r="H45" s="14"/>
      <c r="I45" s="7"/>
      <c r="J45" s="14"/>
      <c r="K45" s="7"/>
      <c r="L45" s="7"/>
      <c r="M45" s="14"/>
      <c r="N45" s="15"/>
      <c r="O45" s="7"/>
      <c r="P45" s="7"/>
      <c r="Q45" s="7"/>
      <c r="R45" s="11" t="str">
        <f>IF(OR(B45="",E45=""),"",B45-E45)</f>
        <v/>
      </c>
      <c r="S45" s="11" t="str">
        <f>IF(R45="","",IF(R45&lt;30,"Sí","No"))</f>
        <v/>
      </c>
    </row>
    <row r="46">
      <c r="A46" s="7"/>
      <c r="B46" s="14"/>
      <c r="C46" s="7"/>
      <c r="D46" s="7"/>
      <c r="E46" s="14"/>
      <c r="F46" s="7"/>
      <c r="G46" s="7"/>
      <c r="H46" s="14"/>
      <c r="I46" s="7"/>
      <c r="J46" s="14"/>
      <c r="K46" s="7"/>
      <c r="L46" s="7"/>
      <c r="M46" s="14"/>
      <c r="N46" s="15"/>
      <c r="O46" s="7"/>
      <c r="P46" s="7"/>
      <c r="Q46" s="7"/>
      <c r="R46" s="11" t="str">
        <f>IF(OR(B46="",E46=""),"",B46-E46)</f>
        <v/>
      </c>
      <c r="S46" s="11" t="str">
        <f>IF(R46="","",IF(R46&lt;30,"Sí","No"))</f>
        <v/>
      </c>
    </row>
    <row r="47">
      <c r="A47" s="7"/>
      <c r="B47" s="14"/>
      <c r="C47" s="7"/>
      <c r="D47" s="7"/>
      <c r="E47" s="14"/>
      <c r="F47" s="7"/>
      <c r="G47" s="7"/>
      <c r="H47" s="14"/>
      <c r="I47" s="7"/>
      <c r="J47" s="14"/>
      <c r="K47" s="7"/>
      <c r="L47" s="7"/>
      <c r="M47" s="14"/>
      <c r="N47" s="15"/>
      <c r="O47" s="7"/>
      <c r="P47" s="7"/>
      <c r="Q47" s="7"/>
      <c r="R47" s="11" t="str">
        <f>IF(OR(B47="",E47=""),"",B47-E47)</f>
        <v/>
      </c>
      <c r="S47" s="11" t="str">
        <f>IF(R47="","",IF(R47&lt;30,"Sí","No"))</f>
        <v/>
      </c>
    </row>
    <row r="48">
      <c r="A48" s="7"/>
      <c r="B48" s="14"/>
      <c r="C48" s="7"/>
      <c r="D48" s="7"/>
      <c r="E48" s="14"/>
      <c r="F48" s="7"/>
      <c r="G48" s="7"/>
      <c r="H48" s="14"/>
      <c r="I48" s="7"/>
      <c r="J48" s="14"/>
      <c r="K48" s="7"/>
      <c r="L48" s="7"/>
      <c r="M48" s="14"/>
      <c r="N48" s="15"/>
      <c r="O48" s="7"/>
      <c r="P48" s="7"/>
      <c r="Q48" s="7"/>
      <c r="R48" s="11" t="str">
        <f>IF(OR(B48="",E48=""),"",B48-E48)</f>
        <v/>
      </c>
      <c r="S48" s="11" t="str">
        <f>IF(R48="","",IF(R48&lt;30,"Sí","No"))</f>
        <v/>
      </c>
    </row>
    <row r="49">
      <c r="A49" s="7"/>
      <c r="B49" s="14"/>
      <c r="C49" s="7"/>
      <c r="D49" s="7"/>
      <c r="E49" s="14"/>
      <c r="F49" s="7"/>
      <c r="G49" s="7"/>
      <c r="H49" s="14"/>
      <c r="I49" s="7"/>
      <c r="J49" s="14"/>
      <c r="K49" s="7"/>
      <c r="L49" s="7"/>
      <c r="M49" s="14"/>
      <c r="N49" s="15"/>
      <c r="O49" s="7"/>
      <c r="P49" s="7"/>
      <c r="Q49" s="7"/>
      <c r="R49" s="11" t="str">
        <f>IF(OR(B49="",E49=""),"",B49-E49)</f>
        <v/>
      </c>
      <c r="S49" s="11" t="str">
        <f>IF(R49="","",IF(R49&lt;30,"Sí","No"))</f>
        <v/>
      </c>
    </row>
    <row r="50">
      <c r="A50" s="7"/>
      <c r="B50" s="14"/>
      <c r="C50" s="7"/>
      <c r="D50" s="7"/>
      <c r="E50" s="14"/>
      <c r="F50" s="7"/>
      <c r="G50" s="7"/>
      <c r="H50" s="14"/>
      <c r="I50" s="7"/>
      <c r="J50" s="14"/>
      <c r="K50" s="7"/>
      <c r="L50" s="7"/>
      <c r="M50" s="14"/>
      <c r="N50" s="15"/>
      <c r="O50" s="7"/>
      <c r="P50" s="7"/>
      <c r="Q50" s="7"/>
      <c r="R50" s="11" t="str">
        <f>IF(OR(B50="",E50=""),"",B50-E50)</f>
        <v/>
      </c>
      <c r="S50" s="11" t="str">
        <f>IF(R50="","",IF(R50&lt;30,"Sí","No"))</f>
        <v/>
      </c>
    </row>
    <row r="51">
      <c r="A51" s="7"/>
      <c r="B51" s="14"/>
      <c r="C51" s="7"/>
      <c r="D51" s="7"/>
      <c r="E51" s="14"/>
      <c r="F51" s="7"/>
      <c r="G51" s="7"/>
      <c r="H51" s="14"/>
      <c r="I51" s="7"/>
      <c r="J51" s="14"/>
      <c r="K51" s="7"/>
      <c r="L51" s="7"/>
      <c r="M51" s="14"/>
      <c r="N51" s="15"/>
      <c r="O51" s="7"/>
      <c r="P51" s="7"/>
      <c r="Q51" s="7"/>
      <c r="R51" s="11" t="str">
        <f>IF(OR(B51="",E51=""),"",B51-E51)</f>
        <v/>
      </c>
      <c r="S51" s="11" t="str">
        <f>IF(R51="","",IF(R51&lt;30,"Sí","No"))</f>
        <v/>
      </c>
    </row>
    <row r="52">
      <c r="A52" s="7"/>
      <c r="B52" s="14"/>
      <c r="C52" s="7"/>
      <c r="D52" s="7"/>
      <c r="E52" s="14"/>
      <c r="F52" s="7"/>
      <c r="G52" s="7"/>
      <c r="H52" s="14"/>
      <c r="I52" s="7"/>
      <c r="J52" s="14"/>
      <c r="K52" s="7"/>
      <c r="L52" s="7"/>
      <c r="M52" s="14"/>
      <c r="N52" s="15"/>
      <c r="O52" s="7"/>
      <c r="P52" s="7"/>
      <c r="Q52" s="7"/>
      <c r="R52" s="11" t="str">
        <f>IF(OR(B52="",E52=""),"",B52-E52)</f>
        <v/>
      </c>
      <c r="S52" s="11" t="str">
        <f>IF(R52="","",IF(R52&lt;30,"Sí","No"))</f>
        <v/>
      </c>
    </row>
    <row r="53">
      <c r="A53" s="7"/>
      <c r="B53" s="14"/>
      <c r="C53" s="7"/>
      <c r="D53" s="7"/>
      <c r="E53" s="14"/>
      <c r="F53" s="7"/>
      <c r="G53" s="7"/>
      <c r="H53" s="14"/>
      <c r="I53" s="7"/>
      <c r="J53" s="14"/>
      <c r="K53" s="7"/>
      <c r="L53" s="7"/>
      <c r="M53" s="14"/>
      <c r="N53" s="15"/>
      <c r="O53" s="7"/>
      <c r="P53" s="7"/>
      <c r="Q53" s="7"/>
      <c r="R53" s="11" t="str">
        <f>IF(OR(B53="",E53=""),"",B53-E53)</f>
        <v/>
      </c>
      <c r="S53" s="11" t="str">
        <f>IF(R53="","",IF(R53&lt;30,"Sí","No"))</f>
        <v/>
      </c>
    </row>
    <row r="54">
      <c r="A54" s="7"/>
      <c r="B54" s="14"/>
      <c r="C54" s="7"/>
      <c r="D54" s="7"/>
      <c r="E54" s="14"/>
      <c r="F54" s="7"/>
      <c r="G54" s="7"/>
      <c r="H54" s="14"/>
      <c r="I54" s="7"/>
      <c r="J54" s="14"/>
      <c r="K54" s="7"/>
      <c r="L54" s="7"/>
      <c r="M54" s="14"/>
      <c r="N54" s="15"/>
      <c r="O54" s="7"/>
      <c r="P54" s="7"/>
      <c r="Q54" s="7"/>
      <c r="R54" s="11" t="str">
        <f>IF(OR(B54="",E54=""),"",B54-E54)</f>
        <v/>
      </c>
      <c r="S54" s="11" t="str">
        <f>IF(R54="","",IF(R54&lt;30,"Sí","No"))</f>
        <v/>
      </c>
    </row>
    <row r="55">
      <c r="A55" s="7"/>
      <c r="B55" s="14"/>
      <c r="C55" s="7"/>
      <c r="D55" s="7"/>
      <c r="E55" s="14"/>
      <c r="F55" s="7"/>
      <c r="G55" s="7"/>
      <c r="H55" s="14"/>
      <c r="I55" s="7"/>
      <c r="J55" s="14"/>
      <c r="K55" s="7"/>
      <c r="L55" s="7"/>
      <c r="M55" s="14"/>
      <c r="N55" s="15"/>
      <c r="O55" s="7"/>
      <c r="P55" s="7"/>
      <c r="Q55" s="7"/>
      <c r="R55" s="11" t="str">
        <f>IF(OR(B55="",E55=""),"",B55-E55)</f>
        <v/>
      </c>
      <c r="S55" s="11" t="str">
        <f>IF(R55="","",IF(R55&lt;30,"Sí","No"))</f>
        <v/>
      </c>
    </row>
    <row r="56">
      <c r="A56" s="7"/>
      <c r="B56" s="14"/>
      <c r="C56" s="7"/>
      <c r="D56" s="7"/>
      <c r="E56" s="14"/>
      <c r="F56" s="7"/>
      <c r="G56" s="7"/>
      <c r="H56" s="14"/>
      <c r="I56" s="7"/>
      <c r="J56" s="14"/>
      <c r="K56" s="7"/>
      <c r="L56" s="7"/>
      <c r="M56" s="14"/>
      <c r="N56" s="15"/>
      <c r="O56" s="7"/>
      <c r="P56" s="7"/>
      <c r="Q56" s="7"/>
      <c r="R56" s="11" t="str">
        <f>IF(OR(B56="",E56=""),"",B56-E56)</f>
        <v/>
      </c>
      <c r="S56" s="11" t="str">
        <f>IF(R56="","",IF(R56&lt;30,"Sí","No"))</f>
        <v/>
      </c>
    </row>
    <row r="57">
      <c r="A57" s="7"/>
      <c r="B57" s="14"/>
      <c r="C57" s="7"/>
      <c r="D57" s="7"/>
      <c r="E57" s="14"/>
      <c r="F57" s="7"/>
      <c r="G57" s="7"/>
      <c r="H57" s="14"/>
      <c r="I57" s="7"/>
      <c r="J57" s="14"/>
      <c r="K57" s="7"/>
      <c r="L57" s="7"/>
      <c r="M57" s="14"/>
      <c r="N57" s="15"/>
      <c r="O57" s="7"/>
      <c r="P57" s="7"/>
      <c r="Q57" s="7"/>
      <c r="R57" s="11" t="str">
        <f>IF(OR(B57="",E57=""),"",B57-E57)</f>
        <v/>
      </c>
      <c r="S57" s="11" t="str">
        <f>IF(R57="","",IF(R57&lt;30,"Sí","No"))</f>
        <v/>
      </c>
    </row>
    <row r="58">
      <c r="A58" s="7"/>
      <c r="B58" s="14"/>
      <c r="C58" s="7"/>
      <c r="D58" s="7"/>
      <c r="E58" s="14"/>
      <c r="F58" s="7"/>
      <c r="G58" s="7"/>
      <c r="H58" s="14"/>
      <c r="I58" s="7"/>
      <c r="J58" s="14"/>
      <c r="K58" s="7"/>
      <c r="L58" s="7"/>
      <c r="M58" s="14"/>
      <c r="N58" s="15"/>
      <c r="O58" s="7"/>
      <c r="P58" s="7"/>
      <c r="Q58" s="7"/>
      <c r="R58" s="11" t="str">
        <f>IF(OR(B58="",E58=""),"",B58-E58)</f>
        <v/>
      </c>
      <c r="S58" s="11" t="str">
        <f>IF(R58="","",IF(R58&lt;30,"Sí","No"))</f>
        <v/>
      </c>
    </row>
    <row r="59">
      <c r="A59" s="7"/>
      <c r="B59" s="14"/>
      <c r="C59" s="7"/>
      <c r="D59" s="7"/>
      <c r="E59" s="14"/>
      <c r="F59" s="7"/>
      <c r="G59" s="7"/>
      <c r="H59" s="14"/>
      <c r="I59" s="7"/>
      <c r="J59" s="14"/>
      <c r="K59" s="7"/>
      <c r="L59" s="7"/>
      <c r="M59" s="14"/>
      <c r="N59" s="15"/>
      <c r="O59" s="7"/>
      <c r="P59" s="7"/>
      <c r="Q59" s="7"/>
      <c r="R59" s="11" t="str">
        <f>IF(OR(B59="",E59=""),"",B59-E59)</f>
        <v/>
      </c>
      <c r="S59" s="11" t="str">
        <f>IF(R59="","",IF(R59&lt;30,"Sí","No"))</f>
        <v/>
      </c>
    </row>
    <row r="60">
      <c r="A60" s="7"/>
      <c r="B60" s="14"/>
      <c r="C60" s="7"/>
      <c r="D60" s="7"/>
      <c r="E60" s="14"/>
      <c r="F60" s="7"/>
      <c r="G60" s="7"/>
      <c r="H60" s="14"/>
      <c r="I60" s="7"/>
      <c r="J60" s="14"/>
      <c r="K60" s="7"/>
      <c r="L60" s="7"/>
      <c r="M60" s="14"/>
      <c r="N60" s="15"/>
      <c r="O60" s="7"/>
      <c r="P60" s="7"/>
      <c r="Q60" s="7"/>
      <c r="R60" s="11" t="str">
        <f>IF(OR(B60="",E60=""),"",B60-E60)</f>
        <v/>
      </c>
      <c r="S60" s="11" t="str">
        <f>IF(R60="","",IF(R60&lt;30,"Sí","No"))</f>
        <v/>
      </c>
    </row>
    <row r="61">
      <c r="A61" s="7"/>
      <c r="B61" s="14"/>
      <c r="C61" s="7"/>
      <c r="D61" s="7"/>
      <c r="E61" s="14"/>
      <c r="F61" s="7"/>
      <c r="G61" s="7"/>
      <c r="H61" s="14"/>
      <c r="I61" s="7"/>
      <c r="J61" s="14"/>
      <c r="K61" s="7"/>
      <c r="L61" s="7"/>
      <c r="M61" s="14"/>
      <c r="N61" s="15"/>
      <c r="O61" s="7"/>
      <c r="P61" s="7"/>
      <c r="Q61" s="7"/>
      <c r="R61" s="11" t="str">
        <f>IF(OR(B61="",E61=""),"",B61-E61)</f>
        <v/>
      </c>
      <c r="S61" s="11" t="str">
        <f>IF(R61="","",IF(R61&lt;30,"Sí","No"))</f>
        <v/>
      </c>
    </row>
    <row r="62">
      <c r="A62" s="7"/>
      <c r="B62" s="14"/>
      <c r="C62" s="7"/>
      <c r="D62" s="7"/>
      <c r="E62" s="14"/>
      <c r="F62" s="7"/>
      <c r="G62" s="7"/>
      <c r="H62" s="14"/>
      <c r="I62" s="7"/>
      <c r="J62" s="14"/>
      <c r="K62" s="7"/>
      <c r="L62" s="7"/>
      <c r="M62" s="14"/>
      <c r="N62" s="15"/>
      <c r="O62" s="7"/>
      <c r="P62" s="7"/>
      <c r="Q62" s="7"/>
      <c r="R62" s="11" t="str">
        <f>IF(OR(B62="",E62=""),"",B62-E62)</f>
        <v/>
      </c>
      <c r="S62" s="11" t="str">
        <f>IF(R62="","",IF(R62&lt;30,"Sí","No"))</f>
        <v/>
      </c>
    </row>
    <row r="63">
      <c r="A63" s="7"/>
      <c r="B63" s="14"/>
      <c r="C63" s="7"/>
      <c r="D63" s="7"/>
      <c r="E63" s="14"/>
      <c r="F63" s="7"/>
      <c r="G63" s="7"/>
      <c r="H63" s="14"/>
      <c r="I63" s="7"/>
      <c r="J63" s="14"/>
      <c r="K63" s="7"/>
      <c r="L63" s="7"/>
      <c r="M63" s="14"/>
      <c r="N63" s="15"/>
      <c r="O63" s="7"/>
      <c r="P63" s="7"/>
      <c r="Q63" s="7"/>
      <c r="R63" s="11" t="str">
        <f>IF(OR(B63="",E63=""),"",B63-E63)</f>
        <v/>
      </c>
      <c r="S63" s="11" t="str">
        <f>IF(R63="","",IF(R63&lt;30,"Sí","No"))</f>
        <v/>
      </c>
    </row>
    <row r="64">
      <c r="A64" s="7"/>
      <c r="B64" s="14"/>
      <c r="C64" s="7"/>
      <c r="D64" s="7"/>
      <c r="E64" s="14"/>
      <c r="F64" s="7"/>
      <c r="G64" s="7"/>
      <c r="H64" s="14"/>
      <c r="I64" s="7"/>
      <c r="J64" s="14"/>
      <c r="K64" s="7"/>
      <c r="L64" s="7"/>
      <c r="M64" s="14"/>
      <c r="N64" s="15"/>
      <c r="O64" s="7"/>
      <c r="P64" s="7"/>
      <c r="Q64" s="7"/>
      <c r="R64" s="11" t="str">
        <f>IF(OR(B64="",E64=""),"",B64-E64)</f>
        <v/>
      </c>
      <c r="S64" s="11" t="str">
        <f>IF(R64="","",IF(R64&lt;30,"Sí","No"))</f>
        <v/>
      </c>
    </row>
    <row r="65">
      <c r="A65" s="7"/>
      <c r="B65" s="14"/>
      <c r="C65" s="7"/>
      <c r="D65" s="7"/>
      <c r="E65" s="14"/>
      <c r="F65" s="7"/>
      <c r="G65" s="7"/>
      <c r="H65" s="14"/>
      <c r="I65" s="7"/>
      <c r="J65" s="14"/>
      <c r="K65" s="7"/>
      <c r="L65" s="7"/>
      <c r="M65" s="14"/>
      <c r="N65" s="15"/>
      <c r="O65" s="7"/>
      <c r="P65" s="7"/>
      <c r="Q65" s="7"/>
      <c r="R65" s="11" t="str">
        <f>IF(OR(B65="",E65=""),"",B65-E65)</f>
        <v/>
      </c>
      <c r="S65" s="11" t="str">
        <f>IF(R65="","",IF(R65&lt;30,"Sí","No"))</f>
        <v/>
      </c>
    </row>
    <row r="66">
      <c r="A66" s="7"/>
      <c r="B66" s="14"/>
      <c r="C66" s="7"/>
      <c r="D66" s="7"/>
      <c r="E66" s="14"/>
      <c r="F66" s="7"/>
      <c r="G66" s="7"/>
      <c r="H66" s="14"/>
      <c r="I66" s="7"/>
      <c r="J66" s="14"/>
      <c r="K66" s="7"/>
      <c r="L66" s="7"/>
      <c r="M66" s="14"/>
      <c r="N66" s="15"/>
      <c r="O66" s="7"/>
      <c r="P66" s="7"/>
      <c r="Q66" s="7"/>
      <c r="R66" s="11" t="str">
        <f>IF(OR(B66="",E66=""),"",B66-E66)</f>
        <v/>
      </c>
      <c r="S66" s="11" t="str">
        <f>IF(R66="","",IF(R66&lt;30,"Sí","No"))</f>
        <v/>
      </c>
    </row>
    <row r="67">
      <c r="A67" s="7"/>
      <c r="B67" s="14"/>
      <c r="C67" s="7"/>
      <c r="D67" s="7"/>
      <c r="E67" s="14"/>
      <c r="F67" s="7"/>
      <c r="G67" s="7"/>
      <c r="H67" s="14"/>
      <c r="I67" s="7"/>
      <c r="J67" s="14"/>
      <c r="K67" s="7"/>
      <c r="L67" s="7"/>
      <c r="M67" s="14"/>
      <c r="N67" s="15"/>
      <c r="O67" s="7"/>
      <c r="P67" s="7"/>
      <c r="Q67" s="7"/>
      <c r="R67" s="11" t="str">
        <f>IF(OR(B67="",E67=""),"",B67-E67)</f>
        <v/>
      </c>
      <c r="S67" s="11" t="str">
        <f>IF(R67="","",IF(R67&lt;30,"Sí","No"))</f>
        <v/>
      </c>
    </row>
    <row r="68">
      <c r="A68" s="7"/>
      <c r="B68" s="14"/>
      <c r="C68" s="7"/>
      <c r="D68" s="7"/>
      <c r="E68" s="14"/>
      <c r="F68" s="7"/>
      <c r="G68" s="7"/>
      <c r="H68" s="14"/>
      <c r="I68" s="7"/>
      <c r="J68" s="14"/>
      <c r="K68" s="7"/>
      <c r="L68" s="7"/>
      <c r="M68" s="14"/>
      <c r="N68" s="15"/>
      <c r="O68" s="7"/>
      <c r="P68" s="7"/>
      <c r="Q68" s="7"/>
      <c r="R68" s="11" t="str">
        <f>IF(OR(B68="",E68=""),"",B68-E68)</f>
        <v/>
      </c>
      <c r="S68" s="11" t="str">
        <f>IF(R68="","",IF(R68&lt;30,"Sí","No"))</f>
        <v/>
      </c>
    </row>
    <row r="69">
      <c r="A69" s="7"/>
      <c r="B69" s="14"/>
      <c r="C69" s="7"/>
      <c r="D69" s="7"/>
      <c r="E69" s="14"/>
      <c r="F69" s="7"/>
      <c r="G69" s="7"/>
      <c r="H69" s="14"/>
      <c r="I69" s="7"/>
      <c r="J69" s="14"/>
      <c r="K69" s="7"/>
      <c r="L69" s="7"/>
      <c r="M69" s="14"/>
      <c r="N69" s="15"/>
      <c r="O69" s="7"/>
      <c r="P69" s="7"/>
      <c r="Q69" s="7"/>
      <c r="R69" s="11" t="str">
        <f>IF(OR(B69="",E69=""),"",B69-E69)</f>
        <v/>
      </c>
      <c r="S69" s="11" t="str">
        <f>IF(R69="","",IF(R69&lt;30,"Sí","No"))</f>
        <v/>
      </c>
    </row>
    <row r="70">
      <c r="A70" s="7"/>
      <c r="B70" s="14"/>
      <c r="C70" s="7"/>
      <c r="D70" s="7"/>
      <c r="E70" s="14"/>
      <c r="F70" s="7"/>
      <c r="G70" s="7"/>
      <c r="H70" s="14"/>
      <c r="I70" s="7"/>
      <c r="J70" s="14"/>
      <c r="K70" s="7"/>
      <c r="L70" s="7"/>
      <c r="M70" s="14"/>
      <c r="N70" s="15"/>
      <c r="O70" s="7"/>
      <c r="P70" s="7"/>
      <c r="Q70" s="7"/>
      <c r="R70" s="11" t="str">
        <f>IF(OR(B70="",E70=""),"",B70-E70)</f>
        <v/>
      </c>
      <c r="S70" s="11" t="str">
        <f>IF(R70="","",IF(R70&lt;30,"Sí","No"))</f>
        <v/>
      </c>
    </row>
    <row r="71">
      <c r="A71" s="7"/>
      <c r="B71" s="14"/>
      <c r="C71" s="7"/>
      <c r="D71" s="7"/>
      <c r="E71" s="14"/>
      <c r="F71" s="7"/>
      <c r="G71" s="7"/>
      <c r="H71" s="14"/>
      <c r="I71" s="7"/>
      <c r="J71" s="14"/>
      <c r="K71" s="7"/>
      <c r="L71" s="7"/>
      <c r="M71" s="14"/>
      <c r="N71" s="15"/>
      <c r="O71" s="7"/>
      <c r="P71" s="7"/>
      <c r="Q71" s="7"/>
      <c r="R71" s="11" t="str">
        <f>IF(OR(B71="",E71=""),"",B71-E71)</f>
        <v/>
      </c>
      <c r="S71" s="11" t="str">
        <f>IF(R71="","",IF(R71&lt;30,"Sí","No"))</f>
        <v/>
      </c>
    </row>
    <row r="72">
      <c r="A72" s="7"/>
      <c r="B72" s="14"/>
      <c r="C72" s="7"/>
      <c r="D72" s="7"/>
      <c r="E72" s="14"/>
      <c r="F72" s="7"/>
      <c r="G72" s="7"/>
      <c r="H72" s="14"/>
      <c r="I72" s="7"/>
      <c r="J72" s="14"/>
      <c r="K72" s="7"/>
      <c r="L72" s="7"/>
      <c r="M72" s="14"/>
      <c r="N72" s="15"/>
      <c r="O72" s="7"/>
      <c r="P72" s="7"/>
      <c r="Q72" s="7"/>
      <c r="R72" s="11" t="str">
        <f>IF(OR(B72="",E72=""),"",B72-E72)</f>
        <v/>
      </c>
      <c r="S72" s="11" t="str">
        <f>IF(R72="","",IF(R72&lt;30,"Sí","No"))</f>
        <v/>
      </c>
    </row>
    <row r="73">
      <c r="A73" s="7"/>
      <c r="B73" s="14"/>
      <c r="C73" s="7"/>
      <c r="D73" s="7"/>
      <c r="E73" s="14"/>
      <c r="F73" s="7"/>
      <c r="G73" s="7"/>
      <c r="H73" s="14"/>
      <c r="I73" s="7"/>
      <c r="J73" s="14"/>
      <c r="K73" s="7"/>
      <c r="L73" s="7"/>
      <c r="M73" s="14"/>
      <c r="N73" s="15"/>
      <c r="O73" s="7"/>
      <c r="P73" s="7"/>
      <c r="Q73" s="7"/>
      <c r="R73" s="11" t="str">
        <f>IF(OR(B73="",E73=""),"",B73-E73)</f>
        <v/>
      </c>
      <c r="S73" s="11" t="str">
        <f>IF(R73="","",IF(R73&lt;30,"Sí","No"))</f>
        <v/>
      </c>
    </row>
    <row r="74">
      <c r="A74" s="7"/>
      <c r="B74" s="14"/>
      <c r="C74" s="7"/>
      <c r="D74" s="7"/>
      <c r="E74" s="14"/>
      <c r="F74" s="7"/>
      <c r="G74" s="7"/>
      <c r="H74" s="14"/>
      <c r="I74" s="7"/>
      <c r="J74" s="14"/>
      <c r="K74" s="7"/>
      <c r="L74" s="7"/>
      <c r="M74" s="14"/>
      <c r="N74" s="15"/>
      <c r="O74" s="7"/>
      <c r="P74" s="7"/>
      <c r="Q74" s="7"/>
      <c r="R74" s="11" t="str">
        <f>IF(OR(B74="",E74=""),"",B74-E74)</f>
        <v/>
      </c>
      <c r="S74" s="11" t="str">
        <f>IF(R74="","",IF(R74&lt;30,"Sí","No"))</f>
        <v/>
      </c>
    </row>
    <row r="75">
      <c r="A75" s="7"/>
      <c r="B75" s="14"/>
      <c r="C75" s="7"/>
      <c r="D75" s="7"/>
      <c r="E75" s="14"/>
      <c r="F75" s="7"/>
      <c r="G75" s="7"/>
      <c r="H75" s="14"/>
      <c r="I75" s="7"/>
      <c r="J75" s="14"/>
      <c r="K75" s="7"/>
      <c r="L75" s="7"/>
      <c r="M75" s="14"/>
      <c r="N75" s="15"/>
      <c r="O75" s="7"/>
      <c r="P75" s="7"/>
      <c r="Q75" s="7"/>
      <c r="R75" s="11" t="str">
        <f>IF(OR(B75="",E75=""),"",B75-E75)</f>
        <v/>
      </c>
      <c r="S75" s="11" t="str">
        <f>IF(R75="","",IF(R75&lt;30,"Sí","No"))</f>
        <v/>
      </c>
    </row>
    <row r="76">
      <c r="A76" s="7"/>
      <c r="B76" s="14"/>
      <c r="C76" s="7"/>
      <c r="D76" s="7"/>
      <c r="E76" s="14"/>
      <c r="F76" s="7"/>
      <c r="G76" s="7"/>
      <c r="H76" s="14"/>
      <c r="I76" s="7"/>
      <c r="J76" s="14"/>
      <c r="K76" s="7"/>
      <c r="L76" s="7"/>
      <c r="M76" s="14"/>
      <c r="N76" s="15"/>
      <c r="O76" s="7"/>
      <c r="P76" s="7"/>
      <c r="Q76" s="7"/>
      <c r="R76" s="11" t="str">
        <f>IF(OR(B76="",E76=""),"",B76-E76)</f>
        <v/>
      </c>
      <c r="S76" s="11" t="str">
        <f>IF(R76="","",IF(R76&lt;30,"Sí","No"))</f>
        <v/>
      </c>
    </row>
    <row r="77">
      <c r="A77" s="7"/>
      <c r="B77" s="14"/>
      <c r="C77" s="7"/>
      <c r="D77" s="7"/>
      <c r="E77" s="14"/>
      <c r="F77" s="7"/>
      <c r="G77" s="7"/>
      <c r="H77" s="14"/>
      <c r="I77" s="7"/>
      <c r="J77" s="14"/>
      <c r="K77" s="7"/>
      <c r="L77" s="7"/>
      <c r="M77" s="14"/>
      <c r="N77" s="15"/>
      <c r="O77" s="7"/>
      <c r="P77" s="7"/>
      <c r="Q77" s="7"/>
      <c r="R77" s="11" t="str">
        <f>IF(OR(B77="",E77=""),"",B77-E77)</f>
        <v/>
      </c>
      <c r="S77" s="11" t="str">
        <f>IF(R77="","",IF(R77&lt;30,"Sí","No"))</f>
        <v/>
      </c>
    </row>
    <row r="78">
      <c r="A78" s="7"/>
      <c r="B78" s="14"/>
      <c r="C78" s="7"/>
      <c r="D78" s="7"/>
      <c r="E78" s="14"/>
      <c r="F78" s="7"/>
      <c r="G78" s="7"/>
      <c r="H78" s="14"/>
      <c r="I78" s="7"/>
      <c r="J78" s="14"/>
      <c r="K78" s="7"/>
      <c r="L78" s="7"/>
      <c r="M78" s="14"/>
      <c r="N78" s="15"/>
      <c r="O78" s="7"/>
      <c r="P78" s="7"/>
      <c r="Q78" s="7"/>
      <c r="R78" s="11" t="str">
        <f>IF(OR(B78="",E78=""),"",B78-E78)</f>
        <v/>
      </c>
      <c r="S78" s="11" t="str">
        <f>IF(R78="","",IF(R78&lt;30,"Sí","No"))</f>
        <v/>
      </c>
    </row>
    <row r="79">
      <c r="A79" s="7"/>
      <c r="B79" s="14"/>
      <c r="C79" s="7"/>
      <c r="D79" s="7"/>
      <c r="E79" s="14"/>
      <c r="F79" s="7"/>
      <c r="G79" s="7"/>
      <c r="H79" s="14"/>
      <c r="I79" s="7"/>
      <c r="J79" s="14"/>
      <c r="K79" s="7"/>
      <c r="L79" s="7"/>
      <c r="M79" s="14"/>
      <c r="N79" s="15"/>
      <c r="O79" s="7"/>
      <c r="P79" s="7"/>
      <c r="Q79" s="7"/>
      <c r="R79" s="11" t="str">
        <f>IF(OR(B79="",E79=""),"",B79-E79)</f>
        <v/>
      </c>
      <c r="S79" s="11" t="str">
        <f>IF(R79="","",IF(R79&lt;30,"Sí","No"))</f>
        <v/>
      </c>
    </row>
    <row r="80">
      <c r="A80" s="7"/>
      <c r="B80" s="14"/>
      <c r="C80" s="7"/>
      <c r="D80" s="7"/>
      <c r="E80" s="14"/>
      <c r="F80" s="7"/>
      <c r="G80" s="7"/>
      <c r="H80" s="14"/>
      <c r="I80" s="7"/>
      <c r="J80" s="14"/>
      <c r="K80" s="7"/>
      <c r="L80" s="7"/>
      <c r="M80" s="14"/>
      <c r="N80" s="15"/>
      <c r="O80" s="7"/>
      <c r="P80" s="7"/>
      <c r="Q80" s="7"/>
      <c r="R80" s="11" t="str">
        <f>IF(OR(B80="",E80=""),"",B80-E80)</f>
        <v/>
      </c>
      <c r="S80" s="11" t="str">
        <f>IF(R80="","",IF(R80&lt;30,"Sí","No"))</f>
        <v/>
      </c>
    </row>
    <row r="81">
      <c r="A81" s="7"/>
      <c r="B81" s="14"/>
      <c r="C81" s="7"/>
      <c r="D81" s="7"/>
      <c r="E81" s="14"/>
      <c r="F81" s="7"/>
      <c r="G81" s="7"/>
      <c r="H81" s="14"/>
      <c r="I81" s="7"/>
      <c r="J81" s="14"/>
      <c r="K81" s="7"/>
      <c r="L81" s="7"/>
      <c r="M81" s="14"/>
      <c r="N81" s="15"/>
      <c r="O81" s="7"/>
      <c r="P81" s="7"/>
      <c r="Q81" s="7"/>
      <c r="R81" s="11" t="str">
        <f>IF(OR(B81="",E81=""),"",B81-E81)</f>
        <v/>
      </c>
      <c r="S81" s="11" t="str">
        <f>IF(R81="","",IF(R81&lt;30,"Sí","No"))</f>
        <v/>
      </c>
    </row>
    <row r="82">
      <c r="A82" s="7"/>
      <c r="B82" s="14"/>
      <c r="C82" s="7"/>
      <c r="D82" s="7"/>
      <c r="E82" s="14"/>
      <c r="F82" s="7"/>
      <c r="G82" s="7"/>
      <c r="H82" s="14"/>
      <c r="I82" s="7"/>
      <c r="J82" s="14"/>
      <c r="K82" s="7"/>
      <c r="L82" s="7"/>
      <c r="M82" s="14"/>
      <c r="N82" s="15"/>
      <c r="O82" s="7"/>
      <c r="P82" s="7"/>
      <c r="Q82" s="7"/>
      <c r="R82" s="11" t="str">
        <f>IF(OR(B82="",E82=""),"",B82-E82)</f>
        <v/>
      </c>
      <c r="S82" s="11" t="str">
        <f>IF(R82="","",IF(R82&lt;30,"Sí","No"))</f>
        <v/>
      </c>
    </row>
    <row r="83">
      <c r="A83" s="7"/>
      <c r="B83" s="14"/>
      <c r="C83" s="7"/>
      <c r="D83" s="7"/>
      <c r="E83" s="14"/>
      <c r="F83" s="7"/>
      <c r="G83" s="7"/>
      <c r="H83" s="14"/>
      <c r="I83" s="7"/>
      <c r="J83" s="14"/>
      <c r="K83" s="7"/>
      <c r="L83" s="7"/>
      <c r="M83" s="14"/>
      <c r="N83" s="15"/>
      <c r="O83" s="7"/>
      <c r="P83" s="7"/>
      <c r="Q83" s="7"/>
      <c r="R83" s="11" t="str">
        <f>IF(OR(B83="",E83=""),"",B83-E83)</f>
        <v/>
      </c>
      <c r="S83" s="11" t="str">
        <f>IF(R83="","",IF(R83&lt;30,"Sí","No"))</f>
        <v/>
      </c>
    </row>
    <row r="84">
      <c r="A84" s="7"/>
      <c r="B84" s="14"/>
      <c r="C84" s="7"/>
      <c r="D84" s="7"/>
      <c r="E84" s="14"/>
      <c r="F84" s="7"/>
      <c r="G84" s="7"/>
      <c r="H84" s="14"/>
      <c r="I84" s="7"/>
      <c r="J84" s="14"/>
      <c r="K84" s="7"/>
      <c r="L84" s="7"/>
      <c r="M84" s="14"/>
      <c r="N84" s="15"/>
      <c r="O84" s="7"/>
      <c r="P84" s="7"/>
      <c r="Q84" s="7"/>
      <c r="R84" s="11" t="str">
        <f>IF(OR(B84="",E84=""),"",B84-E84)</f>
        <v/>
      </c>
      <c r="S84" s="11" t="str">
        <f>IF(R84="","",IF(R84&lt;30,"Sí","No"))</f>
        <v/>
      </c>
    </row>
    <row r="85">
      <c r="A85" s="7"/>
      <c r="B85" s="14"/>
      <c r="C85" s="7"/>
      <c r="D85" s="7"/>
      <c r="E85" s="14"/>
      <c r="F85" s="7"/>
      <c r="G85" s="7"/>
      <c r="H85" s="14"/>
      <c r="I85" s="7"/>
      <c r="J85" s="14"/>
      <c r="K85" s="7"/>
      <c r="L85" s="7"/>
      <c r="M85" s="14"/>
      <c r="N85" s="15"/>
      <c r="O85" s="7"/>
      <c r="P85" s="7"/>
      <c r="Q85" s="7"/>
      <c r="R85" s="11" t="str">
        <f>IF(OR(B85="",E85=""),"",B85-E85)</f>
        <v/>
      </c>
      <c r="S85" s="11" t="str">
        <f>IF(R85="","",IF(R85&lt;30,"Sí","No"))</f>
        <v/>
      </c>
    </row>
    <row r="86">
      <c r="A86" s="7"/>
      <c r="B86" s="14"/>
      <c r="C86" s="7"/>
      <c r="D86" s="7"/>
      <c r="E86" s="14"/>
      <c r="F86" s="7"/>
      <c r="G86" s="7"/>
      <c r="H86" s="14"/>
      <c r="I86" s="7"/>
      <c r="J86" s="14"/>
      <c r="K86" s="7"/>
      <c r="L86" s="7"/>
      <c r="M86" s="14"/>
      <c r="N86" s="15"/>
      <c r="O86" s="7"/>
      <c r="P86" s="7"/>
      <c r="Q86" s="7"/>
      <c r="R86" s="11" t="str">
        <f>IF(OR(B86="",E86=""),"",B86-E86)</f>
        <v/>
      </c>
      <c r="S86" s="11" t="str">
        <f>IF(R86="","",IF(R86&lt;30,"Sí","No"))</f>
        <v/>
      </c>
    </row>
    <row r="87">
      <c r="A87" s="7"/>
      <c r="B87" s="14"/>
      <c r="C87" s="7"/>
      <c r="D87" s="7"/>
      <c r="E87" s="14"/>
      <c r="F87" s="7"/>
      <c r="G87" s="7"/>
      <c r="H87" s="14"/>
      <c r="I87" s="7"/>
      <c r="J87" s="14"/>
      <c r="K87" s="7"/>
      <c r="L87" s="7"/>
      <c r="M87" s="14"/>
      <c r="N87" s="15"/>
      <c r="O87" s="7"/>
      <c r="P87" s="7"/>
      <c r="Q87" s="7"/>
      <c r="R87" s="11" t="str">
        <f>IF(OR(B87="",E87=""),"",B87-E87)</f>
        <v/>
      </c>
      <c r="S87" s="11" t="str">
        <f>IF(R87="","",IF(R87&lt;30,"Sí","No"))</f>
        <v/>
      </c>
    </row>
    <row r="88">
      <c r="A88" s="7"/>
      <c r="B88" s="14"/>
      <c r="C88" s="7"/>
      <c r="D88" s="7"/>
      <c r="E88" s="14"/>
      <c r="F88" s="7"/>
      <c r="G88" s="7"/>
      <c r="H88" s="14"/>
      <c r="I88" s="7"/>
      <c r="J88" s="14"/>
      <c r="K88" s="7"/>
      <c r="L88" s="7"/>
      <c r="M88" s="14"/>
      <c r="N88" s="15"/>
      <c r="O88" s="7"/>
      <c r="P88" s="7"/>
      <c r="Q88" s="7"/>
      <c r="R88" s="11" t="str">
        <f>IF(OR(B88="",E88=""),"",B88-E88)</f>
        <v/>
      </c>
      <c r="S88" s="11" t="str">
        <f>IF(R88="","",IF(R88&lt;30,"Sí","No"))</f>
        <v/>
      </c>
    </row>
    <row r="89">
      <c r="A89" s="7"/>
      <c r="B89" s="14"/>
      <c r="C89" s="7"/>
      <c r="D89" s="7"/>
      <c r="E89" s="14"/>
      <c r="F89" s="7"/>
      <c r="G89" s="7"/>
      <c r="H89" s="14"/>
      <c r="I89" s="7"/>
      <c r="J89" s="14"/>
      <c r="K89" s="7"/>
      <c r="L89" s="7"/>
      <c r="M89" s="14"/>
      <c r="N89" s="15"/>
      <c r="O89" s="7"/>
      <c r="P89" s="7"/>
      <c r="Q89" s="7"/>
      <c r="R89" s="11" t="str">
        <f>IF(OR(B89="",E89=""),"",B89-E89)</f>
        <v/>
      </c>
      <c r="S89" s="11" t="str">
        <f>IF(R89="","",IF(R89&lt;30,"Sí","No"))</f>
        <v/>
      </c>
    </row>
    <row r="90">
      <c r="A90" s="7"/>
      <c r="B90" s="14"/>
      <c r="C90" s="7"/>
      <c r="D90" s="7"/>
      <c r="E90" s="14"/>
      <c r="F90" s="7"/>
      <c r="G90" s="7"/>
      <c r="H90" s="14"/>
      <c r="I90" s="7"/>
      <c r="J90" s="14"/>
      <c r="K90" s="7"/>
      <c r="L90" s="7"/>
      <c r="M90" s="14"/>
      <c r="N90" s="15"/>
      <c r="O90" s="7"/>
      <c r="P90" s="7"/>
      <c r="Q90" s="7"/>
      <c r="R90" s="11" t="str">
        <f>IF(OR(B90="",E90=""),"",B90-E90)</f>
        <v/>
      </c>
      <c r="S90" s="11" t="str">
        <f>IF(R90="","",IF(R90&lt;30,"Sí","No"))</f>
        <v/>
      </c>
    </row>
    <row r="91">
      <c r="A91" s="7"/>
      <c r="B91" s="14"/>
      <c r="C91" s="7"/>
      <c r="D91" s="7"/>
      <c r="E91" s="14"/>
      <c r="F91" s="7"/>
      <c r="G91" s="7"/>
      <c r="H91" s="14"/>
      <c r="I91" s="7"/>
      <c r="J91" s="14"/>
      <c r="K91" s="7"/>
      <c r="L91" s="7"/>
      <c r="M91" s="14"/>
      <c r="N91" s="15"/>
      <c r="O91" s="7"/>
      <c r="P91" s="7"/>
      <c r="Q91" s="7"/>
      <c r="R91" s="11" t="str">
        <f>IF(OR(B91="",E91=""),"",B91-E91)</f>
        <v/>
      </c>
      <c r="S91" s="11" t="str">
        <f>IF(R91="","",IF(R91&lt;30,"Sí","No"))</f>
        <v/>
      </c>
    </row>
    <row r="92">
      <c r="A92" s="7"/>
      <c r="B92" s="14"/>
      <c r="C92" s="7"/>
      <c r="D92" s="7"/>
      <c r="E92" s="14"/>
      <c r="F92" s="7"/>
      <c r="G92" s="7"/>
      <c r="H92" s="14"/>
      <c r="I92" s="7"/>
      <c r="J92" s="14"/>
      <c r="K92" s="7"/>
      <c r="L92" s="7"/>
      <c r="M92" s="14"/>
      <c r="N92" s="15"/>
      <c r="O92" s="7"/>
      <c r="P92" s="7"/>
      <c r="Q92" s="7"/>
      <c r="R92" s="11" t="str">
        <f>IF(OR(B92="",E92=""),"",B92-E92)</f>
        <v/>
      </c>
      <c r="S92" s="11" t="str">
        <f>IF(R92="","",IF(R92&lt;30,"Sí","No"))</f>
        <v/>
      </c>
    </row>
    <row r="93">
      <c r="A93" s="7"/>
      <c r="B93" s="14"/>
      <c r="C93" s="7"/>
      <c r="D93" s="7"/>
      <c r="E93" s="14"/>
      <c r="F93" s="7"/>
      <c r="G93" s="7"/>
      <c r="H93" s="14"/>
      <c r="I93" s="7"/>
      <c r="J93" s="14"/>
      <c r="K93" s="7"/>
      <c r="L93" s="7"/>
      <c r="M93" s="14"/>
      <c r="N93" s="15"/>
      <c r="O93" s="7"/>
      <c r="P93" s="7"/>
      <c r="Q93" s="7"/>
      <c r="R93" s="11" t="str">
        <f>IF(OR(B93="",E93=""),"",B93-E93)</f>
        <v/>
      </c>
      <c r="S93" s="11" t="str">
        <f>IF(R93="","",IF(R93&lt;30,"Sí","No"))</f>
        <v/>
      </c>
    </row>
    <row r="94">
      <c r="A94" s="7"/>
      <c r="B94" s="14"/>
      <c r="C94" s="7"/>
      <c r="D94" s="7"/>
      <c r="E94" s="14"/>
      <c r="F94" s="7"/>
      <c r="G94" s="7"/>
      <c r="H94" s="14"/>
      <c r="I94" s="7"/>
      <c r="J94" s="14"/>
      <c r="K94" s="7"/>
      <c r="L94" s="7"/>
      <c r="M94" s="14"/>
      <c r="N94" s="15"/>
      <c r="O94" s="7"/>
      <c r="P94" s="7"/>
      <c r="Q94" s="7"/>
      <c r="R94" s="11" t="str">
        <f>IF(OR(B94="",E94=""),"",B94-E94)</f>
        <v/>
      </c>
      <c r="S94" s="11" t="str">
        <f>IF(R94="","",IF(R94&lt;30,"Sí","No"))</f>
        <v/>
      </c>
    </row>
    <row r="95">
      <c r="A95" s="7"/>
      <c r="B95" s="14"/>
      <c r="C95" s="7"/>
      <c r="D95" s="7"/>
      <c r="E95" s="14"/>
      <c r="F95" s="7"/>
      <c r="G95" s="7"/>
      <c r="H95" s="14"/>
      <c r="I95" s="7"/>
      <c r="J95" s="14"/>
      <c r="K95" s="7"/>
      <c r="L95" s="7"/>
      <c r="M95" s="14"/>
      <c r="N95" s="15"/>
      <c r="O95" s="7"/>
      <c r="P95" s="7"/>
      <c r="Q95" s="7"/>
      <c r="R95" s="11" t="str">
        <f>IF(OR(B95="",E95=""),"",B95-E95)</f>
        <v/>
      </c>
      <c r="S95" s="11" t="str">
        <f>IF(R95="","",IF(R95&lt;30,"Sí","No"))</f>
        <v/>
      </c>
    </row>
    <row r="96">
      <c r="A96" s="7"/>
      <c r="B96" s="14"/>
      <c r="C96" s="7"/>
      <c r="D96" s="7"/>
      <c r="E96" s="14"/>
      <c r="F96" s="7"/>
      <c r="G96" s="7"/>
      <c r="H96" s="14"/>
      <c r="I96" s="7"/>
      <c r="J96" s="14"/>
      <c r="K96" s="7"/>
      <c r="L96" s="7"/>
      <c r="M96" s="14"/>
      <c r="N96" s="15"/>
      <c r="O96" s="7"/>
      <c r="P96" s="7"/>
      <c r="Q96" s="7"/>
      <c r="R96" s="11" t="str">
        <f>IF(OR(B96="",E96=""),"",B96-E96)</f>
        <v/>
      </c>
      <c r="S96" s="11" t="str">
        <f>IF(R96="","",IF(R96&lt;30,"Sí","No"))</f>
        <v/>
      </c>
    </row>
    <row r="97">
      <c r="A97" s="7"/>
      <c r="B97" s="14"/>
      <c r="C97" s="7"/>
      <c r="D97" s="7"/>
      <c r="E97" s="14"/>
      <c r="F97" s="7"/>
      <c r="G97" s="7"/>
      <c r="H97" s="14"/>
      <c r="I97" s="7"/>
      <c r="J97" s="14"/>
      <c r="K97" s="7"/>
      <c r="L97" s="7"/>
      <c r="M97" s="14"/>
      <c r="N97" s="15"/>
      <c r="O97" s="7"/>
      <c r="P97" s="7"/>
      <c r="Q97" s="7"/>
      <c r="R97" s="11" t="str">
        <f>IF(OR(B97="",E97=""),"",B97-E97)</f>
        <v/>
      </c>
      <c r="S97" s="11" t="str">
        <f>IF(R97="","",IF(R97&lt;30,"Sí","No"))</f>
        <v/>
      </c>
    </row>
    <row r="98">
      <c r="A98" s="7"/>
      <c r="B98" s="14"/>
      <c r="C98" s="7"/>
      <c r="D98" s="7"/>
      <c r="E98" s="14"/>
      <c r="F98" s="7"/>
      <c r="G98" s="7"/>
      <c r="H98" s="14"/>
      <c r="I98" s="7"/>
      <c r="J98" s="14"/>
      <c r="K98" s="7"/>
      <c r="L98" s="7"/>
      <c r="M98" s="14"/>
      <c r="N98" s="15"/>
      <c r="O98" s="7"/>
      <c r="P98" s="7"/>
      <c r="Q98" s="7"/>
      <c r="R98" s="11" t="str">
        <f>IF(OR(B98="",E98=""),"",B98-E98)</f>
        <v/>
      </c>
      <c r="S98" s="11" t="str">
        <f>IF(R98="","",IF(R98&lt;30,"Sí","No"))</f>
        <v/>
      </c>
    </row>
    <row r="99">
      <c r="A99" s="7"/>
      <c r="B99" s="14"/>
      <c r="C99" s="7"/>
      <c r="D99" s="7"/>
      <c r="E99" s="14"/>
      <c r="F99" s="7"/>
      <c r="G99" s="7"/>
      <c r="H99" s="14"/>
      <c r="I99" s="7"/>
      <c r="J99" s="14"/>
      <c r="K99" s="7"/>
      <c r="L99" s="7"/>
      <c r="M99" s="14"/>
      <c r="N99" s="15"/>
      <c r="O99" s="7"/>
      <c r="P99" s="7"/>
      <c r="Q99" s="7"/>
      <c r="R99" s="11" t="str">
        <f>IF(OR(B99="",E99=""),"",B99-E99)</f>
        <v/>
      </c>
      <c r="S99" s="11" t="str">
        <f>IF(R99="","",IF(R99&lt;30,"Sí","No"))</f>
        <v/>
      </c>
    </row>
    <row r="100">
      <c r="A100" s="7"/>
      <c r="B100" s="14"/>
      <c r="C100" s="7"/>
      <c r="D100" s="7"/>
      <c r="E100" s="14"/>
      <c r="F100" s="7"/>
      <c r="G100" s="7"/>
      <c r="H100" s="14"/>
      <c r="I100" s="7"/>
      <c r="J100" s="14"/>
      <c r="K100" s="7"/>
      <c r="L100" s="7"/>
      <c r="M100" s="14"/>
      <c r="N100" s="15"/>
      <c r="O100" s="7"/>
      <c r="P100" s="7"/>
      <c r="Q100" s="7"/>
      <c r="R100" s="11" t="str">
        <f>IF(OR(B100="",E100=""),"",B100-E100)</f>
        <v/>
      </c>
      <c r="S100" s="11" t="str">
        <f>IF(R100="","",IF(R100&lt;30,"Sí","No"))</f>
        <v/>
      </c>
    </row>
    <row r="101">
      <c r="A101" s="7"/>
      <c r="B101" s="14"/>
      <c r="C101" s="7"/>
      <c r="D101" s="7"/>
      <c r="E101" s="14"/>
      <c r="F101" s="7"/>
      <c r="G101" s="7"/>
      <c r="H101" s="14"/>
      <c r="I101" s="7"/>
      <c r="J101" s="14"/>
      <c r="K101" s="7"/>
      <c r="L101" s="7"/>
      <c r="M101" s="14"/>
      <c r="N101" s="15"/>
      <c r="O101" s="7"/>
      <c r="P101" s="7"/>
      <c r="Q101" s="7"/>
      <c r="R101" s="11" t="str">
        <f>IF(OR(B101="",E101=""),"",B101-E101)</f>
        <v/>
      </c>
      <c r="S101" s="11" t="str">
        <f>IF(R101="","",IF(R101&lt;30,"Sí","No"))</f>
        <v/>
      </c>
    </row>
    <row r="102">
      <c r="A102" s="7"/>
      <c r="B102" s="14"/>
      <c r="C102" s="7"/>
      <c r="D102" s="7"/>
      <c r="E102" s="14"/>
      <c r="F102" s="7"/>
      <c r="G102" s="7"/>
      <c r="H102" s="14"/>
      <c r="I102" s="7"/>
      <c r="J102" s="14"/>
      <c r="K102" s="7"/>
      <c r="L102" s="7"/>
      <c r="M102" s="14"/>
      <c r="N102" s="15"/>
      <c r="O102" s="7"/>
      <c r="P102" s="7"/>
      <c r="Q102" s="7"/>
      <c r="R102" s="11" t="str">
        <f>IF(OR(B102="",E102=""),"",B102-E102)</f>
        <v/>
      </c>
      <c r="S102" s="11" t="str">
        <f>IF(R102="","",IF(R102&lt;30,"Sí","No"))</f>
        <v/>
      </c>
    </row>
    <row r="103">
      <c r="A103" s="7"/>
      <c r="B103" s="14"/>
      <c r="C103" s="7"/>
      <c r="D103" s="7"/>
      <c r="E103" s="14"/>
      <c r="F103" s="7"/>
      <c r="G103" s="7"/>
      <c r="H103" s="14"/>
      <c r="I103" s="7"/>
      <c r="J103" s="14"/>
      <c r="K103" s="7"/>
      <c r="L103" s="7"/>
      <c r="M103" s="14"/>
      <c r="N103" s="15"/>
      <c r="O103" s="7"/>
      <c r="P103" s="7"/>
      <c r="Q103" s="7"/>
      <c r="R103" s="11" t="str">
        <f>IF(OR(B103="",E103=""),"",B103-E103)</f>
        <v/>
      </c>
      <c r="S103" s="11" t="str">
        <f>IF(R103="","",IF(R103&lt;30,"Sí","No"))</f>
        <v/>
      </c>
    </row>
    <row r="104">
      <c r="A104" s="7"/>
      <c r="B104" s="14"/>
      <c r="C104" s="7"/>
      <c r="D104" s="7"/>
      <c r="E104" s="14"/>
      <c r="F104" s="7"/>
      <c r="G104" s="7"/>
      <c r="H104" s="14"/>
      <c r="I104" s="7"/>
      <c r="J104" s="14"/>
      <c r="K104" s="7"/>
      <c r="L104" s="7"/>
      <c r="M104" s="14"/>
      <c r="N104" s="15"/>
      <c r="O104" s="7"/>
      <c r="P104" s="7"/>
      <c r="Q104" s="7"/>
      <c r="R104" s="11" t="str">
        <f>IF(OR(B104="",E104=""),"",B104-E104)</f>
        <v/>
      </c>
      <c r="S104" s="11" t="str">
        <f>IF(R104="","",IF(R104&lt;30,"Sí","No"))</f>
        <v/>
      </c>
    </row>
    <row r="105">
      <c r="A105" s="7"/>
      <c r="B105" s="14"/>
      <c r="C105" s="7"/>
      <c r="D105" s="7"/>
      <c r="E105" s="14"/>
      <c r="F105" s="7"/>
      <c r="G105" s="7"/>
      <c r="H105" s="14"/>
      <c r="I105" s="7"/>
      <c r="J105" s="14"/>
      <c r="K105" s="7"/>
      <c r="L105" s="7"/>
      <c r="M105" s="14"/>
      <c r="N105" s="15"/>
      <c r="O105" s="7"/>
      <c r="P105" s="7"/>
      <c r="Q105" s="7"/>
      <c r="R105" s="11" t="str">
        <f>IF(OR(B105="",E105=""),"",B105-E105)</f>
        <v/>
      </c>
      <c r="S105" s="11" t="str">
        <f>IF(R105="","",IF(R105&lt;30,"Sí","No"))</f>
        <v/>
      </c>
    </row>
    <row r="106">
      <c r="A106" s="7"/>
      <c r="B106" s="14"/>
      <c r="C106" s="7"/>
      <c r="D106" s="7"/>
      <c r="E106" s="14"/>
      <c r="F106" s="7"/>
      <c r="G106" s="7"/>
      <c r="H106" s="14"/>
      <c r="I106" s="7"/>
      <c r="J106" s="14"/>
      <c r="K106" s="7"/>
      <c r="L106" s="7"/>
      <c r="M106" s="14"/>
      <c r="N106" s="15"/>
      <c r="O106" s="7"/>
      <c r="P106" s="7"/>
      <c r="Q106" s="7"/>
      <c r="R106" s="11" t="str">
        <f>IF(OR(B106="",E106=""),"",B106-E106)</f>
        <v/>
      </c>
      <c r="S106" s="11" t="str">
        <f>IF(R106="","",IF(R106&lt;30,"Sí","No"))</f>
        <v/>
      </c>
    </row>
    <row r="107">
      <c r="A107" s="7"/>
      <c r="B107" s="14"/>
      <c r="C107" s="7"/>
      <c r="D107" s="7"/>
      <c r="E107" s="14"/>
      <c r="F107" s="7"/>
      <c r="G107" s="7"/>
      <c r="H107" s="14"/>
      <c r="I107" s="7"/>
      <c r="J107" s="14"/>
      <c r="K107" s="7"/>
      <c r="L107" s="7"/>
      <c r="M107" s="14"/>
      <c r="N107" s="15"/>
      <c r="O107" s="7"/>
      <c r="P107" s="7"/>
      <c r="Q107" s="7"/>
      <c r="R107" s="11" t="str">
        <f>IF(OR(B107="",E107=""),"",B107-E107)</f>
        <v/>
      </c>
      <c r="S107" s="11" t="str">
        <f>IF(R107="","",IF(R107&lt;30,"Sí","No"))</f>
        <v/>
      </c>
    </row>
    <row r="108">
      <c r="A108" s="7"/>
      <c r="B108" s="14"/>
      <c r="C108" s="7"/>
      <c r="D108" s="7"/>
      <c r="E108" s="14"/>
      <c r="F108" s="7"/>
      <c r="G108" s="7"/>
      <c r="H108" s="14"/>
      <c r="I108" s="7"/>
      <c r="J108" s="14"/>
      <c r="K108" s="7"/>
      <c r="L108" s="7"/>
      <c r="M108" s="14"/>
      <c r="N108" s="15"/>
      <c r="O108" s="7"/>
      <c r="P108" s="7"/>
      <c r="Q108" s="7"/>
      <c r="R108" s="11" t="str">
        <f>IF(OR(B108="",E108=""),"",B108-E108)</f>
        <v/>
      </c>
      <c r="S108" s="11" t="str">
        <f>IF(R108="","",IF(R108&lt;30,"Sí","No"))</f>
        <v/>
      </c>
    </row>
    <row r="109">
      <c r="A109" s="7"/>
      <c r="B109" s="14"/>
      <c r="C109" s="7"/>
      <c r="D109" s="7"/>
      <c r="E109" s="14"/>
      <c r="F109" s="7"/>
      <c r="G109" s="7"/>
      <c r="H109" s="14"/>
      <c r="I109" s="7"/>
      <c r="J109" s="14"/>
      <c r="K109" s="7"/>
      <c r="L109" s="7"/>
      <c r="M109" s="14"/>
      <c r="N109" s="15"/>
      <c r="O109" s="7"/>
      <c r="P109" s="7"/>
      <c r="Q109" s="7"/>
      <c r="R109" s="11" t="str">
        <f>IF(OR(B109="",E109=""),"",B109-E109)</f>
        <v/>
      </c>
      <c r="S109" s="11" t="str">
        <f>IF(R109="","",IF(R109&lt;30,"Sí","No"))</f>
        <v/>
      </c>
    </row>
    <row r="110">
      <c r="A110" s="7"/>
      <c r="B110" s="14"/>
      <c r="C110" s="7"/>
      <c r="D110" s="7"/>
      <c r="E110" s="14"/>
      <c r="F110" s="7"/>
      <c r="G110" s="7"/>
      <c r="H110" s="14"/>
      <c r="I110" s="7"/>
      <c r="J110" s="14"/>
      <c r="K110" s="7"/>
      <c r="L110" s="7"/>
      <c r="M110" s="14"/>
      <c r="N110" s="15"/>
      <c r="O110" s="7"/>
      <c r="P110" s="7"/>
      <c r="Q110" s="7"/>
      <c r="R110" s="11" t="str">
        <f>IF(OR(B110="",E110=""),"",B110-E110)</f>
        <v/>
      </c>
      <c r="S110" s="11" t="str">
        <f>IF(R110="","",IF(R110&lt;30,"Sí","No"))</f>
        <v/>
      </c>
    </row>
    <row r="111">
      <c r="A111" s="7"/>
      <c r="B111" s="14"/>
      <c r="C111" s="7"/>
      <c r="D111" s="7"/>
      <c r="E111" s="14"/>
      <c r="F111" s="7"/>
      <c r="G111" s="7"/>
      <c r="H111" s="14"/>
      <c r="I111" s="7"/>
      <c r="J111" s="14"/>
      <c r="K111" s="7"/>
      <c r="L111" s="7"/>
      <c r="M111" s="14"/>
      <c r="N111" s="15"/>
      <c r="O111" s="7"/>
      <c r="P111" s="7"/>
      <c r="Q111" s="7"/>
      <c r="R111" s="11" t="str">
        <f>IF(OR(B111="",E111=""),"",B111-E111)</f>
        <v/>
      </c>
      <c r="S111" s="11" t="str">
        <f>IF(R111="","",IF(R111&lt;30,"Sí","No"))</f>
        <v/>
      </c>
    </row>
    <row r="112">
      <c r="A112" s="7"/>
      <c r="B112" s="14"/>
      <c r="C112" s="7"/>
      <c r="D112" s="7"/>
      <c r="E112" s="14"/>
      <c r="F112" s="7"/>
      <c r="G112" s="7"/>
      <c r="H112" s="14"/>
      <c r="I112" s="7"/>
      <c r="J112" s="14"/>
      <c r="K112" s="7"/>
      <c r="L112" s="7"/>
      <c r="M112" s="14"/>
      <c r="N112" s="15"/>
      <c r="O112" s="7"/>
      <c r="P112" s="7"/>
      <c r="Q112" s="7"/>
      <c r="R112" s="11" t="str">
        <f>IF(OR(B112="",E112=""),"",B112-E112)</f>
        <v/>
      </c>
      <c r="S112" s="11" t="str">
        <f>IF(R112="","",IF(R112&lt;30,"Sí","No"))</f>
        <v/>
      </c>
    </row>
    <row r="113">
      <c r="A113" s="7"/>
      <c r="B113" s="14"/>
      <c r="C113" s="7"/>
      <c r="D113" s="7"/>
      <c r="E113" s="14"/>
      <c r="F113" s="7"/>
      <c r="G113" s="7"/>
      <c r="H113" s="14"/>
      <c r="I113" s="7"/>
      <c r="J113" s="14"/>
      <c r="K113" s="7"/>
      <c r="L113" s="7"/>
      <c r="M113" s="14"/>
      <c r="N113" s="15"/>
      <c r="O113" s="7"/>
      <c r="P113" s="7"/>
      <c r="Q113" s="7"/>
      <c r="R113" s="11" t="str">
        <f>IF(OR(B113="",E113=""),"",B113-E113)</f>
        <v/>
      </c>
      <c r="S113" s="11" t="str">
        <f>IF(R113="","",IF(R113&lt;30,"Sí","No"))</f>
        <v/>
      </c>
    </row>
    <row r="114">
      <c r="A114" s="7"/>
      <c r="B114" s="14"/>
      <c r="C114" s="7"/>
      <c r="D114" s="7"/>
      <c r="E114" s="14"/>
      <c r="F114" s="7"/>
      <c r="G114" s="7"/>
      <c r="H114" s="14"/>
      <c r="I114" s="7"/>
      <c r="J114" s="14"/>
      <c r="K114" s="7"/>
      <c r="L114" s="7"/>
      <c r="M114" s="14"/>
      <c r="N114" s="15"/>
      <c r="O114" s="7"/>
      <c r="P114" s="7"/>
      <c r="Q114" s="7"/>
      <c r="R114" s="11" t="str">
        <f>IF(OR(B114="",E114=""),"",B114-E114)</f>
        <v/>
      </c>
      <c r="S114" s="11" t="str">
        <f>IF(R114="","",IF(R114&lt;30,"Sí","No"))</f>
        <v/>
      </c>
    </row>
    <row r="115">
      <c r="A115" s="7"/>
      <c r="B115" s="14"/>
      <c r="C115" s="7"/>
      <c r="D115" s="7"/>
      <c r="E115" s="14"/>
      <c r="F115" s="7"/>
      <c r="G115" s="7"/>
      <c r="H115" s="14"/>
      <c r="I115" s="7"/>
      <c r="J115" s="14"/>
      <c r="K115" s="7"/>
      <c r="L115" s="7"/>
      <c r="M115" s="14"/>
      <c r="N115" s="15"/>
      <c r="O115" s="7"/>
      <c r="P115" s="7"/>
      <c r="Q115" s="7"/>
      <c r="R115" s="11" t="str">
        <f>IF(OR(B115="",E115=""),"",B115-E115)</f>
        <v/>
      </c>
      <c r="S115" s="11" t="str">
        <f>IF(R115="","",IF(R115&lt;30,"Sí","No"))</f>
        <v/>
      </c>
    </row>
    <row r="116">
      <c r="A116" s="7"/>
      <c r="B116" s="14"/>
      <c r="C116" s="7"/>
      <c r="D116" s="7"/>
      <c r="E116" s="14"/>
      <c r="F116" s="7"/>
      <c r="G116" s="7"/>
      <c r="H116" s="14"/>
      <c r="I116" s="7"/>
      <c r="J116" s="14"/>
      <c r="K116" s="7"/>
      <c r="L116" s="7"/>
      <c r="M116" s="14"/>
      <c r="N116" s="15"/>
      <c r="O116" s="7"/>
      <c r="P116" s="7"/>
      <c r="Q116" s="7"/>
      <c r="R116" s="11" t="str">
        <f>IF(OR(B116="",E116=""),"",B116-E116)</f>
        <v/>
      </c>
      <c r="S116" s="11" t="str">
        <f>IF(R116="","",IF(R116&lt;30,"Sí","No"))</f>
        <v/>
      </c>
    </row>
    <row r="117">
      <c r="A117" s="7"/>
      <c r="B117" s="14"/>
      <c r="C117" s="7"/>
      <c r="D117" s="7"/>
      <c r="E117" s="14"/>
      <c r="F117" s="7"/>
      <c r="G117" s="7"/>
      <c r="H117" s="14"/>
      <c r="I117" s="7"/>
      <c r="J117" s="14"/>
      <c r="K117" s="7"/>
      <c r="L117" s="7"/>
      <c r="M117" s="14"/>
      <c r="N117" s="15"/>
      <c r="O117" s="7"/>
      <c r="P117" s="7"/>
      <c r="Q117" s="7"/>
      <c r="R117" s="11" t="str">
        <f>IF(OR(B117="",E117=""),"",B117-E117)</f>
        <v/>
      </c>
      <c r="S117" s="11" t="str">
        <f>IF(R117="","",IF(R117&lt;30,"Sí","No"))</f>
        <v/>
      </c>
    </row>
    <row r="118">
      <c r="A118" s="7"/>
      <c r="B118" s="14"/>
      <c r="C118" s="7"/>
      <c r="D118" s="7"/>
      <c r="E118" s="14"/>
      <c r="F118" s="7"/>
      <c r="G118" s="7"/>
      <c r="H118" s="14"/>
      <c r="I118" s="7"/>
      <c r="J118" s="14"/>
      <c r="K118" s="7"/>
      <c r="L118" s="7"/>
      <c r="M118" s="14"/>
      <c r="N118" s="15"/>
      <c r="O118" s="7"/>
      <c r="P118" s="7"/>
      <c r="Q118" s="7"/>
      <c r="R118" s="11" t="str">
        <f>IF(OR(B118="",E118=""),"",B118-E118)</f>
        <v/>
      </c>
      <c r="S118" s="11" t="str">
        <f>IF(R118="","",IF(R118&lt;30,"Sí","No"))</f>
        <v/>
      </c>
    </row>
    <row r="119">
      <c r="A119" s="7"/>
      <c r="B119" s="14"/>
      <c r="C119" s="7"/>
      <c r="D119" s="7"/>
      <c r="E119" s="14"/>
      <c r="F119" s="7"/>
      <c r="G119" s="7"/>
      <c r="H119" s="14"/>
      <c r="I119" s="7"/>
      <c r="J119" s="14"/>
      <c r="K119" s="7"/>
      <c r="L119" s="7"/>
      <c r="M119" s="14"/>
      <c r="N119" s="15"/>
      <c r="O119" s="7"/>
      <c r="P119" s="7"/>
      <c r="Q119" s="7"/>
      <c r="R119" s="11" t="str">
        <f>IF(OR(B119="",E119=""),"",B119-E119)</f>
        <v/>
      </c>
      <c r="S119" s="11" t="str">
        <f>IF(R119="","",IF(R119&lt;30,"Sí","No"))</f>
        <v/>
      </c>
    </row>
    <row r="120">
      <c r="A120" s="7"/>
      <c r="B120" s="14"/>
      <c r="C120" s="7"/>
      <c r="D120" s="7"/>
      <c r="E120" s="14"/>
      <c r="F120" s="7"/>
      <c r="G120" s="7"/>
      <c r="H120" s="14"/>
      <c r="I120" s="7"/>
      <c r="J120" s="14"/>
      <c r="K120" s="7"/>
      <c r="L120" s="7"/>
      <c r="M120" s="14"/>
      <c r="N120" s="15"/>
      <c r="O120" s="7"/>
      <c r="P120" s="7"/>
      <c r="Q120" s="7"/>
      <c r="R120" s="11" t="str">
        <f>IF(OR(B120="",E120=""),"",B120-E120)</f>
        <v/>
      </c>
      <c r="S120" s="11" t="str">
        <f>IF(R120="","",IF(R120&lt;30,"Sí","No"))</f>
        <v/>
      </c>
    </row>
    <row r="121">
      <c r="A121" s="7"/>
      <c r="B121" s="14"/>
      <c r="C121" s="7"/>
      <c r="D121" s="7"/>
      <c r="E121" s="14"/>
      <c r="F121" s="7"/>
      <c r="G121" s="7"/>
      <c r="H121" s="14"/>
      <c r="I121" s="7"/>
      <c r="J121" s="14"/>
      <c r="K121" s="7"/>
      <c r="L121" s="7"/>
      <c r="M121" s="14"/>
      <c r="N121" s="15"/>
      <c r="O121" s="7"/>
      <c r="P121" s="7"/>
      <c r="Q121" s="7"/>
      <c r="R121" s="11" t="str">
        <f>IF(OR(B121="",E121=""),"",B121-E121)</f>
        <v/>
      </c>
      <c r="S121" s="11" t="str">
        <f>IF(R121="","",IF(R121&lt;30,"Sí","No"))</f>
        <v/>
      </c>
    </row>
    <row r="122">
      <c r="A122" s="7"/>
      <c r="B122" s="14"/>
      <c r="C122" s="7"/>
      <c r="D122" s="7"/>
      <c r="E122" s="14"/>
      <c r="F122" s="7"/>
      <c r="G122" s="7"/>
      <c r="H122" s="14"/>
      <c r="I122" s="7"/>
      <c r="J122" s="14"/>
      <c r="K122" s="7"/>
      <c r="L122" s="7"/>
      <c r="M122" s="14"/>
      <c r="N122" s="15"/>
      <c r="O122" s="7"/>
      <c r="P122" s="7"/>
      <c r="Q122" s="7"/>
      <c r="R122" s="11" t="str">
        <f>IF(OR(B122="",E122=""),"",B122-E122)</f>
        <v/>
      </c>
      <c r="S122" s="11" t="str">
        <f>IF(R122="","",IF(R122&lt;30,"Sí","No"))</f>
        <v/>
      </c>
    </row>
    <row r="123">
      <c r="A123" s="7"/>
      <c r="B123" s="14"/>
      <c r="C123" s="7"/>
      <c r="D123" s="7"/>
      <c r="E123" s="14"/>
      <c r="F123" s="7"/>
      <c r="G123" s="7"/>
      <c r="H123" s="14"/>
      <c r="I123" s="7"/>
      <c r="J123" s="14"/>
      <c r="K123" s="7"/>
      <c r="L123" s="7"/>
      <c r="M123" s="14"/>
      <c r="N123" s="15"/>
      <c r="O123" s="7"/>
      <c r="P123" s="7"/>
      <c r="Q123" s="7"/>
      <c r="R123" s="11" t="str">
        <f>IF(OR(B123="",E123=""),"",B123-E123)</f>
        <v/>
      </c>
      <c r="S123" s="11" t="str">
        <f>IF(R123="","",IF(R123&lt;30,"Sí","No"))</f>
        <v/>
      </c>
    </row>
    <row r="124">
      <c r="A124" s="7"/>
      <c r="B124" s="14"/>
      <c r="C124" s="7"/>
      <c r="D124" s="7"/>
      <c r="E124" s="14"/>
      <c r="F124" s="7"/>
      <c r="G124" s="7"/>
      <c r="H124" s="14"/>
      <c r="I124" s="7"/>
      <c r="J124" s="14"/>
      <c r="K124" s="7"/>
      <c r="L124" s="7"/>
      <c r="M124" s="14"/>
      <c r="N124" s="15"/>
      <c r="O124" s="7"/>
      <c r="P124" s="7"/>
      <c r="Q124" s="7"/>
      <c r="R124" s="11" t="str">
        <f>IF(OR(B124="",E124=""),"",B124-E124)</f>
        <v/>
      </c>
      <c r="S124" s="11" t="str">
        <f>IF(R124="","",IF(R124&lt;30,"Sí","No"))</f>
        <v/>
      </c>
    </row>
    <row r="125">
      <c r="A125" s="7"/>
      <c r="B125" s="14"/>
      <c r="C125" s="7"/>
      <c r="D125" s="7"/>
      <c r="E125" s="14"/>
      <c r="F125" s="7"/>
      <c r="G125" s="7"/>
      <c r="H125" s="14"/>
      <c r="I125" s="7"/>
      <c r="J125" s="14"/>
      <c r="K125" s="7"/>
      <c r="L125" s="7"/>
      <c r="M125" s="14"/>
      <c r="N125" s="15"/>
      <c r="O125" s="7"/>
      <c r="P125" s="7"/>
      <c r="Q125" s="7"/>
      <c r="R125" s="11" t="str">
        <f>IF(OR(B125="",E125=""),"",B125-E125)</f>
        <v/>
      </c>
      <c r="S125" s="11" t="str">
        <f>IF(R125="","",IF(R125&lt;30,"Sí","No"))</f>
        <v/>
      </c>
    </row>
    <row r="126">
      <c r="A126" s="7"/>
      <c r="B126" s="14"/>
      <c r="C126" s="7"/>
      <c r="D126" s="7"/>
      <c r="E126" s="14"/>
      <c r="F126" s="7"/>
      <c r="G126" s="7"/>
      <c r="H126" s="14"/>
      <c r="I126" s="7"/>
      <c r="J126" s="14"/>
      <c r="K126" s="7"/>
      <c r="L126" s="7"/>
      <c r="M126" s="14"/>
      <c r="N126" s="15"/>
      <c r="O126" s="7"/>
      <c r="P126" s="7"/>
      <c r="Q126" s="7"/>
      <c r="R126" s="11" t="str">
        <f>IF(OR(B126="",E126=""),"",B126-E126)</f>
        <v/>
      </c>
      <c r="S126" s="11" t="str">
        <f>IF(R126="","",IF(R126&lt;30,"Sí","No"))</f>
        <v/>
      </c>
    </row>
    <row r="127">
      <c r="A127" s="7"/>
      <c r="B127" s="14"/>
      <c r="C127" s="7"/>
      <c r="D127" s="7"/>
      <c r="E127" s="14"/>
      <c r="F127" s="7"/>
      <c r="G127" s="7"/>
      <c r="H127" s="14"/>
      <c r="I127" s="7"/>
      <c r="J127" s="14"/>
      <c r="K127" s="7"/>
      <c r="L127" s="7"/>
      <c r="M127" s="14"/>
      <c r="N127" s="15"/>
      <c r="O127" s="7"/>
      <c r="P127" s="7"/>
      <c r="Q127" s="7"/>
      <c r="R127" s="11" t="str">
        <f>IF(OR(B127="",E127=""),"",B127-E127)</f>
        <v/>
      </c>
      <c r="S127" s="11" t="str">
        <f>IF(R127="","",IF(R127&lt;30,"Sí","No"))</f>
        <v/>
      </c>
    </row>
    <row r="128">
      <c r="A128" s="7"/>
      <c r="B128" s="14"/>
      <c r="C128" s="7"/>
      <c r="D128" s="7"/>
      <c r="E128" s="14"/>
      <c r="F128" s="7"/>
      <c r="G128" s="7"/>
      <c r="H128" s="14"/>
      <c r="I128" s="7"/>
      <c r="J128" s="14"/>
      <c r="K128" s="7"/>
      <c r="L128" s="7"/>
      <c r="M128" s="14"/>
      <c r="N128" s="15"/>
      <c r="O128" s="7"/>
      <c r="P128" s="7"/>
      <c r="Q128" s="7"/>
      <c r="R128" s="11" t="str">
        <f>IF(OR(B128="",E128=""),"",B128-E128)</f>
        <v/>
      </c>
      <c r="S128" s="11" t="str">
        <f>IF(R128="","",IF(R128&lt;30,"Sí","No"))</f>
        <v/>
      </c>
    </row>
    <row r="129">
      <c r="A129" s="7"/>
      <c r="B129" s="14"/>
      <c r="C129" s="7"/>
      <c r="D129" s="7"/>
      <c r="E129" s="14"/>
      <c r="F129" s="7"/>
      <c r="G129" s="7"/>
      <c r="H129" s="14"/>
      <c r="I129" s="7"/>
      <c r="J129" s="14"/>
      <c r="K129" s="7"/>
      <c r="L129" s="7"/>
      <c r="M129" s="14"/>
      <c r="N129" s="15"/>
      <c r="O129" s="7"/>
      <c r="P129" s="7"/>
      <c r="Q129" s="7"/>
      <c r="R129" s="11" t="str">
        <f>IF(OR(B129="",E129=""),"",B129-E129)</f>
        <v/>
      </c>
      <c r="S129" s="11" t="str">
        <f>IF(R129="","",IF(R129&lt;30,"Sí","No"))</f>
        <v/>
      </c>
    </row>
    <row r="130">
      <c r="A130" s="7"/>
      <c r="B130" s="14"/>
      <c r="C130" s="7"/>
      <c r="D130" s="7"/>
      <c r="E130" s="14"/>
      <c r="F130" s="7"/>
      <c r="G130" s="7"/>
      <c r="H130" s="14"/>
      <c r="I130" s="7"/>
      <c r="J130" s="14"/>
      <c r="K130" s="7"/>
      <c r="L130" s="7"/>
      <c r="M130" s="14"/>
      <c r="N130" s="15"/>
      <c r="O130" s="7"/>
      <c r="P130" s="7"/>
      <c r="Q130" s="7"/>
      <c r="R130" s="11" t="str">
        <f>IF(OR(B130="",E130=""),"",B130-E130)</f>
        <v/>
      </c>
      <c r="S130" s="11" t="str">
        <f>IF(R130="","",IF(R130&lt;30,"Sí","No"))</f>
        <v/>
      </c>
    </row>
    <row r="131">
      <c r="A131" s="7"/>
      <c r="B131" s="14"/>
      <c r="C131" s="7"/>
      <c r="D131" s="7"/>
      <c r="E131" s="14"/>
      <c r="F131" s="7"/>
      <c r="G131" s="7"/>
      <c r="H131" s="14"/>
      <c r="I131" s="7"/>
      <c r="J131" s="14"/>
      <c r="K131" s="7"/>
      <c r="L131" s="7"/>
      <c r="M131" s="14"/>
      <c r="N131" s="15"/>
      <c r="O131" s="7"/>
      <c r="P131" s="7"/>
      <c r="Q131" s="7"/>
      <c r="R131" s="11" t="str">
        <f>IF(OR(B131="",E131=""),"",B131-E131)</f>
        <v/>
      </c>
      <c r="S131" s="11" t="str">
        <f>IF(R131="","",IF(R131&lt;30,"Sí","No"))</f>
        <v/>
      </c>
    </row>
    <row r="132">
      <c r="A132" s="7"/>
      <c r="B132" s="14"/>
      <c r="C132" s="7"/>
      <c r="D132" s="7"/>
      <c r="E132" s="14"/>
      <c r="F132" s="7"/>
      <c r="G132" s="7"/>
      <c r="H132" s="14"/>
      <c r="I132" s="7"/>
      <c r="J132" s="14"/>
      <c r="K132" s="7"/>
      <c r="L132" s="7"/>
      <c r="M132" s="14"/>
      <c r="N132" s="15"/>
      <c r="O132" s="7"/>
      <c r="P132" s="7"/>
      <c r="Q132" s="7"/>
      <c r="R132" s="11" t="str">
        <f>IF(OR(B132="",E132=""),"",B132-E132)</f>
        <v/>
      </c>
      <c r="S132" s="11" t="str">
        <f>IF(R132="","",IF(R132&lt;30,"Sí","No"))</f>
        <v/>
      </c>
    </row>
    <row r="133">
      <c r="A133" s="7"/>
      <c r="B133" s="14"/>
      <c r="C133" s="7"/>
      <c r="D133" s="7"/>
      <c r="E133" s="14"/>
      <c r="F133" s="7"/>
      <c r="G133" s="7"/>
      <c r="H133" s="14"/>
      <c r="I133" s="7"/>
      <c r="J133" s="14"/>
      <c r="K133" s="7"/>
      <c r="L133" s="7"/>
      <c r="M133" s="14"/>
      <c r="N133" s="15"/>
      <c r="O133" s="7"/>
      <c r="P133" s="7"/>
      <c r="Q133" s="7"/>
      <c r="R133" s="11" t="str">
        <f>IF(OR(B133="",E133=""),"",B133-E133)</f>
        <v/>
      </c>
      <c r="S133" s="11" t="str">
        <f>IF(R133="","",IF(R133&lt;30,"Sí","No"))</f>
        <v/>
      </c>
    </row>
    <row r="134">
      <c r="A134" s="7"/>
      <c r="B134" s="14"/>
      <c r="C134" s="7"/>
      <c r="D134" s="7"/>
      <c r="E134" s="14"/>
      <c r="F134" s="7"/>
      <c r="G134" s="7"/>
      <c r="H134" s="14"/>
      <c r="I134" s="7"/>
      <c r="J134" s="14"/>
      <c r="K134" s="7"/>
      <c r="L134" s="7"/>
      <c r="M134" s="14"/>
      <c r="N134" s="15"/>
      <c r="O134" s="7"/>
      <c r="P134" s="7"/>
      <c r="Q134" s="7"/>
      <c r="R134" s="11" t="str">
        <f>IF(OR(B134="",E134=""),"",B134-E134)</f>
        <v/>
      </c>
      <c r="S134" s="11" t="str">
        <f>IF(R134="","",IF(R134&lt;30,"Sí","No"))</f>
        <v/>
      </c>
    </row>
    <row r="135">
      <c r="A135" s="7"/>
      <c r="B135" s="14"/>
      <c r="C135" s="7"/>
      <c r="D135" s="7"/>
      <c r="E135" s="14"/>
      <c r="F135" s="7"/>
      <c r="G135" s="7"/>
      <c r="H135" s="14"/>
      <c r="I135" s="7"/>
      <c r="J135" s="14"/>
      <c r="K135" s="7"/>
      <c r="L135" s="7"/>
      <c r="M135" s="14"/>
      <c r="N135" s="15"/>
      <c r="O135" s="7"/>
      <c r="P135" s="7"/>
      <c r="Q135" s="7"/>
      <c r="R135" s="11" t="str">
        <f>IF(OR(B135="",E135=""),"",B135-E135)</f>
        <v/>
      </c>
      <c r="S135" s="11" t="str">
        <f>IF(R135="","",IF(R135&lt;30,"Sí","No"))</f>
        <v/>
      </c>
    </row>
    <row r="136">
      <c r="A136" s="7"/>
      <c r="B136" s="14"/>
      <c r="C136" s="7"/>
      <c r="D136" s="7"/>
      <c r="E136" s="14"/>
      <c r="F136" s="7"/>
      <c r="G136" s="7"/>
      <c r="H136" s="14"/>
      <c r="I136" s="7"/>
      <c r="J136" s="14"/>
      <c r="K136" s="7"/>
      <c r="L136" s="7"/>
      <c r="M136" s="14"/>
      <c r="N136" s="15"/>
      <c r="O136" s="7"/>
      <c r="P136" s="7"/>
      <c r="Q136" s="7"/>
      <c r="R136" s="11" t="str">
        <f>IF(OR(B136="",E136=""),"",B136-E136)</f>
        <v/>
      </c>
      <c r="S136" s="11" t="str">
        <f>IF(R136="","",IF(R136&lt;30,"Sí","No"))</f>
        <v/>
      </c>
    </row>
    <row r="137">
      <c r="A137" s="7"/>
      <c r="B137" s="14"/>
      <c r="C137" s="7"/>
      <c r="D137" s="7"/>
      <c r="E137" s="14"/>
      <c r="F137" s="7"/>
      <c r="G137" s="7"/>
      <c r="H137" s="14"/>
      <c r="I137" s="7"/>
      <c r="J137" s="14"/>
      <c r="K137" s="7"/>
      <c r="L137" s="7"/>
      <c r="M137" s="14"/>
      <c r="N137" s="15"/>
      <c r="O137" s="7"/>
      <c r="P137" s="7"/>
      <c r="Q137" s="7"/>
      <c r="R137" s="11" t="str">
        <f>IF(OR(B137="",E137=""),"",B137-E137)</f>
        <v/>
      </c>
      <c r="S137" s="11" t="str">
        <f>IF(R137="","",IF(R137&lt;30,"Sí","No"))</f>
        <v/>
      </c>
    </row>
    <row r="138">
      <c r="A138" s="7"/>
      <c r="B138" s="14"/>
      <c r="C138" s="7"/>
      <c r="D138" s="7"/>
      <c r="E138" s="14"/>
      <c r="F138" s="7"/>
      <c r="G138" s="7"/>
      <c r="H138" s="14"/>
      <c r="I138" s="7"/>
      <c r="J138" s="14"/>
      <c r="K138" s="7"/>
      <c r="L138" s="7"/>
      <c r="M138" s="14"/>
      <c r="N138" s="15"/>
      <c r="O138" s="7"/>
      <c r="P138" s="7"/>
      <c r="Q138" s="7"/>
      <c r="R138" s="11" t="str">
        <f>IF(OR(B138="",E138=""),"",B138-E138)</f>
        <v/>
      </c>
      <c r="S138" s="11" t="str">
        <f>IF(R138="","",IF(R138&lt;30,"Sí","No"))</f>
        <v/>
      </c>
    </row>
    <row r="139">
      <c r="A139" s="7"/>
      <c r="B139" s="14"/>
      <c r="C139" s="7"/>
      <c r="D139" s="7"/>
      <c r="E139" s="14"/>
      <c r="F139" s="7"/>
      <c r="G139" s="7"/>
      <c r="H139" s="14"/>
      <c r="I139" s="7"/>
      <c r="J139" s="14"/>
      <c r="K139" s="7"/>
      <c r="L139" s="7"/>
      <c r="M139" s="14"/>
      <c r="N139" s="15"/>
      <c r="O139" s="7"/>
      <c r="P139" s="7"/>
      <c r="Q139" s="7"/>
      <c r="R139" s="11" t="str">
        <f>IF(OR(B139="",E139=""),"",B139-E139)</f>
        <v/>
      </c>
      <c r="S139" s="11" t="str">
        <f>IF(R139="","",IF(R139&lt;30,"Sí","No"))</f>
        <v/>
      </c>
    </row>
    <row r="140">
      <c r="A140" s="7"/>
      <c r="B140" s="14"/>
      <c r="C140" s="7"/>
      <c r="D140" s="7"/>
      <c r="E140" s="14"/>
      <c r="F140" s="7"/>
      <c r="G140" s="7"/>
      <c r="H140" s="14"/>
      <c r="I140" s="7"/>
      <c r="J140" s="14"/>
      <c r="K140" s="7"/>
      <c r="L140" s="7"/>
      <c r="M140" s="14"/>
      <c r="N140" s="15"/>
      <c r="O140" s="7"/>
      <c r="P140" s="7"/>
      <c r="Q140" s="7"/>
      <c r="R140" s="11" t="str">
        <f>IF(OR(B140="",E140=""),"",B140-E140)</f>
        <v/>
      </c>
      <c r="S140" s="11" t="str">
        <f>IF(R140="","",IF(R140&lt;30,"Sí","No"))</f>
        <v/>
      </c>
    </row>
    <row r="141">
      <c r="A141" s="7"/>
      <c r="B141" s="14"/>
      <c r="C141" s="7"/>
      <c r="D141" s="7"/>
      <c r="E141" s="14"/>
      <c r="F141" s="7"/>
      <c r="G141" s="7"/>
      <c r="H141" s="14"/>
      <c r="I141" s="7"/>
      <c r="J141" s="14"/>
      <c r="K141" s="7"/>
      <c r="L141" s="7"/>
      <c r="M141" s="14"/>
      <c r="N141" s="15"/>
      <c r="O141" s="7"/>
      <c r="P141" s="7"/>
      <c r="Q141" s="7"/>
      <c r="R141" s="11" t="str">
        <f>IF(OR(B141="",E141=""),"",B141-E141)</f>
        <v/>
      </c>
      <c r="S141" s="11" t="str">
        <f>IF(R141="","",IF(R141&lt;30,"Sí","No"))</f>
        <v/>
      </c>
    </row>
    <row r="142">
      <c r="A142" s="7"/>
      <c r="B142" s="14"/>
      <c r="C142" s="7"/>
      <c r="D142" s="7"/>
      <c r="E142" s="14"/>
      <c r="F142" s="7"/>
      <c r="G142" s="7"/>
      <c r="H142" s="14"/>
      <c r="I142" s="7"/>
      <c r="J142" s="14"/>
      <c r="K142" s="7"/>
      <c r="L142" s="7"/>
      <c r="M142" s="14"/>
      <c r="N142" s="15"/>
      <c r="O142" s="7"/>
      <c r="P142" s="7"/>
      <c r="Q142" s="7"/>
      <c r="R142" s="11" t="str">
        <f>IF(OR(B142="",E142=""),"",B142-E142)</f>
        <v/>
      </c>
      <c r="S142" s="11" t="str">
        <f>IF(R142="","",IF(R142&lt;30,"Sí","No"))</f>
        <v/>
      </c>
    </row>
    <row r="143">
      <c r="A143" s="7"/>
      <c r="B143" s="14"/>
      <c r="C143" s="7"/>
      <c r="D143" s="7"/>
      <c r="E143" s="14"/>
      <c r="F143" s="7"/>
      <c r="G143" s="7"/>
      <c r="H143" s="14"/>
      <c r="I143" s="7"/>
      <c r="J143" s="14"/>
      <c r="K143" s="7"/>
      <c r="L143" s="7"/>
      <c r="M143" s="14"/>
      <c r="N143" s="15"/>
      <c r="O143" s="7"/>
      <c r="P143" s="7"/>
      <c r="Q143" s="7"/>
      <c r="R143" s="11" t="str">
        <f>IF(OR(B143="",E143=""),"",B143-E143)</f>
        <v/>
      </c>
      <c r="S143" s="11" t="str">
        <f>IF(R143="","",IF(R143&lt;30,"Sí","No"))</f>
        <v/>
      </c>
    </row>
    <row r="144">
      <c r="A144" s="7"/>
      <c r="B144" s="14"/>
      <c r="C144" s="7"/>
      <c r="D144" s="7"/>
      <c r="E144" s="14"/>
      <c r="F144" s="7"/>
      <c r="G144" s="7"/>
      <c r="H144" s="14"/>
      <c r="I144" s="7"/>
      <c r="J144" s="14"/>
      <c r="K144" s="7"/>
      <c r="L144" s="7"/>
      <c r="M144" s="14"/>
      <c r="N144" s="15"/>
      <c r="O144" s="7"/>
      <c r="P144" s="7"/>
      <c r="Q144" s="7"/>
      <c r="R144" s="11" t="str">
        <f>IF(OR(B144="",E144=""),"",B144-E144)</f>
        <v/>
      </c>
      <c r="S144" s="11" t="str">
        <f>IF(R144="","",IF(R144&lt;30,"Sí","No"))</f>
        <v/>
      </c>
    </row>
    <row r="145">
      <c r="A145" s="7"/>
      <c r="B145" s="14"/>
      <c r="C145" s="7"/>
      <c r="D145" s="7"/>
      <c r="E145" s="14"/>
      <c r="F145" s="7"/>
      <c r="G145" s="7"/>
      <c r="H145" s="14"/>
      <c r="I145" s="7"/>
      <c r="J145" s="14"/>
      <c r="K145" s="7"/>
      <c r="L145" s="7"/>
      <c r="M145" s="14"/>
      <c r="N145" s="15"/>
      <c r="O145" s="7"/>
      <c r="P145" s="7"/>
      <c r="Q145" s="7"/>
      <c r="R145" s="11" t="str">
        <f>IF(OR(B145="",E145=""),"",B145-E145)</f>
        <v/>
      </c>
      <c r="S145" s="11" t="str">
        <f>IF(R145="","",IF(R145&lt;30,"Sí","No"))</f>
        <v/>
      </c>
    </row>
    <row r="146">
      <c r="A146" s="7"/>
      <c r="B146" s="14"/>
      <c r="C146" s="7"/>
      <c r="D146" s="7"/>
      <c r="E146" s="14"/>
      <c r="F146" s="7"/>
      <c r="G146" s="7"/>
      <c r="H146" s="14"/>
      <c r="I146" s="7"/>
      <c r="J146" s="14"/>
      <c r="K146" s="7"/>
      <c r="L146" s="7"/>
      <c r="M146" s="14"/>
      <c r="N146" s="15"/>
      <c r="O146" s="7"/>
      <c r="P146" s="7"/>
      <c r="Q146" s="7"/>
      <c r="R146" s="11" t="str">
        <f>IF(OR(B146="",E146=""),"",B146-E146)</f>
        <v/>
      </c>
      <c r="S146" s="11" t="str">
        <f>IF(R146="","",IF(R146&lt;30,"Sí","No"))</f>
        <v/>
      </c>
    </row>
    <row r="147">
      <c r="A147" s="7"/>
      <c r="B147" s="14"/>
      <c r="C147" s="7"/>
      <c r="D147" s="7"/>
      <c r="E147" s="14"/>
      <c r="F147" s="7"/>
      <c r="G147" s="7"/>
      <c r="H147" s="14"/>
      <c r="I147" s="7"/>
      <c r="J147" s="14"/>
      <c r="K147" s="7"/>
      <c r="L147" s="7"/>
      <c r="M147" s="14"/>
      <c r="N147" s="15"/>
      <c r="O147" s="7"/>
      <c r="P147" s="7"/>
      <c r="Q147" s="7"/>
      <c r="R147" s="11" t="str">
        <f>IF(OR(B147="",E147=""),"",B147-E147)</f>
        <v/>
      </c>
      <c r="S147" s="11" t="str">
        <f>IF(R147="","",IF(R147&lt;30,"Sí","No"))</f>
        <v/>
      </c>
    </row>
    <row r="148">
      <c r="A148" s="7"/>
      <c r="B148" s="14"/>
      <c r="C148" s="7"/>
      <c r="D148" s="7"/>
      <c r="E148" s="14"/>
      <c r="F148" s="7"/>
      <c r="G148" s="7"/>
      <c r="H148" s="14"/>
      <c r="I148" s="7"/>
      <c r="J148" s="14"/>
      <c r="K148" s="7"/>
      <c r="L148" s="7"/>
      <c r="M148" s="14"/>
      <c r="N148" s="15"/>
      <c r="O148" s="7"/>
      <c r="P148" s="7"/>
      <c r="Q148" s="7"/>
      <c r="R148" s="11" t="str">
        <f>IF(OR(B148="",E148=""),"",B148-E148)</f>
        <v/>
      </c>
      <c r="S148" s="11" t="str">
        <f>IF(R148="","",IF(R148&lt;30,"Sí","No"))</f>
        <v/>
      </c>
    </row>
    <row r="149">
      <c r="A149" s="7"/>
      <c r="B149" s="14"/>
      <c r="C149" s="7"/>
      <c r="D149" s="7"/>
      <c r="E149" s="14"/>
      <c r="F149" s="7"/>
      <c r="G149" s="7"/>
      <c r="H149" s="14"/>
      <c r="I149" s="7"/>
      <c r="J149" s="14"/>
      <c r="K149" s="7"/>
      <c r="L149" s="7"/>
      <c r="M149" s="14"/>
      <c r="N149" s="15"/>
      <c r="O149" s="7"/>
      <c r="P149" s="7"/>
      <c r="Q149" s="7"/>
      <c r="R149" s="11" t="str">
        <f>IF(OR(B149="",E149=""),"",B149-E149)</f>
        <v/>
      </c>
      <c r="S149" s="11" t="str">
        <f>IF(R149="","",IF(R149&lt;30,"Sí","No"))</f>
        <v/>
      </c>
    </row>
    <row r="150">
      <c r="A150" s="7"/>
      <c r="B150" s="14"/>
      <c r="C150" s="7"/>
      <c r="D150" s="7"/>
      <c r="E150" s="14"/>
      <c r="F150" s="7"/>
      <c r="G150" s="7"/>
      <c r="H150" s="14"/>
      <c r="I150" s="7"/>
      <c r="J150" s="14"/>
      <c r="K150" s="7"/>
      <c r="L150" s="7"/>
      <c r="M150" s="14"/>
      <c r="N150" s="15"/>
      <c r="O150" s="7"/>
      <c r="P150" s="7"/>
      <c r="Q150" s="7"/>
      <c r="R150" s="11" t="str">
        <f>IF(OR(B150="",E150=""),"",B150-E150)</f>
        <v/>
      </c>
      <c r="S150" s="11" t="str">
        <f>IF(R150="","",IF(R150&lt;30,"Sí","No"))</f>
        <v/>
      </c>
    </row>
    <row r="151">
      <c r="A151" s="7"/>
      <c r="B151" s="14"/>
      <c r="C151" s="7"/>
      <c r="D151" s="7"/>
      <c r="E151" s="14"/>
      <c r="F151" s="7"/>
      <c r="G151" s="7"/>
      <c r="H151" s="14"/>
      <c r="I151" s="7"/>
      <c r="J151" s="14"/>
      <c r="K151" s="7"/>
      <c r="L151" s="7"/>
      <c r="M151" s="14"/>
      <c r="N151" s="15"/>
      <c r="O151" s="7"/>
      <c r="P151" s="7"/>
      <c r="Q151" s="7"/>
      <c r="R151" s="11" t="str">
        <f>IF(OR(B151="",E151=""),"",B151-E151)</f>
        <v/>
      </c>
      <c r="S151" s="11" t="str">
        <f>IF(R151="","",IF(R151&lt;30,"Sí","No"))</f>
        <v/>
      </c>
    </row>
    <row r="152">
      <c r="A152" s="7"/>
      <c r="B152" s="14"/>
      <c r="C152" s="7"/>
      <c r="D152" s="7"/>
      <c r="E152" s="14"/>
      <c r="F152" s="7"/>
      <c r="G152" s="7"/>
      <c r="H152" s="14"/>
      <c r="I152" s="7"/>
      <c r="J152" s="14"/>
      <c r="K152" s="7"/>
      <c r="L152" s="7"/>
      <c r="M152" s="14"/>
      <c r="N152" s="15"/>
      <c r="O152" s="7"/>
      <c r="P152" s="7"/>
      <c r="Q152" s="7"/>
      <c r="R152" s="11" t="str">
        <f>IF(OR(B152="",E152=""),"",B152-E152)</f>
        <v/>
      </c>
      <c r="S152" s="11" t="str">
        <f>IF(R152="","",IF(R152&lt;30,"Sí","No"))</f>
        <v/>
      </c>
    </row>
    <row r="153">
      <c r="A153" s="7"/>
      <c r="B153" s="14"/>
      <c r="C153" s="7"/>
      <c r="D153" s="7"/>
      <c r="E153" s="14"/>
      <c r="F153" s="7"/>
      <c r="G153" s="7"/>
      <c r="H153" s="14"/>
      <c r="I153" s="7"/>
      <c r="J153" s="14"/>
      <c r="K153" s="7"/>
      <c r="L153" s="7"/>
      <c r="M153" s="14"/>
      <c r="N153" s="15"/>
      <c r="O153" s="7"/>
      <c r="P153" s="7"/>
      <c r="Q153" s="7"/>
      <c r="R153" s="11" t="str">
        <f>IF(OR(B153="",E153=""),"",B153-E153)</f>
        <v/>
      </c>
      <c r="S153" s="11" t="str">
        <f>IF(R153="","",IF(R153&lt;30,"Sí","No"))</f>
        <v/>
      </c>
    </row>
    <row r="154">
      <c r="A154" s="7"/>
      <c r="B154" s="14"/>
      <c r="C154" s="7"/>
      <c r="D154" s="7"/>
      <c r="E154" s="14"/>
      <c r="F154" s="7"/>
      <c r="G154" s="7"/>
      <c r="H154" s="14"/>
      <c r="I154" s="7"/>
      <c r="J154" s="14"/>
      <c r="K154" s="7"/>
      <c r="L154" s="7"/>
      <c r="M154" s="14"/>
      <c r="N154" s="15"/>
      <c r="O154" s="7"/>
      <c r="P154" s="7"/>
      <c r="Q154" s="7"/>
      <c r="R154" s="11" t="str">
        <f>IF(OR(B154="",E154=""),"",B154-E154)</f>
        <v/>
      </c>
      <c r="S154" s="11" t="str">
        <f>IF(R154="","",IF(R154&lt;30,"Sí","No"))</f>
        <v/>
      </c>
    </row>
    <row r="155">
      <c r="A155" s="7"/>
      <c r="B155" s="14"/>
      <c r="C155" s="7"/>
      <c r="D155" s="7"/>
      <c r="E155" s="14"/>
      <c r="F155" s="7"/>
      <c r="G155" s="7"/>
      <c r="H155" s="14"/>
      <c r="I155" s="7"/>
      <c r="J155" s="14"/>
      <c r="K155" s="7"/>
      <c r="L155" s="7"/>
      <c r="M155" s="14"/>
      <c r="N155" s="15"/>
      <c r="O155" s="7"/>
      <c r="P155" s="7"/>
      <c r="Q155" s="7"/>
      <c r="R155" s="11" t="str">
        <f>IF(OR(B155="",E155=""),"",B155-E155)</f>
        <v/>
      </c>
      <c r="S155" s="11" t="str">
        <f>IF(R155="","",IF(R155&lt;30,"Sí","No"))</f>
        <v/>
      </c>
    </row>
    <row r="156">
      <c r="A156" s="7"/>
      <c r="B156" s="14"/>
      <c r="C156" s="7"/>
      <c r="D156" s="7"/>
      <c r="E156" s="14"/>
      <c r="F156" s="7"/>
      <c r="G156" s="7"/>
      <c r="H156" s="14"/>
      <c r="I156" s="7"/>
      <c r="J156" s="14"/>
      <c r="K156" s="7"/>
      <c r="L156" s="7"/>
      <c r="M156" s="14"/>
      <c r="N156" s="15"/>
      <c r="O156" s="7"/>
      <c r="P156" s="7"/>
      <c r="Q156" s="7"/>
      <c r="R156" s="11" t="str">
        <f>IF(OR(B156="",E156=""),"",B156-E156)</f>
        <v/>
      </c>
      <c r="S156" s="11" t="str">
        <f>IF(R156="","",IF(R156&lt;30,"Sí","No"))</f>
        <v/>
      </c>
    </row>
    <row r="157">
      <c r="A157" s="7"/>
      <c r="B157" s="14"/>
      <c r="C157" s="7"/>
      <c r="D157" s="7"/>
      <c r="E157" s="14"/>
      <c r="F157" s="7"/>
      <c r="G157" s="7"/>
      <c r="H157" s="14"/>
      <c r="I157" s="7"/>
      <c r="J157" s="14"/>
      <c r="K157" s="7"/>
      <c r="L157" s="7"/>
      <c r="M157" s="14"/>
      <c r="N157" s="15"/>
      <c r="O157" s="7"/>
      <c r="P157" s="7"/>
      <c r="Q157" s="7"/>
      <c r="R157" s="11" t="str">
        <f>IF(OR(B157="",E157=""),"",B157-E157)</f>
        <v/>
      </c>
      <c r="S157" s="11" t="str">
        <f>IF(R157="","",IF(R157&lt;30,"Sí","No"))</f>
        <v/>
      </c>
    </row>
    <row r="158">
      <c r="A158" s="7"/>
      <c r="B158" s="14"/>
      <c r="C158" s="7"/>
      <c r="D158" s="7"/>
      <c r="E158" s="14"/>
      <c r="F158" s="7"/>
      <c r="G158" s="7"/>
      <c r="H158" s="14"/>
      <c r="I158" s="7"/>
      <c r="J158" s="14"/>
      <c r="K158" s="7"/>
      <c r="L158" s="7"/>
      <c r="M158" s="14"/>
      <c r="N158" s="15"/>
      <c r="O158" s="7"/>
      <c r="P158" s="7"/>
      <c r="Q158" s="7"/>
      <c r="R158" s="11" t="str">
        <f>IF(OR(B158="",E158=""),"",B158-E158)</f>
        <v/>
      </c>
      <c r="S158" s="11" t="str">
        <f>IF(R158="","",IF(R158&lt;30,"Sí","No"))</f>
        <v/>
      </c>
    </row>
    <row r="159">
      <c r="A159" s="7"/>
      <c r="B159" s="14"/>
      <c r="C159" s="7"/>
      <c r="D159" s="7"/>
      <c r="E159" s="14"/>
      <c r="F159" s="7"/>
      <c r="G159" s="7"/>
      <c r="H159" s="14"/>
      <c r="I159" s="7"/>
      <c r="J159" s="14"/>
      <c r="K159" s="7"/>
      <c r="L159" s="7"/>
      <c r="M159" s="14"/>
      <c r="N159" s="15"/>
      <c r="O159" s="7"/>
      <c r="P159" s="7"/>
      <c r="Q159" s="7"/>
      <c r="R159" s="11" t="str">
        <f>IF(OR(B159="",E159=""),"",B159-E159)</f>
        <v/>
      </c>
      <c r="S159" s="11" t="str">
        <f>IF(R159="","",IF(R159&lt;30,"Sí","No"))</f>
        <v/>
      </c>
    </row>
    <row r="160">
      <c r="A160" s="7"/>
      <c r="B160" s="14"/>
      <c r="C160" s="7"/>
      <c r="D160" s="7"/>
      <c r="E160" s="14"/>
      <c r="F160" s="7"/>
      <c r="G160" s="7"/>
      <c r="H160" s="14"/>
      <c r="I160" s="7"/>
      <c r="J160" s="14"/>
      <c r="K160" s="7"/>
      <c r="L160" s="7"/>
      <c r="M160" s="14"/>
      <c r="N160" s="15"/>
      <c r="O160" s="7"/>
      <c r="P160" s="7"/>
      <c r="Q160" s="7"/>
      <c r="R160" s="11" t="str">
        <f>IF(OR(B160="",E160=""),"",B160-E160)</f>
        <v/>
      </c>
      <c r="S160" s="11" t="str">
        <f>IF(R160="","",IF(R160&lt;30,"Sí","No"))</f>
        <v/>
      </c>
    </row>
    <row r="161">
      <c r="A161" s="7"/>
      <c r="B161" s="14"/>
      <c r="C161" s="7"/>
      <c r="D161" s="7"/>
      <c r="E161" s="14"/>
      <c r="F161" s="7"/>
      <c r="G161" s="7"/>
      <c r="H161" s="14"/>
      <c r="I161" s="7"/>
      <c r="J161" s="14"/>
      <c r="K161" s="7"/>
      <c r="L161" s="7"/>
      <c r="M161" s="14"/>
      <c r="N161" s="15"/>
      <c r="O161" s="7"/>
      <c r="P161" s="7"/>
      <c r="Q161" s="7"/>
      <c r="R161" s="11" t="str">
        <f>IF(OR(B161="",E161=""),"",B161-E161)</f>
        <v/>
      </c>
      <c r="S161" s="11" t="str">
        <f>IF(R161="","",IF(R161&lt;30,"Sí","No"))</f>
        <v/>
      </c>
    </row>
    <row r="162">
      <c r="A162" s="7"/>
      <c r="B162" s="14"/>
      <c r="C162" s="7"/>
      <c r="D162" s="7"/>
      <c r="E162" s="14"/>
      <c r="F162" s="7"/>
      <c r="G162" s="7"/>
      <c r="H162" s="14"/>
      <c r="I162" s="7"/>
      <c r="J162" s="14"/>
      <c r="K162" s="7"/>
      <c r="L162" s="7"/>
      <c r="M162" s="14"/>
      <c r="N162" s="15"/>
      <c r="O162" s="7"/>
      <c r="P162" s="7"/>
      <c r="Q162" s="7"/>
      <c r="R162" s="11" t="str">
        <f>IF(OR(B162="",E162=""),"",B162-E162)</f>
        <v/>
      </c>
      <c r="S162" s="11" t="str">
        <f>IF(R162="","",IF(R162&lt;30,"Sí","No"))</f>
        <v/>
      </c>
    </row>
    <row r="163">
      <c r="A163" s="7"/>
      <c r="B163" s="14"/>
      <c r="C163" s="7"/>
      <c r="D163" s="7"/>
      <c r="E163" s="14"/>
      <c r="F163" s="7"/>
      <c r="G163" s="7"/>
      <c r="H163" s="14"/>
      <c r="I163" s="7"/>
      <c r="J163" s="14"/>
      <c r="K163" s="7"/>
      <c r="L163" s="7"/>
      <c r="M163" s="14"/>
      <c r="N163" s="15"/>
      <c r="O163" s="7"/>
      <c r="P163" s="7"/>
      <c r="Q163" s="7"/>
      <c r="R163" s="11" t="str">
        <f>IF(OR(B163="",E163=""),"",B163-E163)</f>
        <v/>
      </c>
      <c r="S163" s="11" t="str">
        <f>IF(R163="","",IF(R163&lt;30,"Sí","No"))</f>
        <v/>
      </c>
    </row>
    <row r="164">
      <c r="A164" s="7"/>
      <c r="B164" s="14"/>
      <c r="C164" s="7"/>
      <c r="D164" s="7"/>
      <c r="E164" s="14"/>
      <c r="F164" s="7"/>
      <c r="G164" s="7"/>
      <c r="H164" s="14"/>
      <c r="I164" s="7"/>
      <c r="J164" s="14"/>
      <c r="K164" s="7"/>
      <c r="L164" s="7"/>
      <c r="M164" s="14"/>
      <c r="N164" s="15"/>
      <c r="O164" s="7"/>
      <c r="P164" s="7"/>
      <c r="Q164" s="7"/>
      <c r="R164" s="11" t="str">
        <f>IF(OR(B164="",E164=""),"",B164-E164)</f>
        <v/>
      </c>
      <c r="S164" s="11" t="str">
        <f>IF(R164="","",IF(R164&lt;30,"Sí","No"))</f>
        <v/>
      </c>
    </row>
    <row r="165">
      <c r="A165" s="7"/>
      <c r="B165" s="14"/>
      <c r="C165" s="7"/>
      <c r="D165" s="7"/>
      <c r="E165" s="14"/>
      <c r="F165" s="7"/>
      <c r="G165" s="7"/>
      <c r="H165" s="14"/>
      <c r="I165" s="7"/>
      <c r="J165" s="14"/>
      <c r="K165" s="7"/>
      <c r="L165" s="7"/>
      <c r="M165" s="14"/>
      <c r="N165" s="15"/>
      <c r="O165" s="7"/>
      <c r="P165" s="7"/>
      <c r="Q165" s="7"/>
      <c r="R165" s="11" t="str">
        <f>IF(OR(B165="",E165=""),"",B165-E165)</f>
        <v/>
      </c>
      <c r="S165" s="11" t="str">
        <f>IF(R165="","",IF(R165&lt;30,"Sí","No"))</f>
        <v/>
      </c>
    </row>
    <row r="166">
      <c r="A166" s="7"/>
      <c r="B166" s="14"/>
      <c r="C166" s="7"/>
      <c r="D166" s="7"/>
      <c r="E166" s="14"/>
      <c r="F166" s="7"/>
      <c r="G166" s="7"/>
      <c r="H166" s="14"/>
      <c r="I166" s="7"/>
      <c r="J166" s="14"/>
      <c r="K166" s="7"/>
      <c r="L166" s="7"/>
      <c r="M166" s="14"/>
      <c r="N166" s="15"/>
      <c r="O166" s="7"/>
      <c r="P166" s="7"/>
      <c r="Q166" s="7"/>
      <c r="R166" s="11" t="str">
        <f>IF(OR(B166="",E166=""),"",B166-E166)</f>
        <v/>
      </c>
      <c r="S166" s="11" t="str">
        <f>IF(R166="","",IF(R166&lt;30,"Sí","No"))</f>
        <v/>
      </c>
    </row>
    <row r="167">
      <c r="A167" s="7"/>
      <c r="B167" s="14"/>
      <c r="C167" s="7"/>
      <c r="D167" s="7"/>
      <c r="E167" s="14"/>
      <c r="F167" s="7"/>
      <c r="G167" s="7"/>
      <c r="H167" s="14"/>
      <c r="I167" s="7"/>
      <c r="J167" s="14"/>
      <c r="K167" s="7"/>
      <c r="L167" s="7"/>
      <c r="M167" s="14"/>
      <c r="N167" s="15"/>
      <c r="O167" s="7"/>
      <c r="P167" s="7"/>
      <c r="Q167" s="7"/>
      <c r="R167" s="11" t="str">
        <f>IF(OR(B167="",E167=""),"",B167-E167)</f>
        <v/>
      </c>
      <c r="S167" s="11" t="str">
        <f>IF(R167="","",IF(R167&lt;30,"Sí","No"))</f>
        <v/>
      </c>
    </row>
    <row r="168">
      <c r="A168" s="7"/>
      <c r="B168" s="14"/>
      <c r="C168" s="7"/>
      <c r="D168" s="7"/>
      <c r="E168" s="14"/>
      <c r="F168" s="7"/>
      <c r="G168" s="7"/>
      <c r="H168" s="14"/>
      <c r="I168" s="7"/>
      <c r="J168" s="14"/>
      <c r="K168" s="7"/>
      <c r="L168" s="7"/>
      <c r="M168" s="14"/>
      <c r="N168" s="15"/>
      <c r="O168" s="7"/>
      <c r="P168" s="7"/>
      <c r="Q168" s="7"/>
      <c r="R168" s="11" t="str">
        <f>IF(OR(B168="",E168=""),"",B168-E168)</f>
        <v/>
      </c>
      <c r="S168" s="11" t="str">
        <f>IF(R168="","",IF(R168&lt;30,"Sí","No"))</f>
        <v/>
      </c>
    </row>
    <row r="169">
      <c r="A169" s="7"/>
      <c r="B169" s="14"/>
      <c r="C169" s="7"/>
      <c r="D169" s="7"/>
      <c r="E169" s="14"/>
      <c r="F169" s="7"/>
      <c r="G169" s="7"/>
      <c r="H169" s="14"/>
      <c r="I169" s="7"/>
      <c r="J169" s="14"/>
      <c r="K169" s="7"/>
      <c r="L169" s="7"/>
      <c r="M169" s="14"/>
      <c r="N169" s="15"/>
      <c r="O169" s="7"/>
      <c r="P169" s="7"/>
      <c r="Q169" s="7"/>
      <c r="R169" s="11" t="str">
        <f>IF(OR(B169="",E169=""),"",B169-E169)</f>
        <v/>
      </c>
      <c r="S169" s="11" t="str">
        <f>IF(R169="","",IF(R169&lt;30,"Sí","No"))</f>
        <v/>
      </c>
    </row>
    <row r="170">
      <c r="A170" s="7"/>
      <c r="B170" s="14"/>
      <c r="C170" s="7"/>
      <c r="D170" s="7"/>
      <c r="E170" s="14"/>
      <c r="F170" s="7"/>
      <c r="G170" s="7"/>
      <c r="H170" s="14"/>
      <c r="I170" s="7"/>
      <c r="J170" s="14"/>
      <c r="K170" s="7"/>
      <c r="L170" s="7"/>
      <c r="M170" s="14"/>
      <c r="N170" s="15"/>
      <c r="O170" s="7"/>
      <c r="P170" s="7"/>
      <c r="Q170" s="7"/>
      <c r="R170" s="11" t="str">
        <f>IF(OR(B170="",E170=""),"",B170-E170)</f>
        <v/>
      </c>
      <c r="S170" s="11" t="str">
        <f>IF(R170="","",IF(R170&lt;30,"Sí","No"))</f>
        <v/>
      </c>
    </row>
    <row r="171">
      <c r="A171" s="7"/>
      <c r="B171" s="14"/>
      <c r="C171" s="7"/>
      <c r="D171" s="7"/>
      <c r="E171" s="14"/>
      <c r="F171" s="7"/>
      <c r="G171" s="7"/>
      <c r="H171" s="14"/>
      <c r="I171" s="7"/>
      <c r="J171" s="14"/>
      <c r="K171" s="7"/>
      <c r="L171" s="7"/>
      <c r="M171" s="14"/>
      <c r="N171" s="15"/>
      <c r="O171" s="7"/>
      <c r="P171" s="7"/>
      <c r="Q171" s="7"/>
      <c r="R171" s="11" t="str">
        <f>IF(OR(B171="",E171=""),"",B171-E171)</f>
        <v/>
      </c>
      <c r="S171" s="11" t="str">
        <f>IF(R171="","",IF(R171&lt;30,"Sí","No"))</f>
        <v/>
      </c>
    </row>
    <row r="172">
      <c r="A172" s="7"/>
      <c r="B172" s="14"/>
      <c r="C172" s="7"/>
      <c r="D172" s="7"/>
      <c r="E172" s="14"/>
      <c r="F172" s="7"/>
      <c r="G172" s="7"/>
      <c r="H172" s="14"/>
      <c r="I172" s="7"/>
      <c r="J172" s="14"/>
      <c r="K172" s="7"/>
      <c r="L172" s="7"/>
      <c r="M172" s="14"/>
      <c r="N172" s="15"/>
      <c r="O172" s="7"/>
      <c r="P172" s="7"/>
      <c r="Q172" s="7"/>
      <c r="R172" s="11" t="str">
        <f>IF(OR(B172="",E172=""),"",B172-E172)</f>
        <v/>
      </c>
      <c r="S172" s="11" t="str">
        <f>IF(R172="","",IF(R172&lt;30,"Sí","No"))</f>
        <v/>
      </c>
    </row>
    <row r="173">
      <c r="A173" s="7"/>
      <c r="B173" s="14"/>
      <c r="C173" s="7"/>
      <c r="D173" s="7"/>
      <c r="E173" s="14"/>
      <c r="F173" s="7"/>
      <c r="G173" s="7"/>
      <c r="H173" s="14"/>
      <c r="I173" s="7"/>
      <c r="J173" s="14"/>
      <c r="K173" s="7"/>
      <c r="L173" s="7"/>
      <c r="M173" s="14"/>
      <c r="N173" s="15"/>
      <c r="O173" s="7"/>
      <c r="P173" s="7"/>
      <c r="Q173" s="7"/>
      <c r="R173" s="11" t="str">
        <f>IF(OR(B173="",E173=""),"",B173-E173)</f>
        <v/>
      </c>
      <c r="S173" s="11" t="str">
        <f>IF(R173="","",IF(R173&lt;30,"Sí","No"))</f>
        <v/>
      </c>
    </row>
    <row r="174">
      <c r="A174" s="7"/>
      <c r="B174" s="14"/>
      <c r="C174" s="7"/>
      <c r="D174" s="7"/>
      <c r="E174" s="14"/>
      <c r="F174" s="7"/>
      <c r="G174" s="7"/>
      <c r="H174" s="14"/>
      <c r="I174" s="7"/>
      <c r="J174" s="14"/>
      <c r="K174" s="7"/>
      <c r="L174" s="7"/>
      <c r="M174" s="14"/>
      <c r="N174" s="15"/>
      <c r="O174" s="7"/>
      <c r="P174" s="7"/>
      <c r="Q174" s="7"/>
      <c r="R174" s="11" t="str">
        <f>IF(OR(B174="",E174=""),"",B174-E174)</f>
        <v/>
      </c>
      <c r="S174" s="11" t="str">
        <f>IF(R174="","",IF(R174&lt;30,"Sí","No"))</f>
        <v/>
      </c>
    </row>
    <row r="175">
      <c r="A175" s="7"/>
      <c r="B175" s="14"/>
      <c r="C175" s="7"/>
      <c r="D175" s="7"/>
      <c r="E175" s="14"/>
      <c r="F175" s="7"/>
      <c r="G175" s="7"/>
      <c r="H175" s="14"/>
      <c r="I175" s="7"/>
      <c r="J175" s="14"/>
      <c r="K175" s="7"/>
      <c r="L175" s="7"/>
      <c r="M175" s="14"/>
      <c r="N175" s="15"/>
      <c r="O175" s="7"/>
      <c r="P175" s="7"/>
      <c r="Q175" s="7"/>
      <c r="R175" s="11" t="str">
        <f>IF(OR(B175="",E175=""),"",B175-E175)</f>
        <v/>
      </c>
      <c r="S175" s="11" t="str">
        <f>IF(R175="","",IF(R175&lt;30,"Sí","No"))</f>
        <v/>
      </c>
    </row>
    <row r="176">
      <c r="A176" s="7"/>
      <c r="B176" s="14"/>
      <c r="C176" s="7"/>
      <c r="D176" s="7"/>
      <c r="E176" s="14"/>
      <c r="F176" s="7"/>
      <c r="G176" s="7"/>
      <c r="H176" s="14"/>
      <c r="I176" s="7"/>
      <c r="J176" s="14"/>
      <c r="K176" s="7"/>
      <c r="L176" s="7"/>
      <c r="M176" s="14"/>
      <c r="N176" s="15"/>
      <c r="O176" s="7"/>
      <c r="P176" s="7"/>
      <c r="Q176" s="7"/>
      <c r="R176" s="11" t="str">
        <f>IF(OR(B176="",E176=""),"",B176-E176)</f>
        <v/>
      </c>
      <c r="S176" s="11" t="str">
        <f>IF(R176="","",IF(R176&lt;30,"Sí","No"))</f>
        <v/>
      </c>
    </row>
    <row r="177">
      <c r="A177" s="7"/>
      <c r="B177" s="14"/>
      <c r="C177" s="7"/>
      <c r="D177" s="7"/>
      <c r="E177" s="14"/>
      <c r="F177" s="7"/>
      <c r="G177" s="7"/>
      <c r="H177" s="14"/>
      <c r="I177" s="7"/>
      <c r="J177" s="14"/>
      <c r="K177" s="7"/>
      <c r="L177" s="7"/>
      <c r="M177" s="14"/>
      <c r="N177" s="15"/>
      <c r="O177" s="7"/>
      <c r="P177" s="7"/>
      <c r="Q177" s="7"/>
      <c r="R177" s="11" t="str">
        <f>IF(OR(B177="",E177=""),"",B177-E177)</f>
        <v/>
      </c>
      <c r="S177" s="11" t="str">
        <f>IF(R177="","",IF(R177&lt;30,"Sí","No"))</f>
        <v/>
      </c>
    </row>
    <row r="178">
      <c r="A178" s="7"/>
      <c r="B178" s="14"/>
      <c r="C178" s="7"/>
      <c r="D178" s="7"/>
      <c r="E178" s="14"/>
      <c r="F178" s="7"/>
      <c r="G178" s="7"/>
      <c r="H178" s="14"/>
      <c r="I178" s="7"/>
      <c r="J178" s="14"/>
      <c r="K178" s="7"/>
      <c r="L178" s="7"/>
      <c r="M178" s="14"/>
      <c r="N178" s="15"/>
      <c r="O178" s="7"/>
      <c r="P178" s="7"/>
      <c r="Q178" s="7"/>
      <c r="R178" s="11" t="str">
        <f>IF(OR(B178="",E178=""),"",B178-E178)</f>
        <v/>
      </c>
      <c r="S178" s="11" t="str">
        <f>IF(R178="","",IF(R178&lt;30,"Sí","No"))</f>
        <v/>
      </c>
    </row>
    <row r="179">
      <c r="A179" s="7"/>
      <c r="B179" s="14"/>
      <c r="C179" s="7"/>
      <c r="D179" s="7"/>
      <c r="E179" s="14"/>
      <c r="F179" s="7"/>
      <c r="G179" s="7"/>
      <c r="H179" s="14"/>
      <c r="I179" s="7"/>
      <c r="J179" s="14"/>
      <c r="K179" s="7"/>
      <c r="L179" s="7"/>
      <c r="M179" s="14"/>
      <c r="N179" s="15"/>
      <c r="O179" s="7"/>
      <c r="P179" s="7"/>
      <c r="Q179" s="7"/>
      <c r="R179" s="11" t="str">
        <f>IF(OR(B179="",E179=""),"",B179-E179)</f>
        <v/>
      </c>
      <c r="S179" s="11" t="str">
        <f>IF(R179="","",IF(R179&lt;30,"Sí","No"))</f>
        <v/>
      </c>
    </row>
    <row r="180">
      <c r="A180" s="7"/>
      <c r="B180" s="14"/>
      <c r="C180" s="7"/>
      <c r="D180" s="7"/>
      <c r="E180" s="14"/>
      <c r="F180" s="7"/>
      <c r="G180" s="7"/>
      <c r="H180" s="14"/>
      <c r="I180" s="7"/>
      <c r="J180" s="14"/>
      <c r="K180" s="7"/>
      <c r="L180" s="7"/>
      <c r="M180" s="14"/>
      <c r="N180" s="15"/>
      <c r="O180" s="7"/>
      <c r="P180" s="7"/>
      <c r="Q180" s="7"/>
      <c r="R180" s="11" t="str">
        <f>IF(OR(B180="",E180=""),"",B180-E180)</f>
        <v/>
      </c>
      <c r="S180" s="11" t="str">
        <f>IF(R180="","",IF(R180&lt;30,"Sí","No"))</f>
        <v/>
      </c>
    </row>
    <row r="181">
      <c r="A181" s="7"/>
      <c r="B181" s="14"/>
      <c r="C181" s="7"/>
      <c r="D181" s="7"/>
      <c r="E181" s="14"/>
      <c r="F181" s="7"/>
      <c r="G181" s="7"/>
      <c r="H181" s="14"/>
      <c r="I181" s="7"/>
      <c r="J181" s="14"/>
      <c r="K181" s="7"/>
      <c r="L181" s="7"/>
      <c r="M181" s="14"/>
      <c r="N181" s="15"/>
      <c r="O181" s="7"/>
      <c r="P181" s="7"/>
      <c r="Q181" s="7"/>
      <c r="R181" s="11" t="str">
        <f>IF(OR(B181="",E181=""),"",B181-E181)</f>
        <v/>
      </c>
      <c r="S181" s="11" t="str">
        <f>IF(R181="","",IF(R181&lt;30,"Sí","No"))</f>
        <v/>
      </c>
    </row>
    <row r="182">
      <c r="A182" s="7"/>
      <c r="B182" s="14"/>
      <c r="C182" s="7"/>
      <c r="D182" s="7"/>
      <c r="E182" s="14"/>
      <c r="F182" s="7"/>
      <c r="G182" s="7"/>
      <c r="H182" s="14"/>
      <c r="I182" s="7"/>
      <c r="J182" s="14"/>
      <c r="K182" s="7"/>
      <c r="L182" s="7"/>
      <c r="M182" s="14"/>
      <c r="N182" s="15"/>
      <c r="O182" s="7"/>
      <c r="P182" s="7"/>
      <c r="Q182" s="7"/>
      <c r="R182" s="11" t="str">
        <f>IF(OR(B182="",E182=""),"",B182-E182)</f>
        <v/>
      </c>
      <c r="S182" s="11" t="str">
        <f>IF(R182="","",IF(R182&lt;30,"Sí","No"))</f>
        <v/>
      </c>
    </row>
    <row r="183">
      <c r="A183" s="7"/>
      <c r="B183" s="14"/>
      <c r="C183" s="7"/>
      <c r="D183" s="7"/>
      <c r="E183" s="14"/>
      <c r="F183" s="7"/>
      <c r="G183" s="7"/>
      <c r="H183" s="14"/>
      <c r="I183" s="7"/>
      <c r="J183" s="14"/>
      <c r="K183" s="7"/>
      <c r="L183" s="7"/>
      <c r="M183" s="14"/>
      <c r="N183" s="15"/>
      <c r="O183" s="7"/>
      <c r="P183" s="7"/>
      <c r="Q183" s="7"/>
      <c r="R183" s="11" t="str">
        <f>IF(OR(B183="",E183=""),"",B183-E183)</f>
        <v/>
      </c>
      <c r="S183" s="11" t="str">
        <f>IF(R183="","",IF(R183&lt;30,"Sí","No"))</f>
        <v/>
      </c>
    </row>
    <row r="184">
      <c r="A184" s="7"/>
      <c r="B184" s="14"/>
      <c r="C184" s="7"/>
      <c r="D184" s="7"/>
      <c r="E184" s="14"/>
      <c r="F184" s="7"/>
      <c r="G184" s="7"/>
      <c r="H184" s="14"/>
      <c r="I184" s="7"/>
      <c r="J184" s="14"/>
      <c r="K184" s="7"/>
      <c r="L184" s="7"/>
      <c r="M184" s="14"/>
      <c r="N184" s="15"/>
      <c r="O184" s="7"/>
      <c r="P184" s="7"/>
      <c r="Q184" s="7"/>
      <c r="R184" s="11" t="str">
        <f>IF(OR(B184="",E184=""),"",B184-E184)</f>
        <v/>
      </c>
      <c r="S184" s="11" t="str">
        <f>IF(R184="","",IF(R184&lt;30,"Sí","No"))</f>
        <v/>
      </c>
    </row>
    <row r="185">
      <c r="A185" s="7"/>
      <c r="B185" s="14"/>
      <c r="C185" s="7"/>
      <c r="D185" s="7"/>
      <c r="E185" s="14"/>
      <c r="F185" s="7"/>
      <c r="G185" s="7"/>
      <c r="H185" s="14"/>
      <c r="I185" s="7"/>
      <c r="J185" s="14"/>
      <c r="K185" s="7"/>
      <c r="L185" s="7"/>
      <c r="M185" s="14"/>
      <c r="N185" s="15"/>
      <c r="O185" s="7"/>
      <c r="P185" s="7"/>
      <c r="Q185" s="7"/>
      <c r="R185" s="11" t="str">
        <f>IF(OR(B185="",E185=""),"",B185-E185)</f>
        <v/>
      </c>
      <c r="S185" s="11" t="str">
        <f>IF(R185="","",IF(R185&lt;30,"Sí","No"))</f>
        <v/>
      </c>
    </row>
    <row r="186">
      <c r="A186" s="7"/>
      <c r="B186" s="14"/>
      <c r="C186" s="7"/>
      <c r="D186" s="7"/>
      <c r="E186" s="14"/>
      <c r="F186" s="7"/>
      <c r="G186" s="7"/>
      <c r="H186" s="14"/>
      <c r="I186" s="7"/>
      <c r="J186" s="14"/>
      <c r="K186" s="7"/>
      <c r="L186" s="7"/>
      <c r="M186" s="14"/>
      <c r="N186" s="15"/>
      <c r="O186" s="7"/>
      <c r="P186" s="7"/>
      <c r="Q186" s="7"/>
      <c r="R186" s="11" t="str">
        <f>IF(OR(B186="",E186=""),"",B186-E186)</f>
        <v/>
      </c>
      <c r="S186" s="11" t="str">
        <f>IF(R186="","",IF(R186&lt;30,"Sí","No"))</f>
        <v/>
      </c>
    </row>
    <row r="187">
      <c r="A187" s="7"/>
      <c r="B187" s="14"/>
      <c r="C187" s="7"/>
      <c r="D187" s="7"/>
      <c r="E187" s="14"/>
      <c r="F187" s="7"/>
      <c r="G187" s="7"/>
      <c r="H187" s="14"/>
      <c r="I187" s="7"/>
      <c r="J187" s="14"/>
      <c r="K187" s="7"/>
      <c r="L187" s="7"/>
      <c r="M187" s="14"/>
      <c r="N187" s="15"/>
      <c r="O187" s="7"/>
      <c r="P187" s="7"/>
      <c r="Q187" s="7"/>
      <c r="R187" s="11" t="str">
        <f>IF(OR(B187="",E187=""),"",B187-E187)</f>
        <v/>
      </c>
      <c r="S187" s="11" t="str">
        <f>IF(R187="","",IF(R187&lt;30,"Sí","No"))</f>
        <v/>
      </c>
    </row>
    <row r="188">
      <c r="A188" s="7"/>
      <c r="B188" s="14"/>
      <c r="C188" s="7"/>
      <c r="D188" s="7"/>
      <c r="E188" s="14"/>
      <c r="F188" s="7"/>
      <c r="G188" s="7"/>
      <c r="H188" s="14"/>
      <c r="I188" s="7"/>
      <c r="J188" s="14"/>
      <c r="K188" s="7"/>
      <c r="L188" s="7"/>
      <c r="M188" s="14"/>
      <c r="N188" s="15"/>
      <c r="O188" s="7"/>
      <c r="P188" s="7"/>
      <c r="Q188" s="7"/>
      <c r="R188" s="11" t="str">
        <f>IF(OR(B188="",E188=""),"",B188-E188)</f>
        <v/>
      </c>
      <c r="S188" s="11" t="str">
        <f>IF(R188="","",IF(R188&lt;30,"Sí","No"))</f>
        <v/>
      </c>
    </row>
    <row r="189">
      <c r="A189" s="7"/>
      <c r="B189" s="14"/>
      <c r="C189" s="7"/>
      <c r="D189" s="7"/>
      <c r="E189" s="14"/>
      <c r="F189" s="7"/>
      <c r="G189" s="7"/>
      <c r="H189" s="14"/>
      <c r="I189" s="7"/>
      <c r="J189" s="14"/>
      <c r="K189" s="7"/>
      <c r="L189" s="7"/>
      <c r="M189" s="14"/>
      <c r="N189" s="15"/>
      <c r="O189" s="7"/>
      <c r="P189" s="7"/>
      <c r="Q189" s="7"/>
      <c r="R189" s="11" t="str">
        <f>IF(OR(B189="",E189=""),"",B189-E189)</f>
        <v/>
      </c>
      <c r="S189" s="11" t="str">
        <f>IF(R189="","",IF(R189&lt;30,"Sí","No"))</f>
        <v/>
      </c>
    </row>
    <row r="190">
      <c r="A190" s="7"/>
      <c r="B190" s="14"/>
      <c r="C190" s="7"/>
      <c r="D190" s="7"/>
      <c r="E190" s="14"/>
      <c r="F190" s="7"/>
      <c r="G190" s="7"/>
      <c r="H190" s="14"/>
      <c r="I190" s="7"/>
      <c r="J190" s="14"/>
      <c r="K190" s="7"/>
      <c r="L190" s="7"/>
      <c r="M190" s="14"/>
      <c r="N190" s="15"/>
      <c r="O190" s="7"/>
      <c r="P190" s="7"/>
      <c r="Q190" s="7"/>
      <c r="R190" s="11" t="str">
        <f>IF(OR(B190="",E190=""),"",B190-E190)</f>
        <v/>
      </c>
      <c r="S190" s="11" t="str">
        <f>IF(R190="","",IF(R190&lt;30,"Sí","No"))</f>
        <v/>
      </c>
    </row>
    <row r="191">
      <c r="A191" s="7"/>
      <c r="B191" s="14"/>
      <c r="C191" s="7"/>
      <c r="D191" s="7"/>
      <c r="E191" s="14"/>
      <c r="F191" s="7"/>
      <c r="G191" s="7"/>
      <c r="H191" s="14"/>
      <c r="I191" s="7"/>
      <c r="J191" s="14"/>
      <c r="K191" s="7"/>
      <c r="L191" s="7"/>
      <c r="M191" s="14"/>
      <c r="N191" s="15"/>
      <c r="O191" s="7"/>
      <c r="P191" s="7"/>
      <c r="Q191" s="7"/>
      <c r="R191" s="11" t="str">
        <f>IF(OR(B191="",E191=""),"",B191-E191)</f>
        <v/>
      </c>
      <c r="S191" s="11" t="str">
        <f>IF(R191="","",IF(R191&lt;30,"Sí","No"))</f>
        <v/>
      </c>
    </row>
    <row r="192">
      <c r="A192" s="7"/>
      <c r="B192" s="14"/>
      <c r="C192" s="7"/>
      <c r="D192" s="7"/>
      <c r="E192" s="14"/>
      <c r="F192" s="7"/>
      <c r="G192" s="7"/>
      <c r="H192" s="14"/>
      <c r="I192" s="7"/>
      <c r="J192" s="14"/>
      <c r="K192" s="7"/>
      <c r="L192" s="7"/>
      <c r="M192" s="14"/>
      <c r="N192" s="15"/>
      <c r="O192" s="7"/>
      <c r="P192" s="7"/>
      <c r="Q192" s="7"/>
      <c r="R192" s="11" t="str">
        <f>IF(OR(B192="",E192=""),"",B192-E192)</f>
        <v/>
      </c>
      <c r="S192" s="11" t="str">
        <f>IF(R192="","",IF(R192&lt;30,"Sí","No"))</f>
        <v/>
      </c>
    </row>
    <row r="193">
      <c r="A193" s="7"/>
      <c r="B193" s="14"/>
      <c r="C193" s="7"/>
      <c r="D193" s="7"/>
      <c r="E193" s="14"/>
      <c r="F193" s="7"/>
      <c r="G193" s="7"/>
      <c r="H193" s="14"/>
      <c r="I193" s="7"/>
      <c r="J193" s="14"/>
      <c r="K193" s="7"/>
      <c r="L193" s="7"/>
      <c r="M193" s="14"/>
      <c r="N193" s="15"/>
      <c r="O193" s="7"/>
      <c r="P193" s="7"/>
      <c r="Q193" s="7"/>
      <c r="R193" s="11" t="str">
        <f>IF(OR(B193="",E193=""),"",B193-E193)</f>
        <v/>
      </c>
      <c r="S193" s="11" t="str">
        <f>IF(R193="","",IF(R193&lt;30,"Sí","No"))</f>
        <v/>
      </c>
    </row>
    <row r="194">
      <c r="A194" s="7"/>
      <c r="B194" s="14"/>
      <c r="C194" s="7"/>
      <c r="D194" s="7"/>
      <c r="E194" s="14"/>
      <c r="F194" s="7"/>
      <c r="G194" s="7"/>
      <c r="H194" s="14"/>
      <c r="I194" s="7"/>
      <c r="J194" s="14"/>
      <c r="K194" s="7"/>
      <c r="L194" s="7"/>
      <c r="M194" s="14"/>
      <c r="N194" s="15"/>
      <c r="O194" s="7"/>
      <c r="P194" s="7"/>
      <c r="Q194" s="7"/>
      <c r="R194" s="11" t="str">
        <f>IF(OR(B194="",E194=""),"",B194-E194)</f>
        <v/>
      </c>
      <c r="S194" s="11" t="str">
        <f>IF(R194="","",IF(R194&lt;30,"Sí","No"))</f>
        <v/>
      </c>
    </row>
    <row r="195">
      <c r="A195" s="7"/>
      <c r="B195" s="14"/>
      <c r="C195" s="7"/>
      <c r="D195" s="7"/>
      <c r="E195" s="14"/>
      <c r="F195" s="7"/>
      <c r="G195" s="7"/>
      <c r="H195" s="14"/>
      <c r="I195" s="7"/>
      <c r="J195" s="14"/>
      <c r="K195" s="7"/>
      <c r="L195" s="7"/>
      <c r="M195" s="14"/>
      <c r="N195" s="15"/>
      <c r="O195" s="7"/>
      <c r="P195" s="7"/>
      <c r="Q195" s="7"/>
      <c r="R195" s="11" t="str">
        <f>IF(OR(B195="",E195=""),"",B195-E195)</f>
        <v/>
      </c>
      <c r="S195" s="11" t="str">
        <f>IF(R195="","",IF(R195&lt;30,"Sí","No"))</f>
        <v/>
      </c>
    </row>
    <row r="196">
      <c r="A196" s="7"/>
      <c r="B196" s="14"/>
      <c r="C196" s="7"/>
      <c r="D196" s="7"/>
      <c r="E196" s="14"/>
      <c r="F196" s="7"/>
      <c r="G196" s="7"/>
      <c r="H196" s="14"/>
      <c r="I196" s="7"/>
      <c r="J196" s="14"/>
      <c r="K196" s="7"/>
      <c r="L196" s="7"/>
      <c r="M196" s="14"/>
      <c r="N196" s="15"/>
      <c r="O196" s="7"/>
      <c r="P196" s="7"/>
      <c r="Q196" s="7"/>
      <c r="R196" s="11" t="str">
        <f>IF(OR(B196="",E196=""),"",B196-E196)</f>
        <v/>
      </c>
      <c r="S196" s="11" t="str">
        <f>IF(R196="","",IF(R196&lt;30,"Sí","No"))</f>
        <v/>
      </c>
    </row>
    <row r="197">
      <c r="A197" s="7"/>
      <c r="B197" s="14"/>
      <c r="C197" s="7"/>
      <c r="D197" s="7"/>
      <c r="E197" s="14"/>
      <c r="F197" s="7"/>
      <c r="G197" s="7"/>
      <c r="H197" s="14"/>
      <c r="I197" s="7"/>
      <c r="J197" s="14"/>
      <c r="K197" s="7"/>
      <c r="L197" s="7"/>
      <c r="M197" s="14"/>
      <c r="N197" s="15"/>
      <c r="O197" s="7"/>
      <c r="P197" s="7"/>
      <c r="Q197" s="7"/>
      <c r="R197" s="11" t="str">
        <f>IF(OR(B197="",E197=""),"",B197-E197)</f>
        <v/>
      </c>
      <c r="S197" s="11" t="str">
        <f>IF(R197="","",IF(R197&lt;30,"Sí","No"))</f>
        <v/>
      </c>
    </row>
    <row r="198">
      <c r="A198" s="7"/>
      <c r="B198" s="14"/>
      <c r="C198" s="7"/>
      <c r="D198" s="7"/>
      <c r="E198" s="14"/>
      <c r="F198" s="7"/>
      <c r="G198" s="7"/>
      <c r="H198" s="14"/>
      <c r="I198" s="7"/>
      <c r="J198" s="14"/>
      <c r="K198" s="7"/>
      <c r="L198" s="7"/>
      <c r="M198" s="14"/>
      <c r="N198" s="15"/>
      <c r="O198" s="7"/>
      <c r="P198" s="7"/>
      <c r="Q198" s="7"/>
      <c r="R198" s="11" t="str">
        <f>IF(OR(B198="",E198=""),"",B198-E198)</f>
        <v/>
      </c>
      <c r="S198" s="11" t="str">
        <f>IF(R198="","",IF(R198&lt;30,"Sí","No"))</f>
        <v/>
      </c>
    </row>
    <row r="199">
      <c r="A199" s="7"/>
      <c r="B199" s="14"/>
      <c r="C199" s="7"/>
      <c r="D199" s="7"/>
      <c r="E199" s="14"/>
      <c r="F199" s="7"/>
      <c r="G199" s="7"/>
      <c r="H199" s="14"/>
      <c r="I199" s="7"/>
      <c r="J199" s="14"/>
      <c r="K199" s="7"/>
      <c r="L199" s="7"/>
      <c r="M199" s="14"/>
      <c r="N199" s="15"/>
      <c r="O199" s="7"/>
      <c r="P199" s="7"/>
      <c r="Q199" s="7"/>
      <c r="R199" s="11" t="str">
        <f>IF(OR(B199="",E199=""),"",B199-E199)</f>
        <v/>
      </c>
      <c r="S199" s="11" t="str">
        <f>IF(R199="","",IF(R199&lt;30,"Sí","No"))</f>
        <v/>
      </c>
    </row>
    <row r="200">
      <c r="A200" s="7"/>
      <c r="B200" s="14"/>
      <c r="C200" s="7"/>
      <c r="D200" s="7"/>
      <c r="E200" s="14"/>
      <c r="F200" s="7"/>
      <c r="G200" s="7"/>
      <c r="H200" s="14"/>
      <c r="I200" s="7"/>
      <c r="J200" s="14"/>
      <c r="K200" s="7"/>
      <c r="L200" s="7"/>
      <c r="M200" s="14"/>
      <c r="N200" s="15"/>
      <c r="O200" s="7"/>
      <c r="P200" s="7"/>
      <c r="Q200" s="7"/>
      <c r="R200" s="11" t="str">
        <f>IF(OR(B200="",E200=""),"",B200-E200)</f>
        <v/>
      </c>
      <c r="S200" s="11" t="str">
        <f>IF(R200="","",IF(R200&lt;30,"Sí","No"))</f>
        <v/>
      </c>
    </row>
    <row r="201">
      <c r="A201" s="7"/>
      <c r="B201" s="14"/>
      <c r="C201" s="7"/>
      <c r="D201" s="7"/>
      <c r="E201" s="14"/>
      <c r="F201" s="7"/>
      <c r="G201" s="7"/>
      <c r="H201" s="14"/>
      <c r="I201" s="7"/>
      <c r="J201" s="14"/>
      <c r="K201" s="7"/>
      <c r="L201" s="7"/>
      <c r="M201" s="14"/>
      <c r="N201" s="15"/>
      <c r="O201" s="7"/>
      <c r="P201" s="7"/>
      <c r="Q201" s="7"/>
      <c r="R201" s="11" t="str">
        <f>IF(OR(B201="",E201=""),"",B201-E201)</f>
        <v/>
      </c>
      <c r="S201" s="11" t="str">
        <f>IF(R201="","",IF(R201&lt;30,"Sí","No"))</f>
        <v/>
      </c>
    </row>
    <row r="202">
      <c r="A202" s="7"/>
      <c r="B202" s="14"/>
      <c r="C202" s="7"/>
      <c r="D202" s="7"/>
      <c r="E202" s="14"/>
      <c r="F202" s="7"/>
      <c r="G202" s="7"/>
      <c r="H202" s="14"/>
      <c r="I202" s="7"/>
      <c r="J202" s="14"/>
      <c r="K202" s="7"/>
      <c r="L202" s="7"/>
      <c r="M202" s="14"/>
      <c r="N202" s="15"/>
      <c r="O202" s="7"/>
      <c r="P202" s="7"/>
      <c r="Q202" s="7"/>
      <c r="R202" s="11" t="str">
        <f>IF(OR(B202="",E202=""),"",B202-E202)</f>
        <v/>
      </c>
      <c r="S202" s="11" t="str">
        <f>IF(R202="","",IF(R202&lt;30,"Sí","No"))</f>
        <v/>
      </c>
    </row>
    <row r="203">
      <c r="A203" s="7"/>
      <c r="B203" s="14"/>
      <c r="C203" s="7"/>
      <c r="D203" s="7"/>
      <c r="E203" s="14"/>
      <c r="F203" s="7"/>
      <c r="G203" s="7"/>
      <c r="H203" s="14"/>
      <c r="I203" s="7"/>
      <c r="J203" s="14"/>
      <c r="K203" s="7"/>
      <c r="L203" s="7"/>
      <c r="M203" s="14"/>
      <c r="N203" s="15"/>
      <c r="O203" s="7"/>
      <c r="P203" s="7"/>
      <c r="Q203" s="7"/>
      <c r="R203" s="11" t="str">
        <f>IF(OR(B203="",E203=""),"",B203-E203)</f>
        <v/>
      </c>
      <c r="S203" s="11" t="str">
        <f>IF(R203="","",IF(R203&lt;30,"Sí","No"))</f>
        <v/>
      </c>
    </row>
    <row r="204">
      <c r="A204" s="7"/>
      <c r="B204" s="14"/>
      <c r="C204" s="7"/>
      <c r="D204" s="7"/>
      <c r="E204" s="14"/>
      <c r="F204" s="7"/>
      <c r="G204" s="7"/>
      <c r="H204" s="14"/>
      <c r="I204" s="7"/>
      <c r="J204" s="14"/>
      <c r="K204" s="7"/>
      <c r="L204" s="7"/>
      <c r="M204" s="14"/>
      <c r="N204" s="15"/>
      <c r="O204" s="7"/>
      <c r="P204" s="7"/>
      <c r="Q204" s="7"/>
      <c r="R204" s="11" t="str">
        <f>IF(OR(B204="",E204=""),"",B204-E204)</f>
        <v/>
      </c>
      <c r="S204" s="11" t="str">
        <f>IF(R204="","",IF(R204&lt;30,"Sí","No"))</f>
        <v/>
      </c>
    </row>
    <row r="205">
      <c r="A205" s="7"/>
      <c r="B205" s="14"/>
      <c r="C205" s="7"/>
      <c r="D205" s="7"/>
      <c r="E205" s="14"/>
      <c r="F205" s="7"/>
      <c r="G205" s="7"/>
      <c r="H205" s="14"/>
      <c r="I205" s="7"/>
      <c r="J205" s="14"/>
      <c r="K205" s="7"/>
      <c r="L205" s="7"/>
      <c r="M205" s="14"/>
      <c r="N205" s="15"/>
      <c r="O205" s="7"/>
      <c r="P205" s="7"/>
      <c r="Q205" s="7"/>
      <c r="R205" s="11" t="str">
        <f>IF(OR(B205="",E205=""),"",B205-E205)</f>
        <v/>
      </c>
      <c r="S205" s="11" t="str">
        <f>IF(R205="","",IF(R205&lt;30,"Sí","No"))</f>
        <v/>
      </c>
    </row>
    <row r="206">
      <c r="A206" s="7"/>
      <c r="B206" s="14"/>
      <c r="C206" s="7"/>
      <c r="D206" s="7"/>
      <c r="E206" s="14"/>
      <c r="F206" s="7"/>
      <c r="G206" s="7"/>
      <c r="H206" s="14"/>
      <c r="I206" s="7"/>
      <c r="J206" s="14"/>
      <c r="K206" s="7"/>
      <c r="L206" s="7"/>
      <c r="M206" s="14"/>
      <c r="N206" s="15"/>
      <c r="O206" s="7"/>
      <c r="P206" s="7"/>
      <c r="Q206" s="7"/>
      <c r="R206" s="11" t="str">
        <f>IF(OR(B206="",E206=""),"",B206-E206)</f>
        <v/>
      </c>
      <c r="S206" s="11" t="str">
        <f>IF(R206="","",IF(R206&lt;30,"Sí","No"))</f>
        <v/>
      </c>
    </row>
    <row r="207">
      <c r="A207" s="7"/>
      <c r="B207" s="14"/>
      <c r="C207" s="7"/>
      <c r="D207" s="7"/>
      <c r="E207" s="14"/>
      <c r="F207" s="7"/>
      <c r="G207" s="7"/>
      <c r="H207" s="14"/>
      <c r="I207" s="7"/>
      <c r="J207" s="14"/>
      <c r="K207" s="7"/>
      <c r="L207" s="7"/>
      <c r="M207" s="14"/>
      <c r="N207" s="15"/>
      <c r="O207" s="7"/>
      <c r="P207" s="7"/>
      <c r="Q207" s="7"/>
      <c r="R207" s="11" t="str">
        <f>IF(OR(B207="",E207=""),"",B207-E207)</f>
        <v/>
      </c>
      <c r="S207" s="11" t="str">
        <f>IF(R207="","",IF(R207&lt;30,"Sí","No"))</f>
        <v/>
      </c>
    </row>
    <row r="208">
      <c r="A208" s="7"/>
      <c r="B208" s="14"/>
      <c r="C208" s="7"/>
      <c r="D208" s="7"/>
      <c r="E208" s="14"/>
      <c r="F208" s="7"/>
      <c r="G208" s="7"/>
      <c r="H208" s="14"/>
      <c r="I208" s="7"/>
      <c r="J208" s="14"/>
      <c r="K208" s="7"/>
      <c r="L208" s="7"/>
      <c r="M208" s="14"/>
      <c r="N208" s="15"/>
      <c r="O208" s="7"/>
      <c r="P208" s="7"/>
      <c r="Q208" s="7"/>
      <c r="R208" s="11" t="str">
        <f>IF(OR(B208="",E208=""),"",B208-E208)</f>
        <v/>
      </c>
      <c r="S208" s="11" t="str">
        <f>IF(R208="","",IF(R208&lt;30,"Sí","No"))</f>
        <v/>
      </c>
    </row>
    <row r="209">
      <c r="A209" s="7"/>
      <c r="B209" s="14"/>
      <c r="C209" s="7"/>
      <c r="D209" s="7"/>
      <c r="E209" s="14"/>
      <c r="F209" s="7"/>
      <c r="G209" s="7"/>
      <c r="H209" s="14"/>
      <c r="I209" s="7"/>
      <c r="J209" s="14"/>
      <c r="K209" s="7"/>
      <c r="L209" s="7"/>
      <c r="M209" s="14"/>
      <c r="N209" s="15"/>
      <c r="O209" s="7"/>
      <c r="P209" s="7"/>
      <c r="Q209" s="7"/>
      <c r="R209" s="11" t="str">
        <f>IF(OR(B209="",E209=""),"",B209-E209)</f>
        <v/>
      </c>
      <c r="S209" s="11" t="str">
        <f>IF(R209="","",IF(R209&lt;30,"Sí","No"))</f>
        <v/>
      </c>
    </row>
    <row r="210">
      <c r="A210" s="7"/>
      <c r="B210" s="14"/>
      <c r="C210" s="7"/>
      <c r="D210" s="7"/>
      <c r="E210" s="14"/>
      <c r="F210" s="7"/>
      <c r="G210" s="7"/>
      <c r="H210" s="14"/>
      <c r="I210" s="7"/>
      <c r="J210" s="14"/>
      <c r="K210" s="7"/>
      <c r="L210" s="7"/>
      <c r="M210" s="14"/>
      <c r="N210" s="15"/>
      <c r="O210" s="7"/>
      <c r="P210" s="7"/>
      <c r="Q210" s="7"/>
      <c r="R210" s="11" t="str">
        <f>IF(OR(B210="",E210=""),"",B210-E210)</f>
        <v/>
      </c>
      <c r="S210" s="11" t="str">
        <f>IF(R210="","",IF(R210&lt;30,"Sí","No"))</f>
        <v/>
      </c>
    </row>
    <row r="211">
      <c r="A211" s="7"/>
      <c r="B211" s="14"/>
      <c r="C211" s="7"/>
      <c r="D211" s="7"/>
      <c r="E211" s="14"/>
      <c r="F211" s="7"/>
      <c r="G211" s="7"/>
      <c r="H211" s="14"/>
      <c r="I211" s="7"/>
      <c r="J211" s="14"/>
      <c r="K211" s="7"/>
      <c r="L211" s="7"/>
      <c r="M211" s="14"/>
      <c r="N211" s="15"/>
      <c r="O211" s="7"/>
      <c r="P211" s="7"/>
      <c r="Q211" s="7"/>
      <c r="R211" s="11" t="str">
        <f>IF(OR(B211="",E211=""),"",B211-E211)</f>
        <v/>
      </c>
      <c r="S211" s="11" t="str">
        <f>IF(R211="","",IF(R211&lt;30,"Sí","No"))</f>
        <v/>
      </c>
    </row>
    <row r="212">
      <c r="A212" s="7"/>
      <c r="B212" s="14"/>
      <c r="C212" s="7"/>
      <c r="D212" s="7"/>
      <c r="E212" s="14"/>
      <c r="F212" s="7"/>
      <c r="G212" s="7"/>
      <c r="H212" s="14"/>
      <c r="I212" s="7"/>
      <c r="J212" s="14"/>
      <c r="K212" s="7"/>
      <c r="L212" s="7"/>
      <c r="M212" s="14"/>
      <c r="N212" s="15"/>
      <c r="O212" s="7"/>
      <c r="P212" s="7"/>
      <c r="Q212" s="7"/>
      <c r="R212" s="11" t="str">
        <f>IF(OR(B212="",E212=""),"",B212-E212)</f>
        <v/>
      </c>
      <c r="S212" s="11" t="str">
        <f>IF(R212="","",IF(R212&lt;30,"Sí","No"))</f>
        <v/>
      </c>
    </row>
    <row r="213">
      <c r="A213" s="7"/>
      <c r="B213" s="14"/>
      <c r="C213" s="7"/>
      <c r="D213" s="7"/>
      <c r="E213" s="14"/>
      <c r="F213" s="7"/>
      <c r="G213" s="7"/>
      <c r="H213" s="14"/>
      <c r="I213" s="7"/>
      <c r="J213" s="14"/>
      <c r="K213" s="7"/>
      <c r="L213" s="7"/>
      <c r="M213" s="14"/>
      <c r="N213" s="15"/>
      <c r="O213" s="7"/>
      <c r="P213" s="7"/>
      <c r="Q213" s="7"/>
      <c r="R213" s="11" t="str">
        <f>IF(OR(B213="",E213=""),"",B213-E213)</f>
        <v/>
      </c>
      <c r="S213" s="11" t="str">
        <f>IF(R213="","",IF(R213&lt;30,"Sí","No"))</f>
        <v/>
      </c>
    </row>
    <row r="214">
      <c r="A214" s="7"/>
      <c r="B214" s="14"/>
      <c r="C214" s="7"/>
      <c r="D214" s="7"/>
      <c r="E214" s="14"/>
      <c r="F214" s="7"/>
      <c r="G214" s="7"/>
      <c r="H214" s="14"/>
      <c r="I214" s="7"/>
      <c r="J214" s="14"/>
      <c r="K214" s="7"/>
      <c r="L214" s="7"/>
      <c r="M214" s="14"/>
      <c r="N214" s="15"/>
      <c r="O214" s="7"/>
      <c r="P214" s="7"/>
      <c r="Q214" s="7"/>
      <c r="R214" s="11" t="str">
        <f>IF(OR(B214="",E214=""),"",B214-E214)</f>
        <v/>
      </c>
      <c r="S214" s="11" t="str">
        <f>IF(R214="","",IF(R214&lt;30,"Sí","No"))</f>
        <v/>
      </c>
    </row>
    <row r="215">
      <c r="A215" s="7"/>
      <c r="B215" s="14"/>
      <c r="C215" s="7"/>
      <c r="D215" s="7"/>
      <c r="E215" s="14"/>
      <c r="F215" s="7"/>
      <c r="G215" s="7"/>
      <c r="H215" s="14"/>
      <c r="I215" s="7"/>
      <c r="J215" s="14"/>
      <c r="K215" s="7"/>
      <c r="L215" s="7"/>
      <c r="M215" s="14"/>
      <c r="N215" s="15"/>
      <c r="O215" s="7"/>
      <c r="P215" s="7"/>
      <c r="Q215" s="7"/>
      <c r="R215" s="11" t="str">
        <f>IF(OR(B215="",E215=""),"",B215-E215)</f>
        <v/>
      </c>
      <c r="S215" s="11" t="str">
        <f>IF(R215="","",IF(R215&lt;30,"Sí","No"))</f>
        <v/>
      </c>
    </row>
    <row r="216">
      <c r="A216" s="7"/>
      <c r="B216" s="14"/>
      <c r="C216" s="7"/>
      <c r="D216" s="7"/>
      <c r="E216" s="14"/>
      <c r="F216" s="7"/>
      <c r="G216" s="7"/>
      <c r="H216" s="14"/>
      <c r="I216" s="7"/>
      <c r="J216" s="14"/>
      <c r="K216" s="7"/>
      <c r="L216" s="7"/>
      <c r="M216" s="14"/>
      <c r="N216" s="15"/>
      <c r="O216" s="7"/>
      <c r="P216" s="7"/>
      <c r="Q216" s="7"/>
      <c r="R216" s="11" t="str">
        <f>IF(OR(B216="",E216=""),"",B216-E216)</f>
        <v/>
      </c>
      <c r="S216" s="11" t="str">
        <f>IF(R216="","",IF(R216&lt;30,"Sí","No"))</f>
        <v/>
      </c>
    </row>
    <row r="217">
      <c r="A217" s="7"/>
      <c r="B217" s="14"/>
      <c r="C217" s="7"/>
      <c r="D217" s="7"/>
      <c r="E217" s="14"/>
      <c r="F217" s="7"/>
      <c r="G217" s="7"/>
      <c r="H217" s="14"/>
      <c r="I217" s="7"/>
      <c r="J217" s="14"/>
      <c r="K217" s="7"/>
      <c r="L217" s="7"/>
      <c r="M217" s="14"/>
      <c r="N217" s="15"/>
      <c r="O217" s="7"/>
      <c r="P217" s="7"/>
      <c r="Q217" s="7"/>
      <c r="R217" s="11" t="str">
        <f>IF(OR(B217="",E217=""),"",B217-E217)</f>
        <v/>
      </c>
      <c r="S217" s="11" t="str">
        <f>IF(R217="","",IF(R217&lt;30,"Sí","No"))</f>
        <v/>
      </c>
    </row>
    <row r="218">
      <c r="A218" s="7"/>
      <c r="B218" s="14"/>
      <c r="C218" s="7"/>
      <c r="D218" s="7"/>
      <c r="E218" s="14"/>
      <c r="F218" s="7"/>
      <c r="G218" s="7"/>
      <c r="H218" s="14"/>
      <c r="I218" s="7"/>
      <c r="J218" s="14"/>
      <c r="K218" s="7"/>
      <c r="L218" s="7"/>
      <c r="M218" s="14"/>
      <c r="N218" s="15"/>
      <c r="O218" s="7"/>
      <c r="P218" s="7"/>
      <c r="Q218" s="7"/>
      <c r="R218" s="11" t="str">
        <f>IF(OR(B218="",E218=""),"",B218-E218)</f>
        <v/>
      </c>
      <c r="S218" s="11" t="str">
        <f>IF(R218="","",IF(R218&lt;30,"Sí","No"))</f>
        <v/>
      </c>
    </row>
    <row r="219">
      <c r="A219" s="7"/>
      <c r="B219" s="14"/>
      <c r="C219" s="7"/>
      <c r="D219" s="7"/>
      <c r="E219" s="14"/>
      <c r="F219" s="7"/>
      <c r="G219" s="7"/>
      <c r="H219" s="14"/>
      <c r="I219" s="7"/>
      <c r="J219" s="14"/>
      <c r="K219" s="7"/>
      <c r="L219" s="7"/>
      <c r="M219" s="14"/>
      <c r="N219" s="15"/>
      <c r="O219" s="7"/>
      <c r="P219" s="7"/>
      <c r="Q219" s="7"/>
      <c r="R219" s="11" t="str">
        <f>IF(OR(B219="",E219=""),"",B219-E219)</f>
        <v/>
      </c>
      <c r="S219" s="11" t="str">
        <f>IF(R219="","",IF(R219&lt;30,"Sí","No"))</f>
        <v/>
      </c>
    </row>
    <row r="220">
      <c r="A220" s="7"/>
      <c r="B220" s="14"/>
      <c r="C220" s="7"/>
      <c r="D220" s="7"/>
      <c r="E220" s="14"/>
      <c r="F220" s="7"/>
      <c r="G220" s="7"/>
      <c r="H220" s="14"/>
      <c r="I220" s="7"/>
      <c r="J220" s="14"/>
      <c r="K220" s="7"/>
      <c r="L220" s="7"/>
      <c r="M220" s="14"/>
      <c r="N220" s="15"/>
      <c r="O220" s="7"/>
      <c r="P220" s="7"/>
      <c r="Q220" s="7"/>
      <c r="R220" s="11" t="str">
        <f>IF(OR(B220="",E220=""),"",B220-E220)</f>
        <v/>
      </c>
      <c r="S220" s="11" t="str">
        <f>IF(R220="","",IF(R220&lt;30,"Sí","No"))</f>
        <v/>
      </c>
    </row>
    <row r="221">
      <c r="A221" s="7"/>
      <c r="B221" s="14"/>
      <c r="C221" s="7"/>
      <c r="D221" s="7"/>
      <c r="E221" s="14"/>
      <c r="F221" s="7"/>
      <c r="G221" s="7"/>
      <c r="H221" s="14"/>
      <c r="I221" s="7"/>
      <c r="J221" s="14"/>
      <c r="K221" s="7"/>
      <c r="L221" s="7"/>
      <c r="M221" s="14"/>
      <c r="N221" s="15"/>
      <c r="O221" s="7"/>
      <c r="P221" s="7"/>
      <c r="Q221" s="7"/>
      <c r="R221" s="11" t="str">
        <f>IF(OR(B221="",E221=""),"",B221-E221)</f>
        <v/>
      </c>
      <c r="S221" s="11" t="str">
        <f>IF(R221="","",IF(R221&lt;30,"Sí","No"))</f>
        <v/>
      </c>
    </row>
    <row r="222">
      <c r="A222" s="7"/>
      <c r="B222" s="14"/>
      <c r="C222" s="7"/>
      <c r="D222" s="7"/>
      <c r="E222" s="14"/>
      <c r="F222" s="7"/>
      <c r="G222" s="7"/>
      <c r="H222" s="14"/>
      <c r="I222" s="7"/>
      <c r="J222" s="14"/>
      <c r="K222" s="7"/>
      <c r="L222" s="7"/>
      <c r="M222" s="14"/>
      <c r="N222" s="15"/>
      <c r="O222" s="7"/>
      <c r="P222" s="7"/>
      <c r="Q222" s="7"/>
      <c r="R222" s="11" t="str">
        <f>IF(OR(B222="",E222=""),"",B222-E222)</f>
        <v/>
      </c>
      <c r="S222" s="11" t="str">
        <f>IF(R222="","",IF(R222&lt;30,"Sí","No"))</f>
        <v/>
      </c>
    </row>
    <row r="223">
      <c r="A223" s="7"/>
      <c r="B223" s="14"/>
      <c r="C223" s="7"/>
      <c r="D223" s="7"/>
      <c r="E223" s="14"/>
      <c r="F223" s="7"/>
      <c r="G223" s="7"/>
      <c r="H223" s="14"/>
      <c r="I223" s="7"/>
      <c r="J223" s="14"/>
      <c r="K223" s="7"/>
      <c r="L223" s="7"/>
      <c r="M223" s="14"/>
      <c r="N223" s="15"/>
      <c r="O223" s="7"/>
      <c r="P223" s="7"/>
      <c r="Q223" s="7"/>
      <c r="R223" s="11" t="str">
        <f>IF(OR(B223="",E223=""),"",B223-E223)</f>
        <v/>
      </c>
      <c r="S223" s="11" t="str">
        <f>IF(R223="","",IF(R223&lt;30,"Sí","No"))</f>
        <v/>
      </c>
    </row>
    <row r="224">
      <c r="A224" s="7"/>
      <c r="B224" s="14"/>
      <c r="C224" s="7"/>
      <c r="D224" s="7"/>
      <c r="E224" s="14"/>
      <c r="F224" s="7"/>
      <c r="G224" s="7"/>
      <c r="H224" s="14"/>
      <c r="I224" s="7"/>
      <c r="J224" s="14"/>
      <c r="K224" s="7"/>
      <c r="L224" s="7"/>
      <c r="M224" s="14"/>
      <c r="N224" s="15"/>
      <c r="O224" s="7"/>
      <c r="P224" s="7"/>
      <c r="Q224" s="7"/>
      <c r="R224" s="11" t="str">
        <f>IF(OR(B224="",E224=""),"",B224-E224)</f>
        <v/>
      </c>
      <c r="S224" s="11" t="str">
        <f>IF(R224="","",IF(R224&lt;30,"Sí","No"))</f>
        <v/>
      </c>
    </row>
    <row r="225">
      <c r="A225" s="7"/>
      <c r="B225" s="14"/>
      <c r="C225" s="7"/>
      <c r="D225" s="7"/>
      <c r="E225" s="14"/>
      <c r="F225" s="7"/>
      <c r="G225" s="7"/>
      <c r="H225" s="14"/>
      <c r="I225" s="7"/>
      <c r="J225" s="14"/>
      <c r="K225" s="7"/>
      <c r="L225" s="7"/>
      <c r="M225" s="14"/>
      <c r="N225" s="15"/>
      <c r="O225" s="7"/>
      <c r="P225" s="7"/>
      <c r="Q225" s="7"/>
      <c r="R225" s="11" t="str">
        <f>IF(OR(B225="",E225=""),"",B225-E225)</f>
        <v/>
      </c>
      <c r="S225" s="11" t="str">
        <f>IF(R225="","",IF(R225&lt;30,"Sí","No"))</f>
        <v/>
      </c>
    </row>
    <row r="226">
      <c r="A226" s="7"/>
      <c r="B226" s="14"/>
      <c r="C226" s="7"/>
      <c r="D226" s="7"/>
      <c r="E226" s="14"/>
      <c r="F226" s="7"/>
      <c r="G226" s="7"/>
      <c r="H226" s="14"/>
      <c r="I226" s="7"/>
      <c r="J226" s="14"/>
      <c r="K226" s="7"/>
      <c r="L226" s="7"/>
      <c r="M226" s="14"/>
      <c r="N226" s="15"/>
      <c r="O226" s="7"/>
      <c r="P226" s="7"/>
      <c r="Q226" s="7"/>
      <c r="R226" s="11" t="str">
        <f>IF(OR(B226="",E226=""),"",B226-E226)</f>
        <v/>
      </c>
      <c r="S226" s="11" t="str">
        <f>IF(R226="","",IF(R226&lt;30,"Sí","No"))</f>
        <v/>
      </c>
    </row>
    <row r="227">
      <c r="A227" s="7"/>
      <c r="B227" s="14"/>
      <c r="C227" s="7"/>
      <c r="D227" s="7"/>
      <c r="E227" s="14"/>
      <c r="F227" s="7"/>
      <c r="G227" s="7"/>
      <c r="H227" s="14"/>
      <c r="I227" s="7"/>
      <c r="J227" s="14"/>
      <c r="K227" s="7"/>
      <c r="L227" s="7"/>
      <c r="M227" s="14"/>
      <c r="N227" s="15"/>
      <c r="O227" s="7"/>
      <c r="P227" s="7"/>
      <c r="Q227" s="7"/>
      <c r="R227" s="11" t="str">
        <f>IF(OR(B227="",E227=""),"",B227-E227)</f>
        <v/>
      </c>
      <c r="S227" s="11" t="str">
        <f>IF(R227="","",IF(R227&lt;30,"Sí","No"))</f>
        <v/>
      </c>
    </row>
    <row r="228">
      <c r="A228" s="7"/>
      <c r="B228" s="14"/>
      <c r="C228" s="7"/>
      <c r="D228" s="7"/>
      <c r="E228" s="14"/>
      <c r="F228" s="7"/>
      <c r="G228" s="7"/>
      <c r="H228" s="14"/>
      <c r="I228" s="7"/>
      <c r="J228" s="14"/>
      <c r="K228" s="7"/>
      <c r="L228" s="7"/>
      <c r="M228" s="14"/>
      <c r="N228" s="15"/>
      <c r="O228" s="7"/>
      <c r="P228" s="7"/>
      <c r="Q228" s="7"/>
      <c r="R228" s="11" t="str">
        <f>IF(OR(B228="",E228=""),"",B228-E228)</f>
        <v/>
      </c>
      <c r="S228" s="11" t="str">
        <f>IF(R228="","",IF(R228&lt;30,"Sí","No"))</f>
        <v/>
      </c>
    </row>
    <row r="229">
      <c r="A229" s="7"/>
      <c r="B229" s="14"/>
      <c r="C229" s="7"/>
      <c r="D229" s="7"/>
      <c r="E229" s="14"/>
      <c r="F229" s="7"/>
      <c r="G229" s="7"/>
      <c r="H229" s="14"/>
      <c r="I229" s="7"/>
      <c r="J229" s="14"/>
      <c r="K229" s="7"/>
      <c r="L229" s="7"/>
      <c r="M229" s="14"/>
      <c r="N229" s="15"/>
      <c r="O229" s="7"/>
      <c r="P229" s="7"/>
      <c r="Q229" s="7"/>
      <c r="R229" s="11" t="str">
        <f>IF(OR(B229="",E229=""),"",B229-E229)</f>
        <v/>
      </c>
      <c r="S229" s="11" t="str">
        <f>IF(R229="","",IF(R229&lt;30,"Sí","No"))</f>
        <v/>
      </c>
    </row>
    <row r="230">
      <c r="A230" s="7"/>
      <c r="B230" s="14"/>
      <c r="C230" s="7"/>
      <c r="D230" s="7"/>
      <c r="E230" s="14"/>
      <c r="F230" s="7"/>
      <c r="G230" s="7"/>
      <c r="H230" s="14"/>
      <c r="I230" s="7"/>
      <c r="J230" s="14"/>
      <c r="K230" s="7"/>
      <c r="L230" s="7"/>
      <c r="M230" s="14"/>
      <c r="N230" s="15"/>
      <c r="O230" s="7"/>
      <c r="P230" s="7"/>
      <c r="Q230" s="7"/>
      <c r="R230" s="11" t="str">
        <f>IF(OR(B230="",E230=""),"",B230-E230)</f>
        <v/>
      </c>
      <c r="S230" s="11" t="str">
        <f>IF(R230="","",IF(R230&lt;30,"Sí","No"))</f>
        <v/>
      </c>
    </row>
    <row r="231">
      <c r="A231" s="7"/>
      <c r="B231" s="14"/>
      <c r="C231" s="7"/>
      <c r="D231" s="7"/>
      <c r="E231" s="14"/>
      <c r="F231" s="7"/>
      <c r="G231" s="7"/>
      <c r="H231" s="14"/>
      <c r="I231" s="7"/>
      <c r="J231" s="14"/>
      <c r="K231" s="7"/>
      <c r="L231" s="7"/>
      <c r="M231" s="14"/>
      <c r="N231" s="15"/>
      <c r="O231" s="7"/>
      <c r="P231" s="7"/>
      <c r="Q231" s="7"/>
      <c r="R231" s="11" t="str">
        <f>IF(OR(B231="",E231=""),"",B231-E231)</f>
        <v/>
      </c>
      <c r="S231" s="11" t="str">
        <f>IF(R231="","",IF(R231&lt;30,"Sí","No"))</f>
        <v/>
      </c>
    </row>
    <row r="232">
      <c r="A232" s="7"/>
      <c r="B232" s="14"/>
      <c r="C232" s="7"/>
      <c r="D232" s="7"/>
      <c r="E232" s="14"/>
      <c r="F232" s="7"/>
      <c r="G232" s="7"/>
      <c r="H232" s="14"/>
      <c r="I232" s="7"/>
      <c r="J232" s="14"/>
      <c r="K232" s="7"/>
      <c r="L232" s="7"/>
      <c r="M232" s="14"/>
      <c r="N232" s="15"/>
      <c r="O232" s="7"/>
      <c r="P232" s="7"/>
      <c r="Q232" s="7"/>
      <c r="R232" s="11" t="str">
        <f>IF(OR(B232="",E232=""),"",B232-E232)</f>
        <v/>
      </c>
      <c r="S232" s="11" t="str">
        <f>IF(R232="","",IF(R232&lt;30,"Sí","No"))</f>
        <v/>
      </c>
    </row>
    <row r="233">
      <c r="A233" s="7"/>
      <c r="B233" s="14"/>
      <c r="C233" s="7"/>
      <c r="D233" s="7"/>
      <c r="E233" s="14"/>
      <c r="F233" s="7"/>
      <c r="G233" s="7"/>
      <c r="H233" s="14"/>
      <c r="I233" s="7"/>
      <c r="J233" s="14"/>
      <c r="K233" s="7"/>
      <c r="L233" s="7"/>
      <c r="M233" s="14"/>
      <c r="N233" s="15"/>
      <c r="O233" s="7"/>
      <c r="P233" s="7"/>
      <c r="Q233" s="7"/>
      <c r="R233" s="11" t="str">
        <f>IF(OR(B233="",E233=""),"",B233-E233)</f>
        <v/>
      </c>
      <c r="S233" s="11" t="str">
        <f>IF(R233="","",IF(R233&lt;30,"Sí","No"))</f>
        <v/>
      </c>
    </row>
    <row r="234">
      <c r="A234" s="7"/>
      <c r="B234" s="14"/>
      <c r="C234" s="7"/>
      <c r="D234" s="7"/>
      <c r="E234" s="14"/>
      <c r="F234" s="7"/>
      <c r="G234" s="7"/>
      <c r="H234" s="14"/>
      <c r="I234" s="7"/>
      <c r="J234" s="14"/>
      <c r="K234" s="7"/>
      <c r="L234" s="7"/>
      <c r="M234" s="14"/>
      <c r="N234" s="15"/>
      <c r="O234" s="7"/>
      <c r="P234" s="7"/>
      <c r="Q234" s="7"/>
      <c r="R234" s="11" t="str">
        <f>IF(OR(B234="",E234=""),"",B234-E234)</f>
        <v/>
      </c>
      <c r="S234" s="11" t="str">
        <f>IF(R234="","",IF(R234&lt;30,"Sí","No"))</f>
        <v/>
      </c>
    </row>
    <row r="235">
      <c r="A235" s="7"/>
      <c r="B235" s="14"/>
      <c r="C235" s="7"/>
      <c r="D235" s="7"/>
      <c r="E235" s="14"/>
      <c r="F235" s="7"/>
      <c r="G235" s="7"/>
      <c r="H235" s="14"/>
      <c r="I235" s="7"/>
      <c r="J235" s="14"/>
      <c r="K235" s="7"/>
      <c r="L235" s="7"/>
      <c r="M235" s="14"/>
      <c r="N235" s="15"/>
      <c r="O235" s="7"/>
      <c r="P235" s="7"/>
      <c r="Q235" s="7"/>
      <c r="R235" s="11" t="str">
        <f>IF(OR(B235="",E235=""),"",B235-E235)</f>
        <v/>
      </c>
      <c r="S235" s="11" t="str">
        <f>IF(R235="","",IF(R235&lt;30,"Sí","No"))</f>
        <v/>
      </c>
    </row>
    <row r="236">
      <c r="A236" s="7"/>
      <c r="B236" s="14"/>
      <c r="C236" s="7"/>
      <c r="D236" s="7"/>
      <c r="E236" s="14"/>
      <c r="F236" s="7"/>
      <c r="G236" s="7"/>
      <c r="H236" s="14"/>
      <c r="I236" s="7"/>
      <c r="J236" s="14"/>
      <c r="K236" s="7"/>
      <c r="L236" s="7"/>
      <c r="M236" s="14"/>
      <c r="N236" s="15"/>
      <c r="O236" s="7"/>
      <c r="P236" s="7"/>
      <c r="Q236" s="7"/>
      <c r="R236" s="11" t="str">
        <f>IF(OR(B236="",E236=""),"",B236-E236)</f>
        <v/>
      </c>
      <c r="S236" s="11" t="str">
        <f>IF(R236="","",IF(R236&lt;30,"Sí","No"))</f>
        <v/>
      </c>
    </row>
    <row r="237">
      <c r="A237" s="7"/>
      <c r="B237" s="14"/>
      <c r="C237" s="7"/>
      <c r="D237" s="7"/>
      <c r="E237" s="14"/>
      <c r="F237" s="7"/>
      <c r="G237" s="7"/>
      <c r="H237" s="14"/>
      <c r="I237" s="7"/>
      <c r="J237" s="14"/>
      <c r="K237" s="7"/>
      <c r="L237" s="7"/>
      <c r="M237" s="14"/>
      <c r="N237" s="15"/>
      <c r="O237" s="7"/>
      <c r="P237" s="7"/>
      <c r="Q237" s="7"/>
      <c r="R237" s="11" t="str">
        <f>IF(OR(B237="",E237=""),"",B237-E237)</f>
        <v/>
      </c>
      <c r="S237" s="11" t="str">
        <f>IF(R237="","",IF(R237&lt;30,"Sí","No"))</f>
        <v/>
      </c>
    </row>
    <row r="238">
      <c r="A238" s="7"/>
      <c r="B238" s="14"/>
      <c r="C238" s="7"/>
      <c r="D238" s="7"/>
      <c r="E238" s="14"/>
      <c r="F238" s="7"/>
      <c r="G238" s="7"/>
      <c r="H238" s="14"/>
      <c r="I238" s="7"/>
      <c r="J238" s="14"/>
      <c r="K238" s="7"/>
      <c r="L238" s="7"/>
      <c r="M238" s="14"/>
      <c r="N238" s="15"/>
      <c r="O238" s="7"/>
      <c r="P238" s="7"/>
      <c r="Q238" s="7"/>
      <c r="R238" s="11" t="str">
        <f>IF(OR(B238="",E238=""),"",B238-E238)</f>
        <v/>
      </c>
      <c r="S238" s="11" t="str">
        <f>IF(R238="","",IF(R238&lt;30,"Sí","No"))</f>
        <v/>
      </c>
    </row>
    <row r="239">
      <c r="A239" s="7"/>
      <c r="B239" s="14"/>
      <c r="C239" s="7"/>
      <c r="D239" s="7"/>
      <c r="E239" s="14"/>
      <c r="F239" s="7"/>
      <c r="G239" s="7"/>
      <c r="H239" s="14"/>
      <c r="I239" s="7"/>
      <c r="J239" s="14"/>
      <c r="K239" s="7"/>
      <c r="L239" s="7"/>
      <c r="M239" s="14"/>
      <c r="N239" s="15"/>
      <c r="O239" s="7"/>
      <c r="P239" s="7"/>
      <c r="Q239" s="7"/>
      <c r="R239" s="11" t="str">
        <f>IF(OR(B239="",E239=""),"",B239-E239)</f>
        <v/>
      </c>
      <c r="S239" s="11" t="str">
        <f>IF(R239="","",IF(R239&lt;30,"Sí","No"))</f>
        <v/>
      </c>
    </row>
    <row r="240">
      <c r="A240" s="7"/>
      <c r="B240" s="14"/>
      <c r="C240" s="7"/>
      <c r="D240" s="7"/>
      <c r="E240" s="14"/>
      <c r="F240" s="7"/>
      <c r="G240" s="7"/>
      <c r="H240" s="14"/>
      <c r="I240" s="7"/>
      <c r="J240" s="14"/>
      <c r="K240" s="7"/>
      <c r="L240" s="7"/>
      <c r="M240" s="14"/>
      <c r="N240" s="15"/>
      <c r="O240" s="7"/>
      <c r="P240" s="7"/>
      <c r="Q240" s="7"/>
      <c r="R240" s="11" t="str">
        <f>IF(OR(B240="",E240=""),"",B240-E240)</f>
        <v/>
      </c>
      <c r="S240" s="11" t="str">
        <f>IF(R240="","",IF(R240&lt;30,"Sí","No"))</f>
        <v/>
      </c>
    </row>
    <row r="241">
      <c r="A241" s="7"/>
      <c r="B241" s="14"/>
      <c r="C241" s="7"/>
      <c r="D241" s="7"/>
      <c r="E241" s="14"/>
      <c r="F241" s="7"/>
      <c r="G241" s="7"/>
      <c r="H241" s="14"/>
      <c r="I241" s="7"/>
      <c r="J241" s="14"/>
      <c r="K241" s="7"/>
      <c r="L241" s="7"/>
      <c r="M241" s="14"/>
      <c r="N241" s="15"/>
      <c r="O241" s="7"/>
      <c r="P241" s="7"/>
      <c r="Q241" s="7"/>
      <c r="R241" s="11" t="str">
        <f>IF(OR(B241="",E241=""),"",B241-E241)</f>
        <v/>
      </c>
      <c r="S241" s="11" t="str">
        <f>IF(R241="","",IF(R241&lt;30,"Sí","No"))</f>
        <v/>
      </c>
    </row>
    <row r="242">
      <c r="A242" s="7"/>
      <c r="B242" s="14"/>
      <c r="C242" s="7"/>
      <c r="D242" s="7"/>
      <c r="E242" s="14"/>
      <c r="F242" s="7"/>
      <c r="G242" s="7"/>
      <c r="H242" s="14"/>
      <c r="I242" s="7"/>
      <c r="J242" s="14"/>
      <c r="K242" s="7"/>
      <c r="L242" s="7"/>
      <c r="M242" s="14"/>
      <c r="N242" s="15"/>
      <c r="O242" s="7"/>
      <c r="P242" s="7"/>
      <c r="Q242" s="7"/>
      <c r="R242" s="11" t="str">
        <f>IF(OR(B242="",E242=""),"",B242-E242)</f>
        <v/>
      </c>
      <c r="S242" s="11" t="str">
        <f>IF(R242="","",IF(R242&lt;30,"Sí","No"))</f>
        <v/>
      </c>
    </row>
    <row r="243">
      <c r="A243" s="7"/>
      <c r="B243" s="14"/>
      <c r="C243" s="7"/>
      <c r="D243" s="7"/>
      <c r="E243" s="14"/>
      <c r="F243" s="7"/>
      <c r="G243" s="7"/>
      <c r="H243" s="14"/>
      <c r="I243" s="7"/>
      <c r="J243" s="14"/>
      <c r="K243" s="7"/>
      <c r="L243" s="7"/>
      <c r="M243" s="14"/>
      <c r="N243" s="15"/>
      <c r="O243" s="7"/>
      <c r="P243" s="7"/>
      <c r="Q243" s="7"/>
      <c r="R243" s="11" t="str">
        <f>IF(OR(B243="",E243=""),"",B243-E243)</f>
        <v/>
      </c>
      <c r="S243" s="11" t="str">
        <f>IF(R243="","",IF(R243&lt;30,"Sí","No"))</f>
        <v/>
      </c>
    </row>
    <row r="244">
      <c r="A244" s="7"/>
      <c r="B244" s="14"/>
      <c r="C244" s="7"/>
      <c r="D244" s="7"/>
      <c r="E244" s="14"/>
      <c r="F244" s="7"/>
      <c r="G244" s="7"/>
      <c r="H244" s="14"/>
      <c r="I244" s="7"/>
      <c r="J244" s="14"/>
      <c r="K244" s="7"/>
      <c r="L244" s="7"/>
      <c r="M244" s="14"/>
      <c r="N244" s="15"/>
      <c r="O244" s="7"/>
      <c r="P244" s="7"/>
      <c r="Q244" s="7"/>
      <c r="R244" s="11" t="str">
        <f>IF(OR(B244="",E244=""),"",B244-E244)</f>
        <v/>
      </c>
      <c r="S244" s="11" t="str">
        <f>IF(R244="","",IF(R244&lt;30,"Sí","No"))</f>
        <v/>
      </c>
    </row>
    <row r="245">
      <c r="A245" s="7"/>
      <c r="B245" s="14"/>
      <c r="C245" s="7"/>
      <c r="D245" s="7"/>
      <c r="E245" s="14"/>
      <c r="F245" s="7"/>
      <c r="G245" s="7"/>
      <c r="H245" s="14"/>
      <c r="I245" s="7"/>
      <c r="J245" s="14"/>
      <c r="K245" s="7"/>
      <c r="L245" s="7"/>
      <c r="M245" s="14"/>
      <c r="N245" s="15"/>
      <c r="O245" s="7"/>
      <c r="P245" s="7"/>
      <c r="Q245" s="7"/>
      <c r="R245" s="11" t="str">
        <f>IF(OR(B245="",E245=""),"",B245-E245)</f>
        <v/>
      </c>
      <c r="S245" s="11" t="str">
        <f>IF(R245="","",IF(R245&lt;30,"Sí","No"))</f>
        <v/>
      </c>
    </row>
    <row r="246">
      <c r="A246" s="7"/>
      <c r="B246" s="14"/>
      <c r="C246" s="7"/>
      <c r="D246" s="7"/>
      <c r="E246" s="14"/>
      <c r="F246" s="7"/>
      <c r="G246" s="7"/>
      <c r="H246" s="14"/>
      <c r="I246" s="7"/>
      <c r="J246" s="14"/>
      <c r="K246" s="7"/>
      <c r="L246" s="7"/>
      <c r="M246" s="14"/>
      <c r="N246" s="15"/>
      <c r="O246" s="7"/>
      <c r="P246" s="7"/>
      <c r="Q246" s="7"/>
      <c r="R246" s="11" t="str">
        <f>IF(OR(B246="",E246=""),"",B246-E246)</f>
        <v/>
      </c>
      <c r="S246" s="11" t="str">
        <f>IF(R246="","",IF(R246&lt;30,"Sí","No"))</f>
        <v/>
      </c>
    </row>
    <row r="247">
      <c r="A247" s="7"/>
      <c r="B247" s="14"/>
      <c r="C247" s="7"/>
      <c r="D247" s="7"/>
      <c r="E247" s="14"/>
      <c r="F247" s="7"/>
      <c r="G247" s="7"/>
      <c r="H247" s="14"/>
      <c r="I247" s="7"/>
      <c r="J247" s="14"/>
      <c r="K247" s="7"/>
      <c r="L247" s="7"/>
      <c r="M247" s="14"/>
      <c r="N247" s="15"/>
      <c r="O247" s="7"/>
      <c r="P247" s="7"/>
      <c r="Q247" s="7"/>
      <c r="R247" s="11" t="str">
        <f>IF(OR(B247="",E247=""),"",B247-E247)</f>
        <v/>
      </c>
      <c r="S247" s="11" t="str">
        <f>IF(R247="","",IF(R247&lt;30,"Sí","No"))</f>
        <v/>
      </c>
    </row>
    <row r="248">
      <c r="A248" s="7"/>
      <c r="B248" s="14"/>
      <c r="C248" s="7"/>
      <c r="D248" s="7"/>
      <c r="E248" s="14"/>
      <c r="F248" s="7"/>
      <c r="G248" s="7"/>
      <c r="H248" s="14"/>
      <c r="I248" s="7"/>
      <c r="J248" s="14"/>
      <c r="K248" s="7"/>
      <c r="L248" s="7"/>
      <c r="M248" s="14"/>
      <c r="N248" s="15"/>
      <c r="O248" s="7"/>
      <c r="P248" s="7"/>
      <c r="Q248" s="7"/>
      <c r="R248" s="11" t="str">
        <f>IF(OR(B248="",E248=""),"",B248-E248)</f>
        <v/>
      </c>
      <c r="S248" s="11" t="str">
        <f>IF(R248="","",IF(R248&lt;30,"Sí","No"))</f>
        <v/>
      </c>
    </row>
    <row r="249">
      <c r="A249" s="7"/>
      <c r="B249" s="14"/>
      <c r="C249" s="7"/>
      <c r="D249" s="7"/>
      <c r="E249" s="14"/>
      <c r="F249" s="7"/>
      <c r="G249" s="7"/>
      <c r="H249" s="14"/>
      <c r="I249" s="7"/>
      <c r="J249" s="14"/>
      <c r="K249" s="7"/>
      <c r="L249" s="7"/>
      <c r="M249" s="14"/>
      <c r="N249" s="15"/>
      <c r="O249" s="7"/>
      <c r="P249" s="7"/>
      <c r="Q249" s="7"/>
      <c r="R249" s="11" t="str">
        <f>IF(OR(B249="",E249=""),"",B249-E249)</f>
        <v/>
      </c>
      <c r="S249" s="11" t="str">
        <f>IF(R249="","",IF(R249&lt;30,"Sí","No"))</f>
        <v/>
      </c>
    </row>
    <row r="250">
      <c r="A250" s="7"/>
      <c r="B250" s="14"/>
      <c r="C250" s="7"/>
      <c r="D250" s="7"/>
      <c r="E250" s="14"/>
      <c r="F250" s="7"/>
      <c r="G250" s="7"/>
      <c r="H250" s="14"/>
      <c r="I250" s="7"/>
      <c r="J250" s="14"/>
      <c r="K250" s="7"/>
      <c r="L250" s="7"/>
      <c r="M250" s="14"/>
      <c r="N250" s="15"/>
      <c r="O250" s="7"/>
      <c r="P250" s="7"/>
      <c r="Q250" s="7"/>
      <c r="R250" s="11" t="str">
        <f>IF(OR(B250="",E250=""),"",B250-E250)</f>
        <v/>
      </c>
      <c r="S250" s="11" t="str">
        <f>IF(R250="","",IF(R250&lt;30,"Sí","No"))</f>
        <v/>
      </c>
    </row>
    <row r="251">
      <c r="A251" s="7"/>
      <c r="B251" s="14"/>
      <c r="C251" s="7"/>
      <c r="D251" s="7"/>
      <c r="E251" s="14"/>
      <c r="F251" s="7"/>
      <c r="G251" s="7"/>
      <c r="H251" s="14"/>
      <c r="I251" s="7"/>
      <c r="J251" s="14"/>
      <c r="K251" s="7"/>
      <c r="L251" s="7"/>
      <c r="M251" s="14"/>
      <c r="N251" s="15"/>
      <c r="O251" s="7"/>
      <c r="P251" s="7"/>
      <c r="Q251" s="7"/>
      <c r="R251" s="11" t="str">
        <f>IF(OR(B251="",E251=""),"",B251-E251)</f>
        <v/>
      </c>
      <c r="S251" s="11" t="str">
        <f>IF(R251="","",IF(R251&lt;30,"Sí","No"))</f>
        <v/>
      </c>
    </row>
    <row r="252">
      <c r="A252" s="7"/>
      <c r="B252" s="14"/>
      <c r="C252" s="7"/>
      <c r="D252" s="7"/>
      <c r="E252" s="14"/>
      <c r="F252" s="7"/>
      <c r="G252" s="7"/>
      <c r="H252" s="14"/>
      <c r="I252" s="7"/>
      <c r="J252" s="14"/>
      <c r="K252" s="7"/>
      <c r="L252" s="7"/>
      <c r="M252" s="14"/>
      <c r="N252" s="15"/>
      <c r="O252" s="7"/>
      <c r="P252" s="7"/>
      <c r="Q252" s="7"/>
      <c r="R252" s="11" t="str">
        <f>IF(OR(B252="",E252=""),"",B252-E252)</f>
        <v/>
      </c>
      <c r="S252" s="11" t="str">
        <f>IF(R252="","",IF(R252&lt;30,"Sí","No"))</f>
        <v/>
      </c>
    </row>
    <row r="253">
      <c r="A253" s="7"/>
      <c r="B253" s="14"/>
      <c r="C253" s="7"/>
      <c r="D253" s="7"/>
      <c r="E253" s="14"/>
      <c r="F253" s="7"/>
      <c r="G253" s="7"/>
      <c r="H253" s="14"/>
      <c r="I253" s="7"/>
      <c r="J253" s="14"/>
      <c r="K253" s="7"/>
      <c r="L253" s="7"/>
      <c r="M253" s="14"/>
      <c r="N253" s="15"/>
      <c r="O253" s="7"/>
      <c r="P253" s="7"/>
      <c r="Q253" s="7"/>
      <c r="R253" s="11" t="str">
        <f>IF(OR(B253="",E253=""),"",B253-E253)</f>
        <v/>
      </c>
      <c r="S253" s="11" t="str">
        <f>IF(R253="","",IF(R253&lt;30,"Sí","No"))</f>
        <v/>
      </c>
    </row>
    <row r="254">
      <c r="A254" s="7"/>
      <c r="B254" s="14"/>
      <c r="C254" s="7"/>
      <c r="D254" s="7"/>
      <c r="E254" s="14"/>
      <c r="F254" s="7"/>
      <c r="G254" s="7"/>
      <c r="H254" s="14"/>
      <c r="I254" s="7"/>
      <c r="J254" s="14"/>
      <c r="K254" s="7"/>
      <c r="L254" s="7"/>
      <c r="M254" s="14"/>
      <c r="N254" s="15"/>
      <c r="O254" s="7"/>
      <c r="P254" s="7"/>
      <c r="Q254" s="7"/>
      <c r="R254" s="11" t="str">
        <f>IF(OR(B254="",E254=""),"",B254-E254)</f>
        <v/>
      </c>
      <c r="S254" s="11" t="str">
        <f>IF(R254="","",IF(R254&lt;30,"Sí","No"))</f>
        <v/>
      </c>
    </row>
    <row r="255">
      <c r="A255" s="7"/>
      <c r="B255" s="14"/>
      <c r="C255" s="7"/>
      <c r="D255" s="7"/>
      <c r="E255" s="14"/>
      <c r="F255" s="7"/>
      <c r="G255" s="7"/>
      <c r="H255" s="14"/>
      <c r="I255" s="7"/>
      <c r="J255" s="14"/>
      <c r="K255" s="7"/>
      <c r="L255" s="7"/>
      <c r="M255" s="14"/>
      <c r="N255" s="15"/>
      <c r="O255" s="7"/>
      <c r="P255" s="7"/>
      <c r="Q255" s="7"/>
      <c r="R255" s="11" t="str">
        <f>IF(OR(B255="",E255=""),"",B255-E255)</f>
        <v/>
      </c>
      <c r="S255" s="11" t="str">
        <f>IF(R255="","",IF(R255&lt;30,"Sí","No"))</f>
        <v/>
      </c>
    </row>
    <row r="256">
      <c r="A256" s="7"/>
      <c r="B256" s="14"/>
      <c r="C256" s="7"/>
      <c r="D256" s="7"/>
      <c r="E256" s="14"/>
      <c r="F256" s="7"/>
      <c r="G256" s="7"/>
      <c r="H256" s="14"/>
      <c r="I256" s="7"/>
      <c r="J256" s="14"/>
      <c r="K256" s="7"/>
      <c r="L256" s="7"/>
      <c r="M256" s="14"/>
      <c r="N256" s="15"/>
      <c r="O256" s="7"/>
      <c r="P256" s="7"/>
      <c r="Q256" s="7"/>
      <c r="R256" s="11" t="str">
        <f>IF(OR(B256="",E256=""),"",B256-E256)</f>
        <v/>
      </c>
      <c r="S256" s="11" t="str">
        <f>IF(R256="","",IF(R256&lt;30,"Sí","No"))</f>
        <v/>
      </c>
    </row>
    <row r="257">
      <c r="A257" s="7"/>
      <c r="B257" s="14"/>
      <c r="C257" s="7"/>
      <c r="D257" s="7"/>
      <c r="E257" s="14"/>
      <c r="F257" s="7"/>
      <c r="G257" s="7"/>
      <c r="H257" s="14"/>
      <c r="I257" s="7"/>
      <c r="J257" s="14"/>
      <c r="K257" s="7"/>
      <c r="L257" s="7"/>
      <c r="M257" s="14"/>
      <c r="N257" s="15"/>
      <c r="O257" s="7"/>
      <c r="P257" s="7"/>
      <c r="Q257" s="7"/>
      <c r="R257" s="11" t="str">
        <f>IF(OR(B257="",E257=""),"",B257-E257)</f>
        <v/>
      </c>
      <c r="S257" s="11" t="str">
        <f>IF(R257="","",IF(R257&lt;30,"Sí","No"))</f>
        <v/>
      </c>
    </row>
    <row r="258">
      <c r="A258" s="7"/>
      <c r="B258" s="14"/>
      <c r="C258" s="7"/>
      <c r="D258" s="7"/>
      <c r="E258" s="14"/>
      <c r="F258" s="7"/>
      <c r="G258" s="7"/>
      <c r="H258" s="14"/>
      <c r="I258" s="7"/>
      <c r="J258" s="14"/>
      <c r="K258" s="7"/>
      <c r="L258" s="7"/>
      <c r="M258" s="14"/>
      <c r="N258" s="15"/>
      <c r="O258" s="7"/>
      <c r="P258" s="7"/>
      <c r="Q258" s="7"/>
      <c r="R258" s="11" t="str">
        <f>IF(OR(B258="",E258=""),"",B258-E258)</f>
        <v/>
      </c>
      <c r="S258" s="11" t="str">
        <f>IF(R258="","",IF(R258&lt;30,"Sí","No"))</f>
        <v/>
      </c>
    </row>
    <row r="259">
      <c r="A259" s="7"/>
      <c r="B259" s="14"/>
      <c r="C259" s="7"/>
      <c r="D259" s="7"/>
      <c r="E259" s="14"/>
      <c r="F259" s="7"/>
      <c r="G259" s="7"/>
      <c r="H259" s="14"/>
      <c r="I259" s="7"/>
      <c r="J259" s="14"/>
      <c r="K259" s="7"/>
      <c r="L259" s="7"/>
      <c r="M259" s="14"/>
      <c r="N259" s="15"/>
      <c r="O259" s="7"/>
      <c r="P259" s="7"/>
      <c r="Q259" s="7"/>
      <c r="R259" s="11" t="str">
        <f>IF(OR(B259="",E259=""),"",B259-E259)</f>
        <v/>
      </c>
      <c r="S259" s="11" t="str">
        <f>IF(R259="","",IF(R259&lt;30,"Sí","No"))</f>
        <v/>
      </c>
    </row>
    <row r="260">
      <c r="A260" s="7"/>
      <c r="B260" s="14"/>
      <c r="C260" s="7"/>
      <c r="D260" s="7"/>
      <c r="E260" s="14"/>
      <c r="F260" s="7"/>
      <c r="G260" s="7"/>
      <c r="H260" s="14"/>
      <c r="I260" s="7"/>
      <c r="J260" s="14"/>
      <c r="K260" s="7"/>
      <c r="L260" s="7"/>
      <c r="M260" s="14"/>
      <c r="N260" s="15"/>
      <c r="O260" s="7"/>
      <c r="P260" s="7"/>
      <c r="Q260" s="7"/>
      <c r="R260" s="11" t="str">
        <f>IF(OR(B260="",E260=""),"",B260-E260)</f>
        <v/>
      </c>
      <c r="S260" s="11" t="str">
        <f>IF(R260="","",IF(R260&lt;30,"Sí","No"))</f>
        <v/>
      </c>
    </row>
    <row r="261">
      <c r="A261" s="7"/>
      <c r="B261" s="14"/>
      <c r="C261" s="7"/>
      <c r="D261" s="7"/>
      <c r="E261" s="14"/>
      <c r="F261" s="7"/>
      <c r="G261" s="7"/>
      <c r="H261" s="14"/>
      <c r="I261" s="7"/>
      <c r="J261" s="14"/>
      <c r="K261" s="7"/>
      <c r="L261" s="7"/>
      <c r="M261" s="14"/>
      <c r="N261" s="15"/>
      <c r="O261" s="7"/>
      <c r="P261" s="7"/>
      <c r="Q261" s="7"/>
      <c r="R261" s="11" t="str">
        <f>IF(OR(B261="",E261=""),"",B261-E261)</f>
        <v/>
      </c>
      <c r="S261" s="11" t="str">
        <f>IF(R261="","",IF(R261&lt;30,"Sí","No"))</f>
        <v/>
      </c>
    </row>
    <row r="262">
      <c r="A262" s="7"/>
      <c r="B262" s="14"/>
      <c r="C262" s="7"/>
      <c r="D262" s="7"/>
      <c r="E262" s="14"/>
      <c r="F262" s="7"/>
      <c r="G262" s="7"/>
      <c r="H262" s="14"/>
      <c r="I262" s="7"/>
      <c r="J262" s="14"/>
      <c r="K262" s="7"/>
      <c r="L262" s="7"/>
      <c r="M262" s="14"/>
      <c r="N262" s="15"/>
      <c r="O262" s="7"/>
      <c r="P262" s="7"/>
      <c r="Q262" s="7"/>
      <c r="R262" s="11" t="str">
        <f>IF(OR(B262="",E262=""),"",B262-E262)</f>
        <v/>
      </c>
      <c r="S262" s="11" t="str">
        <f>IF(R262="","",IF(R262&lt;30,"Sí","No"))</f>
        <v/>
      </c>
    </row>
    <row r="263">
      <c r="A263" s="7"/>
      <c r="B263" s="14"/>
      <c r="C263" s="7"/>
      <c r="D263" s="7"/>
      <c r="E263" s="14"/>
      <c r="F263" s="7"/>
      <c r="G263" s="7"/>
      <c r="H263" s="14"/>
      <c r="I263" s="7"/>
      <c r="J263" s="14"/>
      <c r="K263" s="7"/>
      <c r="L263" s="7"/>
      <c r="M263" s="14"/>
      <c r="N263" s="15"/>
      <c r="O263" s="7"/>
      <c r="P263" s="7"/>
      <c r="Q263" s="7"/>
      <c r="R263" s="11" t="str">
        <f>IF(OR(B263="",E263=""),"",B263-E263)</f>
        <v/>
      </c>
      <c r="S263" s="11" t="str">
        <f>IF(R263="","",IF(R263&lt;30,"Sí","No"))</f>
        <v/>
      </c>
    </row>
    <row r="264">
      <c r="A264" s="7"/>
      <c r="B264" s="14"/>
      <c r="C264" s="7"/>
      <c r="D264" s="7"/>
      <c r="E264" s="14"/>
      <c r="F264" s="7"/>
      <c r="G264" s="7"/>
      <c r="H264" s="14"/>
      <c r="I264" s="7"/>
      <c r="J264" s="14"/>
      <c r="K264" s="7"/>
      <c r="L264" s="7"/>
      <c r="M264" s="14"/>
      <c r="N264" s="15"/>
      <c r="O264" s="7"/>
      <c r="P264" s="7"/>
      <c r="Q264" s="7"/>
      <c r="R264" s="11" t="str">
        <f>IF(OR(B264="",E264=""),"",B264-E264)</f>
        <v/>
      </c>
      <c r="S264" s="11" t="str">
        <f>IF(R264="","",IF(R264&lt;30,"Sí","No"))</f>
        <v/>
      </c>
    </row>
    <row r="265">
      <c r="A265" s="7"/>
      <c r="B265" s="14"/>
      <c r="C265" s="7"/>
      <c r="D265" s="7"/>
      <c r="E265" s="14"/>
      <c r="F265" s="7"/>
      <c r="G265" s="7"/>
      <c r="H265" s="14"/>
      <c r="I265" s="7"/>
      <c r="J265" s="14"/>
      <c r="K265" s="7"/>
      <c r="L265" s="7"/>
      <c r="M265" s="14"/>
      <c r="N265" s="15"/>
      <c r="O265" s="7"/>
      <c r="P265" s="7"/>
      <c r="Q265" s="7"/>
      <c r="R265" s="11" t="str">
        <f>IF(OR(B265="",E265=""),"",B265-E265)</f>
        <v/>
      </c>
      <c r="S265" s="11" t="str">
        <f>IF(R265="","",IF(R265&lt;30,"Sí","No"))</f>
        <v/>
      </c>
    </row>
    <row r="266">
      <c r="A266" s="7"/>
      <c r="B266" s="14"/>
      <c r="C266" s="7"/>
      <c r="D266" s="7"/>
      <c r="E266" s="14"/>
      <c r="F266" s="7"/>
      <c r="G266" s="7"/>
      <c r="H266" s="14"/>
      <c r="I266" s="7"/>
      <c r="J266" s="14"/>
      <c r="K266" s="7"/>
      <c r="L266" s="7"/>
      <c r="M266" s="14"/>
      <c r="N266" s="15"/>
      <c r="O266" s="7"/>
      <c r="P266" s="7"/>
      <c r="Q266" s="7"/>
      <c r="R266" s="11" t="str">
        <f>IF(OR(B266="",E266=""),"",B266-E266)</f>
        <v/>
      </c>
      <c r="S266" s="11" t="str">
        <f>IF(R266="","",IF(R266&lt;30,"Sí","No"))</f>
        <v/>
      </c>
    </row>
    <row r="267">
      <c r="A267" s="7"/>
      <c r="B267" s="14"/>
      <c r="C267" s="7"/>
      <c r="D267" s="7"/>
      <c r="E267" s="14"/>
      <c r="F267" s="7"/>
      <c r="G267" s="7"/>
      <c r="H267" s="14"/>
      <c r="I267" s="7"/>
      <c r="J267" s="14"/>
      <c r="K267" s="7"/>
      <c r="L267" s="7"/>
      <c r="M267" s="14"/>
      <c r="N267" s="15"/>
      <c r="O267" s="7"/>
      <c r="P267" s="7"/>
      <c r="Q267" s="7"/>
      <c r="R267" s="11" t="str">
        <f>IF(OR(B267="",E267=""),"",B267-E267)</f>
        <v/>
      </c>
      <c r="S267" s="11" t="str">
        <f>IF(R267="","",IF(R267&lt;30,"Sí","No"))</f>
        <v/>
      </c>
    </row>
    <row r="268">
      <c r="A268" s="7"/>
      <c r="B268" s="14"/>
      <c r="C268" s="7"/>
      <c r="D268" s="7"/>
      <c r="E268" s="14"/>
      <c r="F268" s="7"/>
      <c r="G268" s="7"/>
      <c r="H268" s="14"/>
      <c r="I268" s="7"/>
      <c r="J268" s="14"/>
      <c r="K268" s="7"/>
      <c r="L268" s="7"/>
      <c r="M268" s="14"/>
      <c r="N268" s="15"/>
      <c r="O268" s="7"/>
      <c r="P268" s="7"/>
      <c r="Q268" s="7"/>
      <c r="R268" s="11" t="str">
        <f>IF(OR(B268="",E268=""),"",B268-E268)</f>
        <v/>
      </c>
      <c r="S268" s="11" t="str">
        <f>IF(R268="","",IF(R268&lt;30,"Sí","No"))</f>
        <v/>
      </c>
    </row>
    <row r="269">
      <c r="A269" s="7"/>
      <c r="B269" s="14"/>
      <c r="C269" s="7"/>
      <c r="D269" s="7"/>
      <c r="E269" s="14"/>
      <c r="F269" s="7"/>
      <c r="G269" s="7"/>
      <c r="H269" s="14"/>
      <c r="I269" s="7"/>
      <c r="J269" s="14"/>
      <c r="K269" s="7"/>
      <c r="L269" s="7"/>
      <c r="M269" s="14"/>
      <c r="N269" s="15"/>
      <c r="O269" s="7"/>
      <c r="P269" s="7"/>
      <c r="Q269" s="7"/>
      <c r="R269" s="11" t="str">
        <f>IF(OR(B269="",E269=""),"",B269-E269)</f>
        <v/>
      </c>
      <c r="S269" s="11" t="str">
        <f>IF(R269="","",IF(R269&lt;30,"Sí","No"))</f>
        <v/>
      </c>
    </row>
    <row r="270">
      <c r="A270" s="7"/>
      <c r="B270" s="14"/>
      <c r="C270" s="7"/>
      <c r="D270" s="7"/>
      <c r="E270" s="14"/>
      <c r="F270" s="7"/>
      <c r="G270" s="7"/>
      <c r="H270" s="14"/>
      <c r="I270" s="7"/>
      <c r="J270" s="14"/>
      <c r="K270" s="7"/>
      <c r="L270" s="7"/>
      <c r="M270" s="14"/>
      <c r="N270" s="15"/>
      <c r="O270" s="7"/>
      <c r="P270" s="7"/>
      <c r="Q270" s="7"/>
      <c r="R270" s="11" t="str">
        <f>IF(OR(B270="",E270=""),"",B270-E270)</f>
        <v/>
      </c>
      <c r="S270" s="11" t="str">
        <f>IF(R270="","",IF(R270&lt;30,"Sí","No"))</f>
        <v/>
      </c>
    </row>
    <row r="271">
      <c r="A271" s="7"/>
      <c r="B271" s="14"/>
      <c r="C271" s="7"/>
      <c r="D271" s="7"/>
      <c r="E271" s="14"/>
      <c r="F271" s="7"/>
      <c r="G271" s="7"/>
      <c r="H271" s="14"/>
      <c r="I271" s="7"/>
      <c r="J271" s="14"/>
      <c r="K271" s="7"/>
      <c r="L271" s="7"/>
      <c r="M271" s="14"/>
      <c r="N271" s="15"/>
      <c r="O271" s="7"/>
      <c r="P271" s="7"/>
      <c r="Q271" s="7"/>
      <c r="R271" s="11" t="str">
        <f>IF(OR(B271="",E271=""),"",B271-E271)</f>
        <v/>
      </c>
      <c r="S271" s="11" t="str">
        <f>IF(R271="","",IF(R271&lt;30,"Sí","No"))</f>
        <v/>
      </c>
    </row>
    <row r="272">
      <c r="A272" s="7"/>
      <c r="B272" s="14"/>
      <c r="C272" s="7"/>
      <c r="D272" s="7"/>
      <c r="E272" s="14"/>
      <c r="F272" s="7"/>
      <c r="G272" s="7"/>
      <c r="H272" s="14"/>
      <c r="I272" s="7"/>
      <c r="J272" s="14"/>
      <c r="K272" s="7"/>
      <c r="L272" s="7"/>
      <c r="M272" s="14"/>
      <c r="N272" s="15"/>
      <c r="O272" s="7"/>
      <c r="P272" s="7"/>
      <c r="Q272" s="7"/>
      <c r="R272" s="11" t="str">
        <f>IF(OR(B272="",E272=""),"",B272-E272)</f>
        <v/>
      </c>
      <c r="S272" s="11" t="str">
        <f>IF(R272="","",IF(R272&lt;30,"Sí","No"))</f>
        <v/>
      </c>
    </row>
    <row r="273">
      <c r="A273" s="7"/>
      <c r="B273" s="14"/>
      <c r="C273" s="7"/>
      <c r="D273" s="7"/>
      <c r="E273" s="14"/>
      <c r="F273" s="7"/>
      <c r="G273" s="7"/>
      <c r="H273" s="14"/>
      <c r="I273" s="7"/>
      <c r="J273" s="14"/>
      <c r="K273" s="7"/>
      <c r="L273" s="7"/>
      <c r="M273" s="14"/>
      <c r="N273" s="15"/>
      <c r="O273" s="7"/>
      <c r="P273" s="7"/>
      <c r="Q273" s="7"/>
      <c r="R273" s="11" t="str">
        <f>IF(OR(B273="",E273=""),"",B273-E273)</f>
        <v/>
      </c>
      <c r="S273" s="11" t="str">
        <f>IF(R273="","",IF(R273&lt;30,"Sí","No"))</f>
        <v/>
      </c>
    </row>
    <row r="274">
      <c r="A274" s="7"/>
      <c r="B274" s="14"/>
      <c r="C274" s="7"/>
      <c r="D274" s="7"/>
      <c r="E274" s="14"/>
      <c r="F274" s="7"/>
      <c r="G274" s="7"/>
      <c r="H274" s="14"/>
      <c r="I274" s="7"/>
      <c r="J274" s="14"/>
      <c r="K274" s="7"/>
      <c r="L274" s="7"/>
      <c r="M274" s="14"/>
      <c r="N274" s="15"/>
      <c r="O274" s="7"/>
      <c r="P274" s="7"/>
      <c r="Q274" s="7"/>
      <c r="R274" s="11" t="str">
        <f>IF(OR(B274="",E274=""),"",B274-E274)</f>
        <v/>
      </c>
      <c r="S274" s="11" t="str">
        <f>IF(R274="","",IF(R274&lt;30,"Sí","No"))</f>
        <v/>
      </c>
    </row>
    <row r="275">
      <c r="A275" s="7"/>
      <c r="B275" s="14"/>
      <c r="C275" s="7"/>
      <c r="D275" s="7"/>
      <c r="E275" s="14"/>
      <c r="F275" s="7"/>
      <c r="G275" s="7"/>
      <c r="H275" s="14"/>
      <c r="I275" s="7"/>
      <c r="J275" s="14"/>
      <c r="K275" s="7"/>
      <c r="L275" s="7"/>
      <c r="M275" s="14"/>
      <c r="N275" s="15"/>
      <c r="O275" s="7"/>
      <c r="P275" s="7"/>
      <c r="Q275" s="7"/>
      <c r="R275" s="11" t="str">
        <f>IF(OR(B275="",E275=""),"",B275-E275)</f>
        <v/>
      </c>
      <c r="S275" s="11" t="str">
        <f>IF(R275="","",IF(R275&lt;30,"Sí","No"))</f>
        <v/>
      </c>
    </row>
    <row r="276">
      <c r="A276" s="7"/>
      <c r="B276" s="14"/>
      <c r="C276" s="7"/>
      <c r="D276" s="7"/>
      <c r="E276" s="14"/>
      <c r="F276" s="7"/>
      <c r="G276" s="7"/>
      <c r="H276" s="14"/>
      <c r="I276" s="7"/>
      <c r="J276" s="14"/>
      <c r="K276" s="7"/>
      <c r="L276" s="7"/>
      <c r="M276" s="14"/>
      <c r="N276" s="15"/>
      <c r="O276" s="7"/>
      <c r="P276" s="7"/>
      <c r="Q276" s="7"/>
      <c r="R276" s="11" t="str">
        <f>IF(OR(B276="",E276=""),"",B276-E276)</f>
        <v/>
      </c>
      <c r="S276" s="11" t="str">
        <f>IF(R276="","",IF(R276&lt;30,"Sí","No"))</f>
        <v/>
      </c>
    </row>
    <row r="277">
      <c r="A277" s="7"/>
      <c r="B277" s="14"/>
      <c r="C277" s="7"/>
      <c r="D277" s="7"/>
      <c r="E277" s="14"/>
      <c r="F277" s="7"/>
      <c r="G277" s="7"/>
      <c r="H277" s="14"/>
      <c r="I277" s="7"/>
      <c r="J277" s="14"/>
      <c r="K277" s="7"/>
      <c r="L277" s="7"/>
      <c r="M277" s="14"/>
      <c r="N277" s="15"/>
      <c r="O277" s="7"/>
      <c r="P277" s="7"/>
      <c r="Q277" s="7"/>
      <c r="R277" s="11" t="str">
        <f>IF(OR(B277="",E277=""),"",B277-E277)</f>
        <v/>
      </c>
      <c r="S277" s="11" t="str">
        <f>IF(R277="","",IF(R277&lt;30,"Sí","No"))</f>
        <v/>
      </c>
    </row>
    <row r="278">
      <c r="A278" s="7"/>
      <c r="B278" s="14"/>
      <c r="C278" s="7"/>
      <c r="D278" s="7"/>
      <c r="E278" s="14"/>
      <c r="F278" s="7"/>
      <c r="G278" s="7"/>
      <c r="H278" s="14"/>
      <c r="I278" s="7"/>
      <c r="J278" s="14"/>
      <c r="K278" s="7"/>
      <c r="L278" s="7"/>
      <c r="M278" s="14"/>
      <c r="N278" s="15"/>
      <c r="O278" s="7"/>
      <c r="P278" s="7"/>
      <c r="Q278" s="7"/>
      <c r="R278" s="11" t="str">
        <f>IF(OR(B278="",E278=""),"",B278-E278)</f>
        <v/>
      </c>
      <c r="S278" s="11" t="str">
        <f>IF(R278="","",IF(R278&lt;30,"Sí","No"))</f>
        <v/>
      </c>
    </row>
    <row r="279">
      <c r="A279" s="7"/>
      <c r="B279" s="14"/>
      <c r="C279" s="7"/>
      <c r="D279" s="7"/>
      <c r="E279" s="14"/>
      <c r="F279" s="7"/>
      <c r="G279" s="7"/>
      <c r="H279" s="14"/>
      <c r="I279" s="7"/>
      <c r="J279" s="14"/>
      <c r="K279" s="7"/>
      <c r="L279" s="7"/>
      <c r="M279" s="14"/>
      <c r="N279" s="15"/>
      <c r="O279" s="7"/>
      <c r="P279" s="7"/>
      <c r="Q279" s="7"/>
      <c r="R279" s="11" t="str">
        <f>IF(OR(B279="",E279=""),"",B279-E279)</f>
        <v/>
      </c>
      <c r="S279" s="11" t="str">
        <f>IF(R279="","",IF(R279&lt;30,"Sí","No"))</f>
        <v/>
      </c>
    </row>
    <row r="280">
      <c r="A280" s="7"/>
      <c r="B280" s="14"/>
      <c r="C280" s="7"/>
      <c r="D280" s="7"/>
      <c r="E280" s="14"/>
      <c r="F280" s="7"/>
      <c r="G280" s="7"/>
      <c r="H280" s="14"/>
      <c r="I280" s="7"/>
      <c r="J280" s="14"/>
      <c r="K280" s="7"/>
      <c r="L280" s="7"/>
      <c r="M280" s="14"/>
      <c r="N280" s="15"/>
      <c r="O280" s="7"/>
      <c r="P280" s="7"/>
      <c r="Q280" s="7"/>
      <c r="R280" s="11" t="str">
        <f>IF(OR(B280="",E280=""),"",B280-E280)</f>
        <v/>
      </c>
      <c r="S280" s="11" t="str">
        <f>IF(R280="","",IF(R280&lt;30,"Sí","No"))</f>
        <v/>
      </c>
    </row>
    <row r="281">
      <c r="A281" s="7"/>
      <c r="B281" s="14"/>
      <c r="C281" s="7"/>
      <c r="D281" s="7"/>
      <c r="E281" s="14"/>
      <c r="F281" s="7"/>
      <c r="G281" s="7"/>
      <c r="H281" s="14"/>
      <c r="I281" s="7"/>
      <c r="J281" s="14"/>
      <c r="K281" s="7"/>
      <c r="L281" s="7"/>
      <c r="M281" s="14"/>
      <c r="N281" s="15"/>
      <c r="O281" s="7"/>
      <c r="P281" s="7"/>
      <c r="Q281" s="7"/>
      <c r="R281" s="11" t="str">
        <f>IF(OR(B281="",E281=""),"",B281-E281)</f>
        <v/>
      </c>
      <c r="S281" s="11" t="str">
        <f>IF(R281="","",IF(R281&lt;30,"Sí","No"))</f>
        <v/>
      </c>
    </row>
    <row r="282">
      <c r="A282" s="7"/>
      <c r="B282" s="14"/>
      <c r="C282" s="7"/>
      <c r="D282" s="7"/>
      <c r="E282" s="14"/>
      <c r="F282" s="7"/>
      <c r="G282" s="7"/>
      <c r="H282" s="14"/>
      <c r="I282" s="7"/>
      <c r="J282" s="14"/>
      <c r="K282" s="7"/>
      <c r="L282" s="7"/>
      <c r="M282" s="14"/>
      <c r="N282" s="15"/>
      <c r="O282" s="7"/>
      <c r="P282" s="7"/>
      <c r="Q282" s="7"/>
      <c r="R282" s="11" t="str">
        <f>IF(OR(B282="",E282=""),"",B282-E282)</f>
        <v/>
      </c>
      <c r="S282" s="11" t="str">
        <f>IF(R282="","",IF(R282&lt;30,"Sí","No"))</f>
        <v/>
      </c>
    </row>
    <row r="283">
      <c r="A283" s="7"/>
      <c r="B283" s="14"/>
      <c r="C283" s="7"/>
      <c r="D283" s="7"/>
      <c r="E283" s="14"/>
      <c r="F283" s="7"/>
      <c r="G283" s="7"/>
      <c r="H283" s="14"/>
      <c r="I283" s="7"/>
      <c r="J283" s="14"/>
      <c r="K283" s="7"/>
      <c r="L283" s="7"/>
      <c r="M283" s="14"/>
      <c r="N283" s="15"/>
      <c r="O283" s="7"/>
      <c r="P283" s="7"/>
      <c r="Q283" s="7"/>
      <c r="R283" s="11" t="str">
        <f>IF(OR(B283="",E283=""),"",B283-E283)</f>
        <v/>
      </c>
      <c r="S283" s="11" t="str">
        <f>IF(R283="","",IF(R283&lt;30,"Sí","No"))</f>
        <v/>
      </c>
    </row>
    <row r="284">
      <c r="A284" s="7"/>
      <c r="B284" s="14"/>
      <c r="C284" s="7"/>
      <c r="D284" s="7"/>
      <c r="E284" s="14"/>
      <c r="F284" s="7"/>
      <c r="G284" s="7"/>
      <c r="H284" s="14"/>
      <c r="I284" s="7"/>
      <c r="J284" s="14"/>
      <c r="K284" s="7"/>
      <c r="L284" s="7"/>
      <c r="M284" s="14"/>
      <c r="N284" s="15"/>
      <c r="O284" s="7"/>
      <c r="P284" s="7"/>
      <c r="Q284" s="7"/>
      <c r="R284" s="11" t="str">
        <f>IF(OR(B284="",E284=""),"",B284-E284)</f>
        <v/>
      </c>
      <c r="S284" s="11" t="str">
        <f>IF(R284="","",IF(R284&lt;30,"Sí","No"))</f>
        <v/>
      </c>
    </row>
    <row r="285">
      <c r="A285" s="7"/>
      <c r="B285" s="14"/>
      <c r="C285" s="7"/>
      <c r="D285" s="7"/>
      <c r="E285" s="14"/>
      <c r="F285" s="7"/>
      <c r="G285" s="7"/>
      <c r="H285" s="14"/>
      <c r="I285" s="7"/>
      <c r="J285" s="14"/>
      <c r="K285" s="7"/>
      <c r="L285" s="7"/>
      <c r="M285" s="14"/>
      <c r="N285" s="15"/>
      <c r="O285" s="7"/>
      <c r="P285" s="7"/>
      <c r="Q285" s="7"/>
      <c r="R285" s="11" t="str">
        <f>IF(OR(B285="",E285=""),"",B285-E285)</f>
        <v/>
      </c>
      <c r="S285" s="11" t="str">
        <f>IF(R285="","",IF(R285&lt;30,"Sí","No"))</f>
        <v/>
      </c>
    </row>
    <row r="286">
      <c r="A286" s="7"/>
      <c r="B286" s="14"/>
      <c r="C286" s="7"/>
      <c r="D286" s="7"/>
      <c r="E286" s="14"/>
      <c r="F286" s="7"/>
      <c r="G286" s="7"/>
      <c r="H286" s="14"/>
      <c r="I286" s="7"/>
      <c r="J286" s="14"/>
      <c r="K286" s="7"/>
      <c r="L286" s="7"/>
      <c r="M286" s="14"/>
      <c r="N286" s="15"/>
      <c r="O286" s="7"/>
      <c r="P286" s="7"/>
      <c r="Q286" s="7"/>
      <c r="R286" s="11" t="str">
        <f>IF(OR(B286="",E286=""),"",B286-E286)</f>
        <v/>
      </c>
      <c r="S286" s="11" t="str">
        <f>IF(R286="","",IF(R286&lt;30,"Sí","No"))</f>
        <v/>
      </c>
    </row>
    <row r="287">
      <c r="A287" s="7"/>
      <c r="B287" s="14"/>
      <c r="C287" s="7"/>
      <c r="D287" s="7"/>
      <c r="E287" s="14"/>
      <c r="F287" s="7"/>
      <c r="G287" s="7"/>
      <c r="H287" s="14"/>
      <c r="I287" s="7"/>
      <c r="J287" s="14"/>
      <c r="K287" s="7"/>
      <c r="L287" s="7"/>
      <c r="M287" s="14"/>
      <c r="N287" s="15"/>
      <c r="O287" s="7"/>
      <c r="P287" s="7"/>
      <c r="Q287" s="7"/>
      <c r="R287" s="11" t="str">
        <f>IF(OR(B287="",E287=""),"",B287-E287)</f>
        <v/>
      </c>
      <c r="S287" s="11" t="str">
        <f>IF(R287="","",IF(R287&lt;30,"Sí","No"))</f>
        <v/>
      </c>
    </row>
    <row r="288">
      <c r="A288" s="7"/>
      <c r="B288" s="14"/>
      <c r="C288" s="7"/>
      <c r="D288" s="7"/>
      <c r="E288" s="14"/>
      <c r="F288" s="7"/>
      <c r="G288" s="7"/>
      <c r="H288" s="14"/>
      <c r="I288" s="7"/>
      <c r="J288" s="14"/>
      <c r="K288" s="7"/>
      <c r="L288" s="7"/>
      <c r="M288" s="14"/>
      <c r="N288" s="15"/>
      <c r="O288" s="7"/>
      <c r="P288" s="7"/>
      <c r="Q288" s="7"/>
      <c r="R288" s="11" t="str">
        <f>IF(OR(B288="",E288=""),"",B288-E288)</f>
        <v/>
      </c>
      <c r="S288" s="11" t="str">
        <f>IF(R288="","",IF(R288&lt;30,"Sí","No"))</f>
        <v/>
      </c>
    </row>
    <row r="289">
      <c r="A289" s="7"/>
      <c r="B289" s="14"/>
      <c r="C289" s="7"/>
      <c r="D289" s="7"/>
      <c r="E289" s="14"/>
      <c r="F289" s="7"/>
      <c r="G289" s="7"/>
      <c r="H289" s="14"/>
      <c r="I289" s="7"/>
      <c r="J289" s="14"/>
      <c r="K289" s="7"/>
      <c r="L289" s="7"/>
      <c r="M289" s="14"/>
      <c r="N289" s="15"/>
      <c r="O289" s="7"/>
      <c r="P289" s="7"/>
      <c r="Q289" s="7"/>
      <c r="R289" s="11" t="str">
        <f>IF(OR(B289="",E289=""),"",B289-E289)</f>
        <v/>
      </c>
      <c r="S289" s="11" t="str">
        <f>IF(R289="","",IF(R289&lt;30,"Sí","No"))</f>
        <v/>
      </c>
    </row>
    <row r="290">
      <c r="A290" s="7"/>
      <c r="B290" s="14"/>
      <c r="C290" s="7"/>
      <c r="D290" s="7"/>
      <c r="E290" s="14"/>
      <c r="F290" s="7"/>
      <c r="G290" s="7"/>
      <c r="H290" s="14"/>
      <c r="I290" s="7"/>
      <c r="J290" s="14"/>
      <c r="K290" s="7"/>
      <c r="L290" s="7"/>
      <c r="M290" s="14"/>
      <c r="N290" s="15"/>
      <c r="O290" s="7"/>
      <c r="P290" s="7"/>
      <c r="Q290" s="7"/>
      <c r="R290" s="11" t="str">
        <f>IF(OR(B290="",E290=""),"",B290-E290)</f>
        <v/>
      </c>
      <c r="S290" s="11" t="str">
        <f>IF(R290="","",IF(R290&lt;30,"Sí","No"))</f>
        <v/>
      </c>
    </row>
    <row r="291">
      <c r="A291" s="7"/>
      <c r="B291" s="14"/>
      <c r="C291" s="7"/>
      <c r="D291" s="7"/>
      <c r="E291" s="14"/>
      <c r="F291" s="7"/>
      <c r="G291" s="7"/>
      <c r="H291" s="14"/>
      <c r="I291" s="7"/>
      <c r="J291" s="14"/>
      <c r="K291" s="7"/>
      <c r="L291" s="7"/>
      <c r="M291" s="14"/>
      <c r="N291" s="15"/>
      <c r="O291" s="7"/>
      <c r="P291" s="7"/>
      <c r="Q291" s="7"/>
      <c r="R291" s="11" t="str">
        <f>IF(OR(B291="",E291=""),"",B291-E291)</f>
        <v/>
      </c>
      <c r="S291" s="11" t="str">
        <f>IF(R291="","",IF(R291&lt;30,"Sí","No"))</f>
        <v/>
      </c>
    </row>
    <row r="292">
      <c r="A292" s="7"/>
      <c r="B292" s="14"/>
      <c r="C292" s="7"/>
      <c r="D292" s="7"/>
      <c r="E292" s="14"/>
      <c r="F292" s="7"/>
      <c r="G292" s="7"/>
      <c r="H292" s="14"/>
      <c r="I292" s="7"/>
      <c r="J292" s="14"/>
      <c r="K292" s="7"/>
      <c r="L292" s="7"/>
      <c r="M292" s="14"/>
      <c r="N292" s="15"/>
      <c r="O292" s="7"/>
      <c r="P292" s="7"/>
      <c r="Q292" s="7"/>
      <c r="R292" s="11" t="str">
        <f>IF(OR(B292="",E292=""),"",B292-E292)</f>
        <v/>
      </c>
      <c r="S292" s="11" t="str">
        <f>IF(R292="","",IF(R292&lt;30,"Sí","No"))</f>
        <v/>
      </c>
    </row>
    <row r="293">
      <c r="A293" s="7"/>
      <c r="B293" s="14"/>
      <c r="C293" s="7"/>
      <c r="D293" s="7"/>
      <c r="E293" s="14"/>
      <c r="F293" s="7"/>
      <c r="G293" s="7"/>
      <c r="H293" s="14"/>
      <c r="I293" s="7"/>
      <c r="J293" s="14"/>
      <c r="K293" s="7"/>
      <c r="L293" s="7"/>
      <c r="M293" s="14"/>
      <c r="N293" s="15"/>
      <c r="O293" s="7"/>
      <c r="P293" s="7"/>
      <c r="Q293" s="7"/>
      <c r="R293" s="11" t="str">
        <f>IF(OR(B293="",E293=""),"",B293-E293)</f>
        <v/>
      </c>
      <c r="S293" s="11" t="str">
        <f>IF(R293="","",IF(R293&lt;30,"Sí","No"))</f>
        <v/>
      </c>
    </row>
    <row r="294">
      <c r="A294" s="7"/>
      <c r="B294" s="14"/>
      <c r="C294" s="7"/>
      <c r="D294" s="7"/>
      <c r="E294" s="14"/>
      <c r="F294" s="7"/>
      <c r="G294" s="7"/>
      <c r="H294" s="14"/>
      <c r="I294" s="7"/>
      <c r="J294" s="14"/>
      <c r="K294" s="7"/>
      <c r="L294" s="7"/>
      <c r="M294" s="14"/>
      <c r="N294" s="15"/>
      <c r="O294" s="7"/>
      <c r="P294" s="7"/>
      <c r="Q294" s="7"/>
      <c r="R294" s="11" t="str">
        <f>IF(OR(B294="",E294=""),"",B294-E294)</f>
        <v/>
      </c>
      <c r="S294" s="11" t="str">
        <f>IF(R294="","",IF(R294&lt;30,"Sí","No"))</f>
        <v/>
      </c>
    </row>
    <row r="295">
      <c r="A295" s="7"/>
      <c r="B295" s="14"/>
      <c r="C295" s="7"/>
      <c r="D295" s="7"/>
      <c r="E295" s="14"/>
      <c r="F295" s="7"/>
      <c r="G295" s="7"/>
      <c r="H295" s="14"/>
      <c r="I295" s="7"/>
      <c r="J295" s="14"/>
      <c r="K295" s="7"/>
      <c r="L295" s="7"/>
      <c r="M295" s="14"/>
      <c r="N295" s="15"/>
      <c r="O295" s="7"/>
      <c r="P295" s="7"/>
      <c r="Q295" s="7"/>
      <c r="R295" s="11" t="str">
        <f>IF(OR(B295="",E295=""),"",B295-E295)</f>
        <v/>
      </c>
      <c r="S295" s="11" t="str">
        <f>IF(R295="","",IF(R295&lt;30,"Sí","No"))</f>
        <v/>
      </c>
    </row>
    <row r="296">
      <c r="A296" s="7"/>
      <c r="B296" s="14"/>
      <c r="C296" s="7"/>
      <c r="D296" s="7"/>
      <c r="E296" s="14"/>
      <c r="F296" s="7"/>
      <c r="G296" s="7"/>
      <c r="H296" s="14"/>
      <c r="I296" s="7"/>
      <c r="J296" s="14"/>
      <c r="K296" s="7"/>
      <c r="L296" s="7"/>
      <c r="M296" s="14"/>
      <c r="N296" s="15"/>
      <c r="O296" s="7"/>
      <c r="P296" s="7"/>
      <c r="Q296" s="7"/>
      <c r="R296" s="11" t="str">
        <f>IF(OR(B296="",E296=""),"",B296-E296)</f>
        <v/>
      </c>
      <c r="S296" s="11" t="str">
        <f>IF(R296="","",IF(R296&lt;30,"Sí","No"))</f>
        <v/>
      </c>
    </row>
    <row r="297">
      <c r="A297" s="7"/>
      <c r="B297" s="14"/>
      <c r="C297" s="7"/>
      <c r="D297" s="7"/>
      <c r="E297" s="14"/>
      <c r="F297" s="7"/>
      <c r="G297" s="7"/>
      <c r="H297" s="14"/>
      <c r="I297" s="7"/>
      <c r="J297" s="14"/>
      <c r="K297" s="7"/>
      <c r="L297" s="7"/>
      <c r="M297" s="14"/>
      <c r="N297" s="15"/>
      <c r="O297" s="7"/>
      <c r="P297" s="7"/>
      <c r="Q297" s="7"/>
      <c r="R297" s="11" t="str">
        <f>IF(OR(B297="",E297=""),"",B297-E297)</f>
        <v/>
      </c>
      <c r="S297" s="11" t="str">
        <f>IF(R297="","",IF(R297&lt;30,"Sí","No"))</f>
        <v/>
      </c>
    </row>
    <row r="298">
      <c r="A298" s="7"/>
      <c r="B298" s="14"/>
      <c r="C298" s="7"/>
      <c r="D298" s="7"/>
      <c r="E298" s="14"/>
      <c r="F298" s="7"/>
      <c r="G298" s="7"/>
      <c r="H298" s="14"/>
      <c r="I298" s="7"/>
      <c r="J298" s="14"/>
      <c r="K298" s="7"/>
      <c r="L298" s="7"/>
      <c r="M298" s="14"/>
      <c r="N298" s="15"/>
      <c r="O298" s="7"/>
      <c r="P298" s="7"/>
      <c r="Q298" s="7"/>
      <c r="R298" s="11" t="str">
        <f>IF(OR(B298="",E298=""),"",B298-E298)</f>
        <v/>
      </c>
      <c r="S298" s="11" t="str">
        <f>IF(R298="","",IF(R298&lt;30,"Sí","No"))</f>
        <v/>
      </c>
    </row>
    <row r="299">
      <c r="A299" s="7"/>
      <c r="B299" s="14"/>
      <c r="C299" s="7"/>
      <c r="D299" s="7"/>
      <c r="E299" s="14"/>
      <c r="F299" s="7"/>
      <c r="G299" s="7"/>
      <c r="H299" s="14"/>
      <c r="I299" s="7"/>
      <c r="J299" s="14"/>
      <c r="K299" s="7"/>
      <c r="L299" s="7"/>
      <c r="M299" s="14"/>
      <c r="N299" s="15"/>
      <c r="O299" s="7"/>
      <c r="P299" s="7"/>
      <c r="Q299" s="7"/>
      <c r="R299" s="11" t="str">
        <f>IF(OR(B299="",E299=""),"",B299-E299)</f>
        <v/>
      </c>
      <c r="S299" s="11" t="str">
        <f>IF(R299="","",IF(R299&lt;30,"Sí","No"))</f>
        <v/>
      </c>
    </row>
    <row r="300">
      <c r="A300" s="7"/>
      <c r="B300" s="14"/>
      <c r="C300" s="7"/>
      <c r="D300" s="7"/>
      <c r="E300" s="14"/>
      <c r="F300" s="7"/>
      <c r="G300" s="7"/>
      <c r="H300" s="14"/>
      <c r="I300" s="7"/>
      <c r="J300" s="14"/>
      <c r="K300" s="7"/>
      <c r="L300" s="7"/>
      <c r="M300" s="14"/>
      <c r="N300" s="15"/>
      <c r="O300" s="7"/>
      <c r="P300" s="7"/>
      <c r="Q300" s="7"/>
      <c r="R300" s="11" t="str">
        <f>IF(OR(B300="",E300=""),"",B300-E300)</f>
        <v/>
      </c>
      <c r="S300" s="11" t="str">
        <f>IF(R300="","",IF(R300&lt;30,"Sí","No"))</f>
        <v/>
      </c>
    </row>
    <row r="301">
      <c r="A301" s="7"/>
      <c r="B301" s="14"/>
      <c r="C301" s="7"/>
      <c r="D301" s="7"/>
      <c r="E301" s="14"/>
      <c r="F301" s="7"/>
      <c r="G301" s="7"/>
      <c r="H301" s="14"/>
      <c r="I301" s="7"/>
      <c r="J301" s="14"/>
      <c r="K301" s="7"/>
      <c r="L301" s="7"/>
      <c r="M301" s="14"/>
      <c r="N301" s="15"/>
      <c r="O301" s="7"/>
      <c r="P301" s="7"/>
      <c r="Q301" s="7"/>
      <c r="R301" s="11" t="str">
        <f>IF(OR(B301="",E301=""),"",B301-E301)</f>
        <v/>
      </c>
      <c r="S301" s="11" t="str">
        <f>IF(R301="","",IF(R301&lt;30,"Sí","No"))</f>
        <v/>
      </c>
    </row>
    <row r="302">
      <c r="A302" s="7"/>
      <c r="B302" s="14"/>
      <c r="C302" s="7"/>
      <c r="D302" s="7"/>
      <c r="E302" s="14"/>
      <c r="F302" s="7"/>
      <c r="G302" s="7"/>
      <c r="H302" s="14"/>
      <c r="I302" s="7"/>
      <c r="J302" s="14"/>
      <c r="K302" s="7"/>
      <c r="L302" s="7"/>
      <c r="M302" s="14"/>
      <c r="N302" s="15"/>
      <c r="O302" s="7"/>
      <c r="P302" s="7"/>
      <c r="Q302" s="7"/>
      <c r="R302" s="11" t="str">
        <f>IF(OR(B302="",E302=""),"",B302-E302)</f>
        <v/>
      </c>
      <c r="S302" s="11" t="str">
        <f>IF(R302="","",IF(R302&lt;30,"Sí","No"))</f>
        <v/>
      </c>
    </row>
    <row r="303">
      <c r="A303" s="7"/>
      <c r="B303" s="14"/>
      <c r="C303" s="7"/>
      <c r="D303" s="7"/>
      <c r="E303" s="14"/>
      <c r="F303" s="7"/>
      <c r="G303" s="7"/>
      <c r="H303" s="14"/>
      <c r="I303" s="7"/>
      <c r="J303" s="14"/>
      <c r="K303" s="7"/>
      <c r="L303" s="7"/>
      <c r="M303" s="14"/>
      <c r="N303" s="15"/>
      <c r="O303" s="7"/>
      <c r="P303" s="7"/>
      <c r="Q303" s="7"/>
      <c r="R303" s="11" t="str">
        <f>IF(OR(B303="",E303=""),"",B303-E303)</f>
        <v/>
      </c>
      <c r="S303" s="11" t="str">
        <f>IF(R303="","",IF(R303&lt;30,"Sí","No"))</f>
        <v/>
      </c>
    </row>
    <row r="304">
      <c r="A304" s="7"/>
      <c r="B304" s="14"/>
      <c r="C304" s="7"/>
      <c r="D304" s="7"/>
      <c r="E304" s="14"/>
      <c r="F304" s="7"/>
      <c r="G304" s="7"/>
      <c r="H304" s="14"/>
      <c r="I304" s="7"/>
      <c r="J304" s="14"/>
      <c r="K304" s="7"/>
      <c r="L304" s="7"/>
      <c r="M304" s="14"/>
      <c r="N304" s="15"/>
      <c r="O304" s="7"/>
      <c r="P304" s="7"/>
      <c r="Q304" s="7"/>
      <c r="R304" s="11" t="str">
        <f>IF(OR(B304="",E304=""),"",B304-E304)</f>
        <v/>
      </c>
      <c r="S304" s="11" t="str">
        <f>IF(R304="","",IF(R304&lt;30,"Sí","No"))</f>
        <v/>
      </c>
    </row>
    <row r="306">
      <c r="A306" s="25" t="inlineStr">
        <is>
          <t>Celda naranja en "Posibilidad de retorno": baja definitiva con retorno "Alta". Revisar cuál de los dos datos es correcto (pasa con Arantza Vargas y Luisa Villarreal).</t>
        </is>
      </c>
    </row>
  </sheetData>
  <autoFilter ref="A4:S304"/>
  <conditionalFormatting sqref="S5:S304">
    <cfRule type="expression" dxfId="5" priority="1">
      <formula>S5="Sí"</formula>
    </cfRule>
  </conditionalFormatting>
  <conditionalFormatting sqref="I5:I304">
    <cfRule type="expression" dxfId="6" priority="2">
      <formula>AND(G5="Baja definitiva",I5="Alta")</formula>
    </cfRule>
  </conditionalFormatting>
  <dataValidations count="6">
    <dataValidation type="list" allowBlank="1" showErrorMessage="1" errorStyle="warning" errorTitle="Valor fuera de catálogo" error="Usa un valor de la lista para que el tablero lo cuente." sqref="D5:D304">
      <formula1>L_Programa</formula1>
    </dataValidation>
    <dataValidation type="list" allowBlank="1" showErrorMessage="1" errorStyle="warning" errorTitle="Valor fuera de catálogo" error="Usa un valor de la lista para que el tablero lo cuente." sqref="F5:F304">
      <formula1>L_MotivoBaja</formula1>
    </dataValidation>
    <dataValidation type="list" allowBlank="1" showErrorMessage="1" errorStyle="warning" errorTitle="Valor fuera de catálogo" error="Usa un valor de la lista para que el tablero lo cuente." sqref="G5:G304">
      <formula1>L_EstatusBaja</formula1>
    </dataValidation>
    <dataValidation type="list" allowBlank="1" showErrorMessage="1" errorStyle="warning" errorTitle="Valor fuera de catálogo" error="Usa un valor de la lista para que el tablero lo cuente." sqref="I5:I304">
      <formula1>L_Retorno</formula1>
    </dataValidation>
    <dataValidation type="list" allowBlank="1" showErrorMessage="1" errorStyle="warning" errorTitle="Valor fuera de catálogo" error="Usa un valor de la lista para que el tablero lo cuente." sqref="O5:O304">
      <formula1>L_HorarioBaja</formula1>
    </dataValidation>
    <dataValidation type="list" allowBlank="1" showErrorMessage="1" errorStyle="warning" errorTitle="Valor fuera de catálogo" error="Usa un valor de la lista para que el tablero lo cuente." sqref="P5:P304">
      <formula1>"Sí,No"</formula1>
    </dataValidation>
  </dataValidations>
  <pageMargins left="0.5" right="0.5" top="0.6" bottom="0.6" header="0.3" footer="0.3"/>
  <pageSetup orientation="landscape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FFC000"/>
  </sheetPr>
  <dimension ref="A1:P58"/>
  <sheetViews>
    <sheetView workbookViewId="0" zoomScale="100">
      <pane xSplit="2" ySplit="13" topLeftCell="C14" activePane="bottomRight" state="frozen"/>
      <selection pane="bottomRight" activeCell="C14" sqref="C14"/>
    </sheetView>
  </sheetViews>
  <sheetFormatPr defaultRowHeight="15"/>
  <cols>
    <col min="1" max="1" width="3" customWidth="1"/>
    <col min="2" max="2" width="30" customWidth="1"/>
    <col min="3" max="3" width="12" customWidth="1"/>
    <col min="4" max="4" width="12" customWidth="1"/>
    <col min="5" max="5" width="18" customWidth="1"/>
    <col min="6" max="6" width="14" customWidth="1"/>
    <col min="7" max="7" width="14" customWidth="1"/>
    <col min="8" max="8" width="9" customWidth="1"/>
    <col min="9" max="9" width="9" customWidth="1"/>
    <col min="10" max="10" width="9" customWidth="1"/>
    <col min="11" max="11" width="10" customWidth="1"/>
    <col min="12" max="12" width="12" customWidth="1"/>
    <col min="13" max="13" width="12" customWidth="1"/>
    <col min="14" max="14" width="11" customWidth="1"/>
    <col min="15" max="15" width="11" customWidth="1"/>
    <col min="16" max="16" width="40" customWidth="1"/>
  </cols>
  <sheetData>
    <row r="1">
      <c r="A1" s="1" t="inlineStr">
        <is>
          <t>Ocupación de grupos y costo docente</t>
        </is>
      </c>
    </row>
    <row r="2">
      <c r="A2" s="2" t="inlineStr">
        <is>
          <t>Fuente: PDF "HORARIO Clases" (sin fecha). Día y docente quedan por validar con Administración. Celdas amarillas = supuestos editables.</t>
        </is>
      </c>
    </row>
    <row r="4">
      <c r="B4" s="26" t="inlineStr">
        <is>
          <t>Capacidad máxima por grupo</t>
        </is>
      </c>
      <c r="C4" s="9">
        <v>12</v>
      </c>
      <c r="D4" s="25" t="inlineStr">
        <is>
          <t>Dato de la academia</t>
        </is>
      </c>
    </row>
    <row r="5">
      <c r="B5" s="26" t="inlineStr">
        <is>
          <t>Costo docente por clase (50 min)</t>
        </is>
      </c>
      <c r="C5" s="10">
        <v>200</v>
      </c>
      <c r="D5" s="25" t="inlineStr">
        <is>
          <t>Dato de la academia</t>
        </is>
      </c>
    </row>
    <row r="6">
      <c r="B6" s="26" t="inlineStr">
        <is>
          <t>Clases por semana por grupo</t>
        </is>
      </c>
      <c r="C6" s="9">
        <v>2</v>
      </c>
      <c r="D6" s="25" t="inlineStr">
        <is>
          <t>Programa regular: 2 clases de 50 min</t>
        </is>
      </c>
    </row>
    <row r="7">
      <c r="B7" s="26" t="inlineStr">
        <is>
          <t>Semanas por mes</t>
        </is>
      </c>
      <c r="C7" s="9">
        <f>52/12</f>
        <v>4.33</v>
      </c>
      <c r="D7" s="25" t="inlineStr">
        <is>
          <t>52 semanas / 12 meses</t>
        </is>
      </c>
    </row>
    <row r="8">
      <c r="B8" s="26" t="inlineStr">
        <is>
          <t>Mensualidad promedio cobrada</t>
        </is>
      </c>
      <c r="C8" s="10">
        <v>698</v>
      </c>
      <c r="D8" s="25" t="inlineStr">
        <is>
          <t>Promedio de 119 activos con mensualidad registrada (base 19-oct). Precio de lista: $800</t>
        </is>
      </c>
    </row>
    <row r="9">
      <c r="B9" s="26" t="inlineStr">
        <is>
          <t>Costo docente por grupo al mes</t>
        </is>
      </c>
      <c r="C9" s="12">
        <f>C5*C6*C7</f>
        <v>1733.33</v>
      </c>
      <c r="D9" s="25" t="inlineStr">
        <is>
          <t>Fórmula</t>
        </is>
      </c>
    </row>
    <row r="10">
      <c r="B10" s="26" t="inlineStr">
        <is>
          <t>Alumnos necesarios para cubrir el costo docente</t>
        </is>
      </c>
      <c r="C10" s="11">
        <f>ROUNDUP(C9/C8,0)</f>
        <v>3</v>
      </c>
      <c r="D10" s="25" t="inlineStr">
        <is>
          <t>Solo costo docente; no incluye renta ni administración (pendiente con Finanzas)</t>
        </is>
      </c>
    </row>
    <row r="13" ht="40" customHeight="1">
      <c r="B13" s="6" t="inlineStr">
        <is>
          <t>Grupo</t>
        </is>
      </c>
      <c r="C13" s="6" t="inlineStr">
        <is>
          <t>Nivel</t>
        </is>
      </c>
      <c r="D13" s="6" t="inlineStr">
        <is>
          <t>Edad</t>
        </is>
      </c>
      <c r="E13" s="6" t="inlineStr">
        <is>
          <t>Franja</t>
        </is>
      </c>
      <c r="F13" s="6" t="inlineStr">
        <is>
          <t>Día(s) - validar</t>
        </is>
      </c>
      <c r="G13" s="6" t="inlineStr">
        <is>
          <t>Docente - validar</t>
        </is>
      </c>
      <c r="H13" s="6" t="inlineStr">
        <is>
          <t>Alumnos</t>
        </is>
      </c>
      <c r="I13" s="20" t="inlineStr">
        <is>
          <t>Capacidad</t>
        </is>
      </c>
      <c r="J13" s="20" t="inlineStr">
        <is>
          <t>Lugares libres</t>
        </is>
      </c>
      <c r="K13" s="20" t="inlineStr">
        <is>
          <t>% ocupación</t>
        </is>
      </c>
      <c r="L13" s="20" t="inlineStr">
        <is>
          <t>Ingreso estimado / mes</t>
        </is>
      </c>
      <c r="M13" s="20" t="inlineStr">
        <is>
          <t>Costo docente / mes</t>
        </is>
      </c>
      <c r="N13" s="20" t="inlineStr">
        <is>
          <t>Diferencia</t>
        </is>
      </c>
      <c r="O13" s="20" t="inlineStr">
        <is>
          <t>¿Cubre costo docente?</t>
        </is>
      </c>
      <c r="P13" s="6" t="inlineStr">
        <is>
          <t>Observación</t>
        </is>
      </c>
    </row>
    <row r="14">
      <c r="B14" s="8" t="inlineStr">
        <is>
          <t>KIDS 1</t>
        </is>
      </c>
      <c r="C14" s="7" t="inlineStr">
        <is>
          <t>A1+</t>
        </is>
      </c>
      <c r="D14" s="7" t="inlineStr">
        <is>
          <t>12 años</t>
        </is>
      </c>
      <c r="E14" s="7" t="inlineStr">
        <is>
          <t>Mañana (8-12:50)</t>
        </is>
      </c>
      <c r="F14" s="9"/>
      <c r="G14" s="9"/>
      <c r="H14" s="9">
        <v>3</v>
      </c>
      <c r="I14" s="11">
        <f>$C$4</f>
        <v>12</v>
      </c>
      <c r="J14" s="11">
        <f>IF(H14="","",I14-H14)</f>
        <v>9</v>
      </c>
      <c r="K14" s="13">
        <f>IF(H14="","",H14/I14)</f>
        <v>0.25</v>
      </c>
      <c r="L14" s="12">
        <f>IF(H14="","",H14*$C$8)</f>
        <v>2094</v>
      </c>
      <c r="M14" s="12">
        <f>$C$9</f>
        <v>1733.33</v>
      </c>
      <c r="N14" s="12">
        <f>IF(H14="","",L14-M14)</f>
        <v>360.66666666666674</v>
      </c>
      <c r="O14" s="11" t="str">
        <f>IF(H14="","",IF(H14&gt;=$C$10,"Sí","No"))</f>
        <v>Sí</v>
      </c>
      <c r="P14" s="7"/>
    </row>
    <row r="15">
      <c r="B15" s="8" t="inlineStr">
        <is>
          <t>COLLEGE CO1</t>
        </is>
      </c>
      <c r="C15" s="7" t="inlineStr">
        <is>
          <t>A2+/B1</t>
        </is>
      </c>
      <c r="D15" s="7" t="inlineStr">
        <is>
          <t>18+</t>
        </is>
      </c>
      <c r="E15" s="7" t="inlineStr">
        <is>
          <t>Mañana (8-12:50)</t>
        </is>
      </c>
      <c r="F15" s="9"/>
      <c r="G15" s="9"/>
      <c r="H15" s="9">
        <v>6</v>
      </c>
      <c r="I15" s="11">
        <f>$C$4</f>
        <v>12</v>
      </c>
      <c r="J15" s="11">
        <f>IF(H15="","",I15-H15)</f>
        <v>6</v>
      </c>
      <c r="K15" s="13">
        <f>IF(H15="","",H15/I15)</f>
        <v>0.5</v>
      </c>
      <c r="L15" s="12">
        <f>IF(H15="","",H15*$C$8)</f>
        <v>4188</v>
      </c>
      <c r="M15" s="12">
        <f>$C$9</f>
        <v>1733.33</v>
      </c>
      <c r="N15" s="12">
        <f>IF(H15="","",L15-M15)</f>
        <v>2454.666666666667</v>
      </c>
      <c r="O15" s="11" t="str">
        <f>IF(H15="","",IF(H15&gt;=$C$10,"Sí","No"))</f>
        <v>Sí</v>
      </c>
      <c r="P15" s="7" t="inlineStr">
        <is>
          <t>Aparece con 5 y con 6 alumnos</t>
        </is>
      </c>
    </row>
    <row r="16">
      <c r="B16" s="8" t="inlineStr">
        <is>
          <t>CERTIFICATIONS CE1</t>
        </is>
      </c>
      <c r="C16" s="7" t="inlineStr">
        <is>
          <t>B1+</t>
        </is>
      </c>
      <c r="D16" s="7" t="inlineStr">
        <is>
          <t>18+</t>
        </is>
      </c>
      <c r="E16" s="7" t="inlineStr">
        <is>
          <t>Mañana (8-12:50)</t>
        </is>
      </c>
      <c r="F16" s="9"/>
      <c r="G16" s="9"/>
      <c r="H16" s="9">
        <v>2</v>
      </c>
      <c r="I16" s="11">
        <f>$C$4</f>
        <v>12</v>
      </c>
      <c r="J16" s="11">
        <f>IF(H16="","",I16-H16)</f>
        <v>10</v>
      </c>
      <c r="K16" s="13">
        <f>IF(H16="","",H16/I16)</f>
        <v>0.16666666666666666</v>
      </c>
      <c r="L16" s="12">
        <f>IF(H16="","",H16*$C$8)</f>
        <v>1396</v>
      </c>
      <c r="M16" s="12">
        <f>$C$9</f>
        <v>1733.33</v>
      </c>
      <c r="N16" s="12">
        <f>IF(H16="","",L16-M16)</f>
        <v>-337.33333333333326</v>
      </c>
      <c r="O16" s="11" t="str">
        <f>IF(H16="","",IF(H16&gt;=$C$10,"Sí","No"))</f>
        <v>No</v>
      </c>
      <c r="P16" s="7"/>
    </row>
    <row r="17">
      <c r="B17" s="8" t="inlineStr">
        <is>
          <t>COLLEGE CO3</t>
        </is>
      </c>
      <c r="C17" s="7" t="inlineStr">
        <is>
          <t>A1+/A2</t>
        </is>
      </c>
      <c r="D17" s="7" t="inlineStr">
        <is>
          <t>18+</t>
        </is>
      </c>
      <c r="E17" s="7" t="inlineStr">
        <is>
          <t>Mañana (8-12:50)</t>
        </is>
      </c>
      <c r="F17" s="9"/>
      <c r="G17" s="9"/>
      <c r="H17" s="9">
        <v>12</v>
      </c>
      <c r="I17" s="11">
        <f>$C$4</f>
        <v>12</v>
      </c>
      <c r="J17" s="11">
        <f>IF(H17="","",I17-H17)</f>
        <v>0</v>
      </c>
      <c r="K17" s="13">
        <f>IF(H17="","",H17/I17)</f>
        <v>1.0</v>
      </c>
      <c r="L17" s="12">
        <f>IF(H17="","",H17*$C$8)</f>
        <v>8376</v>
      </c>
      <c r="M17" s="12">
        <f>$C$9</f>
        <v>1733.33</v>
      </c>
      <c r="N17" s="12">
        <f>IF(H17="","",L17-M17)</f>
        <v>6642.666666666667</v>
      </c>
      <c r="O17" s="11" t="str">
        <f>IF(H17="","",IF(H17&gt;=$C$10,"Sí","No"))</f>
        <v>Sí</v>
      </c>
      <c r="P17" s="7" t="inlineStr">
        <is>
          <t>Bloque de 9:00 a 10:50 (probable sábado)</t>
        </is>
      </c>
    </row>
    <row r="18">
      <c r="B18" s="8" t="inlineStr">
        <is>
          <t>COLLEGE CO2</t>
        </is>
      </c>
      <c r="C18" s="7" t="inlineStr">
        <is>
          <t>A1+</t>
        </is>
      </c>
      <c r="D18" s="7" t="inlineStr">
        <is>
          <t>18+</t>
        </is>
      </c>
      <c r="E18" s="7" t="inlineStr">
        <is>
          <t>Mañana (8-12:50)</t>
        </is>
      </c>
      <c r="F18" s="9"/>
      <c r="G18" s="9"/>
      <c r="H18" s="9">
        <v>2</v>
      </c>
      <c r="I18" s="11">
        <f>$C$4</f>
        <v>12</v>
      </c>
      <c r="J18" s="11">
        <f>IF(H18="","",I18-H18)</f>
        <v>10</v>
      </c>
      <c r="K18" s="13">
        <f>IF(H18="","",H18/I18)</f>
        <v>0.16666666666666666</v>
      </c>
      <c r="L18" s="12">
        <f>IF(H18="","",H18*$C$8)</f>
        <v>1396</v>
      </c>
      <c r="M18" s="12">
        <f>$C$9</f>
        <v>1733.33</v>
      </c>
      <c r="N18" s="12">
        <f>IF(H18="","",L18-M18)</f>
        <v>-337.33333333333326</v>
      </c>
      <c r="O18" s="11" t="str">
        <f>IF(H18="","",IF(H18&gt;=$C$10,"Sí","No"))</f>
        <v>No</v>
      </c>
      <c r="P18" s="7" t="inlineStr">
        <is>
          <t>Solo una hora</t>
        </is>
      </c>
    </row>
    <row r="19">
      <c r="B19" s="8" t="inlineStr">
        <is>
          <t>COLLEGE CO5</t>
        </is>
      </c>
      <c r="C19" s="7" t="inlineStr">
        <is>
          <t>A1+</t>
        </is>
      </c>
      <c r="D19" s="7" t="inlineStr">
        <is>
          <t>18+</t>
        </is>
      </c>
      <c r="E19" s="7" t="inlineStr">
        <is>
          <t>Mañana (8-12:50)</t>
        </is>
      </c>
      <c r="F19" s="9"/>
      <c r="G19" s="9"/>
      <c r="H19" s="9">
        <v>7</v>
      </c>
      <c r="I19" s="11">
        <f>$C$4</f>
        <v>12</v>
      </c>
      <c r="J19" s="11">
        <f>IF(H19="","",I19-H19)</f>
        <v>5</v>
      </c>
      <c r="K19" s="13">
        <f>IF(H19="","",H19/I19)</f>
        <v>0.5833333333333334</v>
      </c>
      <c r="L19" s="12">
        <f>IF(H19="","",H19*$C$8)</f>
        <v>4886</v>
      </c>
      <c r="M19" s="12">
        <f>$C$9</f>
        <v>1733.33</v>
      </c>
      <c r="N19" s="12">
        <f>IF(H19="","",L19-M19)</f>
        <v>3152.666666666667</v>
      </c>
      <c r="O19" s="11" t="str">
        <f>IF(H19="","",IF(H19&gt;=$C$10,"Sí","No"))</f>
        <v>Sí</v>
      </c>
      <c r="P19" s="7"/>
    </row>
    <row r="20">
      <c r="B20" s="8" t="inlineStr">
        <is>
          <t>KIDS 5</t>
        </is>
      </c>
      <c r="C20" s="7" t="inlineStr">
        <is>
          <t>A1+</t>
        </is>
      </c>
      <c r="D20" s="7" t="inlineStr">
        <is>
          <t>5-16</t>
        </is>
      </c>
      <c r="E20" s="7" t="inlineStr">
        <is>
          <t>Mañana (8-12:50)</t>
        </is>
      </c>
      <c r="F20" s="9"/>
      <c r="G20" s="9"/>
      <c r="H20" s="9">
        <v>5</v>
      </c>
      <c r="I20" s="11">
        <f>$C$4</f>
        <v>12</v>
      </c>
      <c r="J20" s="11">
        <f>IF(H20="","",I20-H20)</f>
        <v>7</v>
      </c>
      <c r="K20" s="13">
        <f>IF(H20="","",H20/I20)</f>
        <v>0.4166666666666667</v>
      </c>
      <c r="L20" s="12">
        <f>IF(H20="","",H20*$C$8)</f>
        <v>3490</v>
      </c>
      <c r="M20" s="12">
        <f>$C$9</f>
        <v>1733.33</v>
      </c>
      <c r="N20" s="12">
        <f>IF(H20="","",L20-M20)</f>
        <v>1756.6666666666667</v>
      </c>
      <c r="O20" s="11" t="str">
        <f>IF(H20="","",IF(H20&gt;=$C$10,"Sí","No"))</f>
        <v>Sí</v>
      </c>
      <c r="P20" s="7"/>
    </row>
    <row r="21">
      <c r="B21" s="8" t="inlineStr">
        <is>
          <t>COLLEGE CO4</t>
        </is>
      </c>
      <c r="C21" s="7" t="inlineStr">
        <is>
          <t>A2</t>
        </is>
      </c>
      <c r="D21" s="7" t="inlineStr">
        <is>
          <t>18+</t>
        </is>
      </c>
      <c r="E21" s="7" t="inlineStr">
        <is>
          <t>Mañana (8-12:50)</t>
        </is>
      </c>
      <c r="F21" s="9"/>
      <c r="G21" s="9"/>
      <c r="H21" s="9">
        <v>5</v>
      </c>
      <c r="I21" s="11">
        <f>$C$4</f>
        <v>12</v>
      </c>
      <c r="J21" s="11">
        <f>IF(H21="","",I21-H21)</f>
        <v>7</v>
      </c>
      <c r="K21" s="13">
        <f>IF(H21="","",H21/I21)</f>
        <v>0.4166666666666667</v>
      </c>
      <c r="L21" s="12">
        <f>IF(H21="","",H21*$C$8)</f>
        <v>3490</v>
      </c>
      <c r="M21" s="12">
        <f>$C$9</f>
        <v>1733.33</v>
      </c>
      <c r="N21" s="12">
        <f>IF(H21="","",L21-M21)</f>
        <v>1756.6666666666667</v>
      </c>
      <c r="O21" s="11" t="str">
        <f>IF(H21="","",IF(H21&gt;=$C$10,"Sí","No"))</f>
        <v>Sí</v>
      </c>
      <c r="P21" s="7"/>
    </row>
    <row r="22">
      <c r="B22" s="8" t="inlineStr">
        <is>
          <t>JR2</t>
        </is>
      </c>
      <c r="C22" s="7" t="inlineStr">
        <is>
          <t>A1-A1+</t>
        </is>
      </c>
      <c r="D22" s="7" t="inlineStr">
        <is>
          <t>18+ (validar)</t>
        </is>
      </c>
      <c r="E22" s="7" t="inlineStr">
        <is>
          <t>Mañana (8-12:50)</t>
        </is>
      </c>
      <c r="F22" s="9"/>
      <c r="G22" s="9"/>
      <c r="H22" s="9">
        <v>4</v>
      </c>
      <c r="I22" s="11">
        <f>$C$4</f>
        <v>12</v>
      </c>
      <c r="J22" s="11">
        <f>IF(H22="","",I22-H22)</f>
        <v>8</v>
      </c>
      <c r="K22" s="13">
        <f>IF(H22="","",H22/I22)</f>
        <v>0.3333333333333333</v>
      </c>
      <c r="L22" s="12">
        <f>IF(H22="","",H22*$C$8)</f>
        <v>2792</v>
      </c>
      <c r="M22" s="12">
        <f>$C$9</f>
        <v>1733.33</v>
      </c>
      <c r="N22" s="12">
        <f>IF(H22="","",L22-M22)</f>
        <v>1058.6666666666667</v>
      </c>
      <c r="O22" s="11" t="str">
        <f>IF(H22="","",IF(H22&gt;=$C$10,"Sí","No"))</f>
        <v>Sí</v>
      </c>
      <c r="P22" s="7" t="inlineStr">
        <is>
          <t>Hoja 2 del PDF</t>
        </is>
      </c>
    </row>
    <row r="23">
      <c r="B23" s="8" t="inlineStr">
        <is>
          <t>KIDS 4 (Teacher Fátima)</t>
        </is>
      </c>
      <c r="C23" s="7" t="inlineStr">
        <is>
          <t>A1</t>
        </is>
      </c>
      <c r="D23" s="7" t="inlineStr">
        <is>
          <t>5-16</t>
        </is>
      </c>
      <c r="E23" s="7" t="inlineStr">
        <is>
          <t>Mañana (8-12:50)</t>
        </is>
      </c>
      <c r="F23" s="9"/>
      <c r="G23" s="9"/>
      <c r="H23" s="9">
        <v>4</v>
      </c>
      <c r="I23" s="11">
        <f>$C$4</f>
        <v>12</v>
      </c>
      <c r="J23" s="11">
        <f>IF(H23="","",I23-H23)</f>
        <v>8</v>
      </c>
      <c r="K23" s="13">
        <f>IF(H23="","",H23/I23)</f>
        <v>0.3333333333333333</v>
      </c>
      <c r="L23" s="12">
        <f>IF(H23="","",H23*$C$8)</f>
        <v>2792</v>
      </c>
      <c r="M23" s="12">
        <f>$C$9</f>
        <v>1733.33</v>
      </c>
      <c r="N23" s="12">
        <f>IF(H23="","",L23-M23)</f>
        <v>1058.6666666666667</v>
      </c>
      <c r="O23" s="11" t="str">
        <f>IF(H23="","",IF(H23&gt;=$C$10,"Sí","No"))</f>
        <v>Sí</v>
      </c>
      <c r="P23" s="7" t="inlineStr">
        <is>
          <t>Hoja 2 del PDF</t>
        </is>
      </c>
    </row>
    <row r="24">
      <c r="B24" s="8" t="inlineStr">
        <is>
          <t>CERTIFICATION CE3 (A2+/B1)</t>
        </is>
      </c>
      <c r="C24" s="7" t="inlineStr">
        <is>
          <t>A2+/B1</t>
        </is>
      </c>
      <c r="D24" s="7" t="inlineStr">
        <is>
          <t>18+</t>
        </is>
      </c>
      <c r="E24" s="7" t="inlineStr">
        <is>
          <t>15 h</t>
        </is>
      </c>
      <c r="F24" s="9"/>
      <c r="G24" s="9"/>
      <c r="H24" s="9">
        <v>3</v>
      </c>
      <c r="I24" s="11">
        <f>$C$4</f>
        <v>12</v>
      </c>
      <c r="J24" s="11">
        <f>IF(H24="","",I24-H24)</f>
        <v>9</v>
      </c>
      <c r="K24" s="13">
        <f>IF(H24="","",H24/I24)</f>
        <v>0.25</v>
      </c>
      <c r="L24" s="12">
        <f>IF(H24="","",H24*$C$8)</f>
        <v>2094</v>
      </c>
      <c r="M24" s="12">
        <f>$C$9</f>
        <v>1733.33</v>
      </c>
      <c r="N24" s="12">
        <f>IF(H24="","",L24-M24)</f>
        <v>360.66666666666674</v>
      </c>
      <c r="O24" s="11" t="str">
        <f>IF(H24="","",IF(H24&gt;=$C$10,"Sí","No"))</f>
        <v>Sí</v>
      </c>
      <c r="P24" s="7" t="inlineStr">
        <is>
          <t>Mismo nombre que otro grupo CE3 de 19 h: validar</t>
        </is>
      </c>
    </row>
    <row r="25">
      <c r="B25" s="8" t="inlineStr">
        <is>
          <t>CERTIFICATION CE2</t>
        </is>
      </c>
      <c r="C25" s="7" t="inlineStr">
        <is>
          <t>B2+/C1</t>
        </is>
      </c>
      <c r="D25" s="7" t="inlineStr">
        <is>
          <t>18+</t>
        </is>
      </c>
      <c r="E25" s="7" t="inlineStr">
        <is>
          <t>15 h</t>
        </is>
      </c>
      <c r="F25" s="9"/>
      <c r="G25" s="9"/>
      <c r="H25" s="9">
        <v>2</v>
      </c>
      <c r="I25" s="11">
        <f>$C$4</f>
        <v>12</v>
      </c>
      <c r="J25" s="11">
        <f>IF(H25="","",I25-H25)</f>
        <v>10</v>
      </c>
      <c r="K25" s="13">
        <f>IF(H25="","",H25/I25)</f>
        <v>0.16666666666666666</v>
      </c>
      <c r="L25" s="12">
        <f>IF(H25="","",H25*$C$8)</f>
        <v>1396</v>
      </c>
      <c r="M25" s="12">
        <f>$C$9</f>
        <v>1733.33</v>
      </c>
      <c r="N25" s="12">
        <f>IF(H25="","",L25-M25)</f>
        <v>-337.33333333333326</v>
      </c>
      <c r="O25" s="11" t="str">
        <f>IF(H25="","",IF(H25&gt;=$C$10,"Sí","No"))</f>
        <v>No</v>
      </c>
      <c r="P25" s="7"/>
    </row>
    <row r="26">
      <c r="B26" s="8" t="inlineStr">
        <is>
          <t>KIDS/JR 3</t>
        </is>
      </c>
      <c r="C26" s="7" t="inlineStr">
        <is>
          <t>A1</t>
        </is>
      </c>
      <c r="D26" s="7" t="inlineStr">
        <is>
          <t>6-18</t>
        </is>
      </c>
      <c r="E26" s="7" t="inlineStr">
        <is>
          <t>Tarde 16-18:50</t>
        </is>
      </c>
      <c r="F26" s="9"/>
      <c r="G26" s="9"/>
      <c r="H26" s="9">
        <v>12</v>
      </c>
      <c r="I26" s="11">
        <f>$C$4</f>
        <v>12</v>
      </c>
      <c r="J26" s="11">
        <f>IF(H26="","",I26-H26)</f>
        <v>0</v>
      </c>
      <c r="K26" s="13">
        <f>IF(H26="","",H26/I26)</f>
        <v>1.0</v>
      </c>
      <c r="L26" s="12">
        <f>IF(H26="","",H26*$C$8)</f>
        <v>8376</v>
      </c>
      <c r="M26" s="12">
        <f>$C$9</f>
        <v>1733.33</v>
      </c>
      <c r="N26" s="12">
        <f>IF(H26="","",L26-M26)</f>
        <v>6642.666666666667</v>
      </c>
      <c r="O26" s="11" t="str">
        <f>IF(H26="","",IF(H26&gt;=$C$10,"Sí","No"))</f>
        <v>Sí</v>
      </c>
      <c r="P26" s="7"/>
    </row>
    <row r="27">
      <c r="B27" s="8" t="inlineStr">
        <is>
          <t>KIDS 7</t>
        </is>
      </c>
      <c r="C27" s="7" t="inlineStr">
        <is>
          <t>A2+</t>
        </is>
      </c>
      <c r="D27" s="7" t="inlineStr">
        <is>
          <t>5-15</t>
        </is>
      </c>
      <c r="E27" s="7" t="inlineStr">
        <is>
          <t>Tarde 16-18:50</t>
        </is>
      </c>
      <c r="F27" s="9"/>
      <c r="G27" s="9"/>
      <c r="H27" s="9">
        <v>10</v>
      </c>
      <c r="I27" s="11">
        <f>$C$4</f>
        <v>12</v>
      </c>
      <c r="J27" s="11">
        <f>IF(H27="","",I27-H27)</f>
        <v>2</v>
      </c>
      <c r="K27" s="13">
        <f>IF(H27="","",H27/I27)</f>
        <v>0.8333333333333334</v>
      </c>
      <c r="L27" s="12">
        <f>IF(H27="","",H27*$C$8)</f>
        <v>6980</v>
      </c>
      <c r="M27" s="12">
        <f>$C$9</f>
        <v>1733.33</v>
      </c>
      <c r="N27" s="12">
        <f>IF(H27="","",L27-M27)</f>
        <v>5246.666666666667</v>
      </c>
      <c r="O27" s="11" t="str">
        <f>IF(H27="","",IF(H27&gt;=$C$10,"Sí","No"))</f>
        <v>Sí</v>
      </c>
      <c r="P27" s="7"/>
    </row>
    <row r="28">
      <c r="B28" s="8" t="inlineStr">
        <is>
          <t>JUNIOR 1</t>
        </is>
      </c>
      <c r="C28" s="7" t="inlineStr">
        <is>
          <t>A2+/B1</t>
        </is>
      </c>
      <c r="D28" s="7" t="inlineStr">
        <is>
          <t>11-18</t>
        </is>
      </c>
      <c r="E28" s="7" t="inlineStr">
        <is>
          <t>Tarde 16-18:50</t>
        </is>
      </c>
      <c r="F28" s="9"/>
      <c r="G28" s="9"/>
      <c r="H28" s="9">
        <v>11</v>
      </c>
      <c r="I28" s="11">
        <f>$C$4</f>
        <v>12</v>
      </c>
      <c r="J28" s="11">
        <f>IF(H28="","",I28-H28)</f>
        <v>1</v>
      </c>
      <c r="K28" s="13">
        <f>IF(H28="","",H28/I28)</f>
        <v>0.9166666666666666</v>
      </c>
      <c r="L28" s="12">
        <f>IF(H28="","",H28*$C$8)</f>
        <v>7678</v>
      </c>
      <c r="M28" s="12">
        <f>$C$9</f>
        <v>1733.33</v>
      </c>
      <c r="N28" s="12">
        <f>IF(H28="","",L28-M28)</f>
        <v>5944.666666666667</v>
      </c>
      <c r="O28" s="11" t="str">
        <f>IF(H28="","",IF(H28&gt;=$C$10,"Sí","No"))</f>
        <v>Sí</v>
      </c>
      <c r="P28" s="7"/>
    </row>
    <row r="29">
      <c r="B29" s="8" t="inlineStr">
        <is>
          <t>KIDS 2</t>
        </is>
      </c>
      <c r="C29" s="7" t="inlineStr">
        <is>
          <t>A2</t>
        </is>
      </c>
      <c r="D29" s="7" t="inlineStr">
        <is>
          <t>6-14</t>
        </is>
      </c>
      <c r="E29" s="7" t="inlineStr">
        <is>
          <t>Tarde 16-18:50</t>
        </is>
      </c>
      <c r="F29" s="9"/>
      <c r="G29" s="9"/>
      <c r="H29" s="9">
        <v>10</v>
      </c>
      <c r="I29" s="11">
        <f>$C$4</f>
        <v>12</v>
      </c>
      <c r="J29" s="11">
        <f>IF(H29="","",I29-H29)</f>
        <v>2</v>
      </c>
      <c r="K29" s="13">
        <f>IF(H29="","",H29/I29)</f>
        <v>0.8333333333333334</v>
      </c>
      <c r="L29" s="12">
        <f>IF(H29="","",H29*$C$8)</f>
        <v>6980</v>
      </c>
      <c r="M29" s="12">
        <f>$C$9</f>
        <v>1733.33</v>
      </c>
      <c r="N29" s="12">
        <f>IF(H29="","",L29-M29)</f>
        <v>5246.666666666667</v>
      </c>
      <c r="O29" s="11" t="str">
        <f>IF(H29="","",IF(H29&gt;=$C$10,"Sí","No"))</f>
        <v>Sí</v>
      </c>
      <c r="P29" s="7"/>
    </row>
    <row r="30">
      <c r="B30" s="8" t="inlineStr">
        <is>
          <t>KIDS 6</t>
        </is>
      </c>
      <c r="C30" s="7" t="inlineStr">
        <is>
          <t>A1+/A2</t>
        </is>
      </c>
      <c r="D30" s="7" t="inlineStr">
        <is>
          <t>6-12</t>
        </is>
      </c>
      <c r="E30" s="7" t="inlineStr">
        <is>
          <t>Tarde 16-18:50</t>
        </is>
      </c>
      <c r="F30" s="9"/>
      <c r="G30" s="9"/>
      <c r="H30" s="9">
        <v>11</v>
      </c>
      <c r="I30" s="11">
        <f>$C$4</f>
        <v>12</v>
      </c>
      <c r="J30" s="11">
        <f>IF(H30="","",I30-H30)</f>
        <v>1</v>
      </c>
      <c r="K30" s="13">
        <f>IF(H30="","",H30/I30)</f>
        <v>0.9166666666666666</v>
      </c>
      <c r="L30" s="12">
        <f>IF(H30="","",H30*$C$8)</f>
        <v>7678</v>
      </c>
      <c r="M30" s="12">
        <f>$C$9</f>
        <v>1733.33</v>
      </c>
      <c r="N30" s="12">
        <f>IF(H30="","",L30-M30)</f>
        <v>5944.666666666667</v>
      </c>
      <c r="O30" s="11" t="str">
        <f>IF(H30="","",IF(H30&gt;=$C$10,"Sí","No"))</f>
        <v>Sí</v>
      </c>
      <c r="P30" s="7"/>
    </row>
    <row r="31">
      <c r="B31" s="8" t="inlineStr">
        <is>
          <t>FRANCÉS 1</t>
        </is>
      </c>
      <c r="C31" s="7" t="inlineStr">
        <is>
          <t>A1+</t>
        </is>
      </c>
      <c r="D31" s="7" t="inlineStr">
        <is>
          <t>8-16</t>
        </is>
      </c>
      <c r="E31" s="7" t="inlineStr">
        <is>
          <t>Tarde 16-18:50</t>
        </is>
      </c>
      <c r="F31" s="9"/>
      <c r="G31" s="9"/>
      <c r="H31" s="9">
        <v>6</v>
      </c>
      <c r="I31" s="11">
        <f>$C$4</f>
        <v>12</v>
      </c>
      <c r="J31" s="11">
        <f>IF(H31="","",I31-H31)</f>
        <v>6</v>
      </c>
      <c r="K31" s="13">
        <f>IF(H31="","",H31/I31)</f>
        <v>0.5</v>
      </c>
      <c r="L31" s="12">
        <f>IF(H31="","",H31*$C$8)</f>
        <v>4188</v>
      </c>
      <c r="M31" s="12">
        <f>$C$9</f>
        <v>1733.33</v>
      </c>
      <c r="N31" s="12">
        <f>IF(H31="","",L31-M31)</f>
        <v>2454.666666666667</v>
      </c>
      <c r="O31" s="11" t="str">
        <f>IF(H31="","",IF(H31&gt;=$C$10,"Sí","No"))</f>
        <v>Sí</v>
      </c>
      <c r="P31" s="7"/>
    </row>
    <row r="32">
      <c r="B32" s="8" t="inlineStr">
        <is>
          <t>COLLEGE CO7</t>
        </is>
      </c>
      <c r="C32" s="7" t="inlineStr">
        <is>
          <t>A2+/B1</t>
        </is>
      </c>
      <c r="D32" s="7" t="inlineStr">
        <is>
          <t>18+</t>
        </is>
      </c>
      <c r="E32" s="7" t="inlineStr">
        <is>
          <t>Tarde 16-18:50</t>
        </is>
      </c>
      <c r="F32" s="9"/>
      <c r="G32" s="9"/>
      <c r="H32" s="9">
        <v>1</v>
      </c>
      <c r="I32" s="11">
        <f>$C$4</f>
        <v>12</v>
      </c>
      <c r="J32" s="11">
        <f>IF(H32="","",I32-H32)</f>
        <v>11</v>
      </c>
      <c r="K32" s="13">
        <f>IF(H32="","",H32/I32)</f>
        <v>0.08333333333333333</v>
      </c>
      <c r="L32" s="12">
        <f>IF(H32="","",H32*$C$8)</f>
        <v>698</v>
      </c>
      <c r="M32" s="12">
        <f>$C$9</f>
        <v>1733.33</v>
      </c>
      <c r="N32" s="12">
        <f>IF(H32="","",L32-M32)</f>
        <v>-1035.3333333333333</v>
      </c>
      <c r="O32" s="11" t="str">
        <f>IF(H32="","",IF(H32&gt;=$C$10,"Sí","No"))</f>
        <v>No</v>
      </c>
      <c r="P32" s="7" t="inlineStr">
        <is>
          <t>Solo 1 hora</t>
        </is>
      </c>
    </row>
    <row r="33">
      <c r="B33" s="8" t="inlineStr">
        <is>
          <t>JR 3 (Teacher Fátima)</t>
        </is>
      </c>
      <c r="C33" s="7" t="inlineStr">
        <is>
          <t>A1</t>
        </is>
      </c>
      <c r="D33" s="7" t="inlineStr">
        <is>
          <t>15+</t>
        </is>
      </c>
      <c r="E33" s="7" t="inlineStr">
        <is>
          <t>Tarde 16-18:50</t>
        </is>
      </c>
      <c r="F33" s="9"/>
      <c r="G33" s="9"/>
      <c r="H33" s="9">
        <v>2</v>
      </c>
      <c r="I33" s="11">
        <f>$C$4</f>
        <v>12</v>
      </c>
      <c r="J33" s="11">
        <f>IF(H33="","",I33-H33)</f>
        <v>10</v>
      </c>
      <c r="K33" s="13">
        <f>IF(H33="","",H33/I33)</f>
        <v>0.16666666666666666</v>
      </c>
      <c r="L33" s="12">
        <f>IF(H33="","",H33*$C$8)</f>
        <v>1396</v>
      </c>
      <c r="M33" s="12">
        <f>$C$9</f>
        <v>1733.33</v>
      </c>
      <c r="N33" s="12">
        <f>IF(H33="","",L33-M33)</f>
        <v>-337.33333333333326</v>
      </c>
      <c r="O33" s="11" t="str">
        <f>IF(H33="","",IF(H33&gt;=$C$10,"Sí","No"))</f>
        <v>No</v>
      </c>
      <c r="P33" s="7" t="inlineStr">
        <is>
          <t>Hoja 2 del PDF</t>
        </is>
      </c>
    </row>
    <row r="34">
      <c r="B34" s="8" t="inlineStr">
        <is>
          <t>CERTIFICATION CE3 (B2/B2+)</t>
        </is>
      </c>
      <c r="C34" s="7" t="inlineStr">
        <is>
          <t>B2/B2+</t>
        </is>
      </c>
      <c r="D34" s="7" t="inlineStr">
        <is>
          <t>18+</t>
        </is>
      </c>
      <c r="E34" s="7" t="inlineStr">
        <is>
          <t>Noche 19-20:50</t>
        </is>
      </c>
      <c r="F34" s="9"/>
      <c r="G34" s="9"/>
      <c r="H34" s="9">
        <v>3</v>
      </c>
      <c r="I34" s="11">
        <f>$C$4</f>
        <v>12</v>
      </c>
      <c r="J34" s="11">
        <f>IF(H34="","",I34-H34)</f>
        <v>9</v>
      </c>
      <c r="K34" s="13">
        <f>IF(H34="","",H34/I34)</f>
        <v>0.25</v>
      </c>
      <c r="L34" s="12">
        <f>IF(H34="","",H34*$C$8)</f>
        <v>2094</v>
      </c>
      <c r="M34" s="12">
        <f>$C$9</f>
        <v>1733.33</v>
      </c>
      <c r="N34" s="12">
        <f>IF(H34="","",L34-M34)</f>
        <v>360.66666666666674</v>
      </c>
      <c r="O34" s="11" t="str">
        <f>IF(H34="","",IF(H34&gt;=$C$10,"Sí","No"))</f>
        <v>Sí</v>
      </c>
      <c r="P34" s="7"/>
    </row>
    <row r="35">
      <c r="B35" s="8" t="inlineStr">
        <is>
          <t>CE1V/JRV1 (virtual)</t>
        </is>
      </c>
      <c r="C35" s="7" t="inlineStr">
        <is>
          <t>B2/B2+</t>
        </is>
      </c>
      <c r="D35" s="7" t="inlineStr">
        <is>
          <t>11-25</t>
        </is>
      </c>
      <c r="E35" s="7" t="inlineStr">
        <is>
          <t>Noche 19-20:50</t>
        </is>
      </c>
      <c r="F35" s="9"/>
      <c r="G35" s="9"/>
      <c r="H35" s="9">
        <v>7</v>
      </c>
      <c r="I35" s="11">
        <f>$C$4</f>
        <v>12</v>
      </c>
      <c r="J35" s="11">
        <f>IF(H35="","",I35-H35)</f>
        <v>5</v>
      </c>
      <c r="K35" s="13">
        <f>IF(H35="","",H35/I35)</f>
        <v>0.5833333333333334</v>
      </c>
      <c r="L35" s="12">
        <f>IF(H35="","",H35*$C$8)</f>
        <v>4886</v>
      </c>
      <c r="M35" s="12">
        <f>$C$9</f>
        <v>1733.33</v>
      </c>
      <c r="N35" s="12">
        <f>IF(H35="","",L35-M35)</f>
        <v>3152.666666666667</v>
      </c>
      <c r="O35" s="11" t="str">
        <f>IF(H35="","",IF(H35&gt;=$C$10,"Sí","No"))</f>
        <v>Sí</v>
      </c>
      <c r="P35" s="7" t="inlineStr">
        <is>
          <t>Virtual</t>
        </is>
      </c>
    </row>
    <row r="36">
      <c r="B36" s="8" t="inlineStr">
        <is>
          <t>FRANCÉS VIRTUAL 1</t>
        </is>
      </c>
      <c r="C36" s="7" t="inlineStr">
        <is>
          <t>A2</t>
        </is>
      </c>
      <c r="D36" s="7" t="inlineStr">
        <is>
          <t>11+</t>
        </is>
      </c>
      <c r="E36" s="7" t="inlineStr">
        <is>
          <t>Noche 19-20:50</t>
        </is>
      </c>
      <c r="F36" s="9"/>
      <c r="G36" s="9"/>
      <c r="H36" s="9">
        <v>1</v>
      </c>
      <c r="I36" s="11">
        <f>$C$4</f>
        <v>12</v>
      </c>
      <c r="J36" s="11">
        <f>IF(H36="","",I36-H36)</f>
        <v>11</v>
      </c>
      <c r="K36" s="13">
        <f>IF(H36="","",H36/I36)</f>
        <v>0.08333333333333333</v>
      </c>
      <c r="L36" s="12">
        <f>IF(H36="","",H36*$C$8)</f>
        <v>698</v>
      </c>
      <c r="M36" s="12">
        <f>$C$9</f>
        <v>1733.33</v>
      </c>
      <c r="N36" s="12">
        <f>IF(H36="","",L36-M36)</f>
        <v>-1035.3333333333333</v>
      </c>
      <c r="O36" s="11" t="str">
        <f>IF(H36="","",IF(H36&gt;=$C$10,"Sí","No"))</f>
        <v>No</v>
      </c>
      <c r="P36" s="7" t="inlineStr">
        <is>
          <t>Virtual</t>
        </is>
      </c>
    </row>
    <row r="37">
      <c r="B37" s="8" t="inlineStr">
        <is>
          <t>COLLEGE FATI (principiantes)</t>
        </is>
      </c>
      <c r="C37" s="7"/>
      <c r="D37" s="7"/>
      <c r="E37" s="7" t="inlineStr">
        <is>
          <t>Tarde 16-18:50</t>
        </is>
      </c>
      <c r="F37" s="9"/>
      <c r="G37" s="9"/>
      <c r="H37" s="9"/>
      <c r="I37" s="11">
        <f>$C$4</f>
        <v>12</v>
      </c>
      <c r="J37" s="11" t="str">
        <f>IF(H37="","",I37-H37)</f>
        <v/>
      </c>
      <c r="K37" s="13" t="str">
        <f>IF(H37="","",H37/I37)</f>
        <v/>
      </c>
      <c r="L37" s="12" t="str">
        <f>IF(H37="","",H37*$C$8)</f>
        <v/>
      </c>
      <c r="M37" s="12">
        <f>$C$9</f>
        <v>1733.33</v>
      </c>
      <c r="N37" s="12" t="str">
        <f>IF(H37="","",L37-M37)</f>
        <v/>
      </c>
      <c r="O37" s="11" t="str">
        <f>IF(H37="","",IF(H37&gt;=$C$10,"Sí","No"))</f>
        <v/>
      </c>
      <c r="P37" s="7" t="inlineStr">
        <is>
          <t>Sin número de alumnos en el PDF</t>
        </is>
      </c>
    </row>
    <row r="38">
      <c r="B38" s="7"/>
      <c r="C38" s="7"/>
      <c r="D38" s="7"/>
      <c r="E38" s="7"/>
      <c r="F38" s="9"/>
      <c r="G38" s="9"/>
      <c r="H38" s="9"/>
      <c r="I38" s="11" t="str">
        <f>IF(B38="","",$C$4)</f>
        <v/>
      </c>
      <c r="J38" s="11" t="str">
        <f>IF(H38="","",I38-H38)</f>
        <v/>
      </c>
      <c r="K38" s="13" t="str">
        <f>IF(H38="","",H38/I38)</f>
        <v/>
      </c>
      <c r="L38" s="12" t="str">
        <f>IF(H38="","",H38*$C$8)</f>
        <v/>
      </c>
      <c r="M38" s="12" t="str">
        <f>IF(B38="","",$C$9)</f>
        <v/>
      </c>
      <c r="N38" s="12" t="str">
        <f>IF(H38="","",L38-M38)</f>
        <v/>
      </c>
      <c r="O38" s="11" t="str">
        <f>IF(H38="","",IF(H38&gt;=$C$10,"Sí","No"))</f>
        <v/>
      </c>
      <c r="P38" s="7"/>
    </row>
    <row r="39">
      <c r="B39" s="7"/>
      <c r="C39" s="7"/>
      <c r="D39" s="7"/>
      <c r="E39" s="7"/>
      <c r="F39" s="9"/>
      <c r="G39" s="9"/>
      <c r="H39" s="9"/>
      <c r="I39" s="11" t="str">
        <f>IF(B39="","",$C$4)</f>
        <v/>
      </c>
      <c r="J39" s="11" t="str">
        <f>IF(H39="","",I39-H39)</f>
        <v/>
      </c>
      <c r="K39" s="13" t="str">
        <f>IF(H39="","",H39/I39)</f>
        <v/>
      </c>
      <c r="L39" s="12" t="str">
        <f>IF(H39="","",H39*$C$8)</f>
        <v/>
      </c>
      <c r="M39" s="12" t="str">
        <f>IF(B39="","",$C$9)</f>
        <v/>
      </c>
      <c r="N39" s="12" t="str">
        <f>IF(H39="","",L39-M39)</f>
        <v/>
      </c>
      <c r="O39" s="11" t="str">
        <f>IF(H39="","",IF(H39&gt;=$C$10,"Sí","No"))</f>
        <v/>
      </c>
      <c r="P39" s="7"/>
    </row>
    <row r="40">
      <c r="B40" s="7"/>
      <c r="C40" s="7"/>
      <c r="D40" s="7"/>
      <c r="E40" s="7"/>
      <c r="F40" s="9"/>
      <c r="G40" s="9"/>
      <c r="H40" s="9"/>
      <c r="I40" s="11" t="str">
        <f>IF(B40="","",$C$4)</f>
        <v/>
      </c>
      <c r="J40" s="11" t="str">
        <f>IF(H40="","",I40-H40)</f>
        <v/>
      </c>
      <c r="K40" s="13" t="str">
        <f>IF(H40="","",H40/I40)</f>
        <v/>
      </c>
      <c r="L40" s="12" t="str">
        <f>IF(H40="","",H40*$C$8)</f>
        <v/>
      </c>
      <c r="M40" s="12" t="str">
        <f>IF(B40="","",$C$9)</f>
        <v/>
      </c>
      <c r="N40" s="12" t="str">
        <f>IF(H40="","",L40-M40)</f>
        <v/>
      </c>
      <c r="O40" s="11" t="str">
        <f>IF(H40="","",IF(H40&gt;=$C$10,"Sí","No"))</f>
        <v/>
      </c>
      <c r="P40" s="7"/>
    </row>
    <row r="41">
      <c r="B41" s="7"/>
      <c r="C41" s="7"/>
      <c r="D41" s="7"/>
      <c r="E41" s="7"/>
      <c r="F41" s="9"/>
      <c r="G41" s="9"/>
      <c r="H41" s="9"/>
      <c r="I41" s="11" t="str">
        <f>IF(B41="","",$C$4)</f>
        <v/>
      </c>
      <c r="J41" s="11" t="str">
        <f>IF(H41="","",I41-H41)</f>
        <v/>
      </c>
      <c r="K41" s="13" t="str">
        <f>IF(H41="","",H41/I41)</f>
        <v/>
      </c>
      <c r="L41" s="12" t="str">
        <f>IF(H41="","",H41*$C$8)</f>
        <v/>
      </c>
      <c r="M41" s="12" t="str">
        <f>IF(B41="","",$C$9)</f>
        <v/>
      </c>
      <c r="N41" s="12" t="str">
        <f>IF(H41="","",L41-M41)</f>
        <v/>
      </c>
      <c r="O41" s="11" t="str">
        <f>IF(H41="","",IF(H41&gt;=$C$10,"Sí","No"))</f>
        <v/>
      </c>
      <c r="P41" s="7"/>
    </row>
    <row r="42">
      <c r="B42" s="7"/>
      <c r="C42" s="7"/>
      <c r="D42" s="7"/>
      <c r="E42" s="7"/>
      <c r="F42" s="9"/>
      <c r="G42" s="9"/>
      <c r="H42" s="9"/>
      <c r="I42" s="11" t="str">
        <f>IF(B42="","",$C$4)</f>
        <v/>
      </c>
      <c r="J42" s="11" t="str">
        <f>IF(H42="","",I42-H42)</f>
        <v/>
      </c>
      <c r="K42" s="13" t="str">
        <f>IF(H42="","",H42/I42)</f>
        <v/>
      </c>
      <c r="L42" s="12" t="str">
        <f>IF(H42="","",H42*$C$8)</f>
        <v/>
      </c>
      <c r="M42" s="12" t="str">
        <f>IF(B42="","",$C$9)</f>
        <v/>
      </c>
      <c r="N42" s="12" t="str">
        <f>IF(H42="","",L42-M42)</f>
        <v/>
      </c>
      <c r="O42" s="11" t="str">
        <f>IF(H42="","",IF(H42&gt;=$C$10,"Sí","No"))</f>
        <v/>
      </c>
      <c r="P42" s="7"/>
    </row>
    <row r="43">
      <c r="B43" s="7"/>
      <c r="C43" s="7"/>
      <c r="D43" s="7"/>
      <c r="E43" s="7"/>
      <c r="F43" s="9"/>
      <c r="G43" s="9"/>
      <c r="H43" s="9"/>
      <c r="I43" s="11" t="str">
        <f>IF(B43="","",$C$4)</f>
        <v/>
      </c>
      <c r="J43" s="11" t="str">
        <f>IF(H43="","",I43-H43)</f>
        <v/>
      </c>
      <c r="K43" s="13" t="str">
        <f>IF(H43="","",H43/I43)</f>
        <v/>
      </c>
      <c r="L43" s="12" t="str">
        <f>IF(H43="","",H43*$C$8)</f>
        <v/>
      </c>
      <c r="M43" s="12" t="str">
        <f>IF(B43="","",$C$9)</f>
        <v/>
      </c>
      <c r="N43" s="12" t="str">
        <f>IF(H43="","",L43-M43)</f>
        <v/>
      </c>
      <c r="O43" s="11" t="str">
        <f>IF(H43="","",IF(H43&gt;=$C$10,"Sí","No"))</f>
        <v/>
      </c>
      <c r="P43" s="7"/>
    </row>
    <row r="44">
      <c r="B44" s="7"/>
      <c r="C44" s="7"/>
      <c r="D44" s="7"/>
      <c r="E44" s="7"/>
      <c r="F44" s="9"/>
      <c r="G44" s="9"/>
      <c r="H44" s="9"/>
      <c r="I44" s="11" t="str">
        <f>IF(B44="","",$C$4)</f>
        <v/>
      </c>
      <c r="J44" s="11" t="str">
        <f>IF(H44="","",I44-H44)</f>
        <v/>
      </c>
      <c r="K44" s="13" t="str">
        <f>IF(H44="","",H44/I44)</f>
        <v/>
      </c>
      <c r="L44" s="12" t="str">
        <f>IF(H44="","",H44*$C$8)</f>
        <v/>
      </c>
      <c r="M44" s="12" t="str">
        <f>IF(B44="","",$C$9)</f>
        <v/>
      </c>
      <c r="N44" s="12" t="str">
        <f>IF(H44="","",L44-M44)</f>
        <v/>
      </c>
      <c r="O44" s="11" t="str">
        <f>IF(H44="","",IF(H44&gt;=$C$10,"Sí","No"))</f>
        <v/>
      </c>
      <c r="P44" s="7"/>
    </row>
    <row r="45">
      <c r="B45" s="7"/>
      <c r="C45" s="7"/>
      <c r="D45" s="7"/>
      <c r="E45" s="7"/>
      <c r="F45" s="9"/>
      <c r="G45" s="9"/>
      <c r="H45" s="9"/>
      <c r="I45" s="11" t="str">
        <f>IF(B45="","",$C$4)</f>
        <v/>
      </c>
      <c r="J45" s="11" t="str">
        <f>IF(H45="","",I45-H45)</f>
        <v/>
      </c>
      <c r="K45" s="13" t="str">
        <f>IF(H45="","",H45/I45)</f>
        <v/>
      </c>
      <c r="L45" s="12" t="str">
        <f>IF(H45="","",H45*$C$8)</f>
        <v/>
      </c>
      <c r="M45" s="12" t="str">
        <f>IF(B45="","",$C$9)</f>
        <v/>
      </c>
      <c r="N45" s="12" t="str">
        <f>IF(H45="","",L45-M45)</f>
        <v/>
      </c>
      <c r="O45" s="11" t="str">
        <f>IF(H45="","",IF(H45&gt;=$C$10,"Sí","No"))</f>
        <v/>
      </c>
      <c r="P45" s="7"/>
    </row>
    <row r="46">
      <c r="B46" s="7"/>
      <c r="C46" s="7"/>
      <c r="D46" s="7"/>
      <c r="E46" s="7"/>
      <c r="F46" s="9"/>
      <c r="G46" s="9"/>
      <c r="H46" s="9"/>
      <c r="I46" s="11" t="str">
        <f>IF(B46="","",$C$4)</f>
        <v/>
      </c>
      <c r="J46" s="11" t="str">
        <f>IF(H46="","",I46-H46)</f>
        <v/>
      </c>
      <c r="K46" s="13" t="str">
        <f>IF(H46="","",H46/I46)</f>
        <v/>
      </c>
      <c r="L46" s="12" t="str">
        <f>IF(H46="","",H46*$C$8)</f>
        <v/>
      </c>
      <c r="M46" s="12" t="str">
        <f>IF(B46="","",$C$9)</f>
        <v/>
      </c>
      <c r="N46" s="12" t="str">
        <f>IF(H46="","",L46-M46)</f>
        <v/>
      </c>
      <c r="O46" s="11" t="str">
        <f>IF(H46="","",IF(H46&gt;=$C$10,"Sí","No"))</f>
        <v/>
      </c>
      <c r="P46" s="7"/>
    </row>
    <row r="47">
      <c r="B47" s="7"/>
      <c r="C47" s="7"/>
      <c r="D47" s="7"/>
      <c r="E47" s="7"/>
      <c r="F47" s="9"/>
      <c r="G47" s="9"/>
      <c r="H47" s="9"/>
      <c r="I47" s="11" t="str">
        <f>IF(B47="","",$C$4)</f>
        <v/>
      </c>
      <c r="J47" s="11" t="str">
        <f>IF(H47="","",I47-H47)</f>
        <v/>
      </c>
      <c r="K47" s="13" t="str">
        <f>IF(H47="","",H47/I47)</f>
        <v/>
      </c>
      <c r="L47" s="12" t="str">
        <f>IF(H47="","",H47*$C$8)</f>
        <v/>
      </c>
      <c r="M47" s="12" t="str">
        <f>IF(B47="","",$C$9)</f>
        <v/>
      </c>
      <c r="N47" s="12" t="str">
        <f>IF(H47="","",L47-M47)</f>
        <v/>
      </c>
      <c r="O47" s="11" t="str">
        <f>IF(H47="","",IF(H47&gt;=$C$10,"Sí","No"))</f>
        <v/>
      </c>
      <c r="P47" s="7"/>
    </row>
    <row r="50">
      <c r="B50" s="3" t="inlineStr">
        <is>
          <t>Resumen por franja</t>
        </is>
      </c>
    </row>
    <row r="51">
      <c r="B51" s="6" t="inlineStr">
        <is>
          <t>Franja</t>
        </is>
      </c>
      <c r="C51" s="6" t="inlineStr">
        <is>
          <t>Grupos con dato</t>
        </is>
      </c>
      <c r="D51" s="6" t="inlineStr">
        <is>
          <t>Alumnos</t>
        </is>
      </c>
      <c r="E51" s="6" t="inlineStr">
        <is>
          <t>Capacidad</t>
        </is>
      </c>
      <c r="F51" s="6" t="inlineStr">
        <is>
          <t>Lugares libres</t>
        </is>
      </c>
      <c r="G51" s="6" t="inlineStr">
        <is>
          <t>% ocupación</t>
        </is>
      </c>
    </row>
    <row r="52">
      <c r="B52" s="8" t="inlineStr">
        <is>
          <t>Mañana (8-12:50)</t>
        </is>
      </c>
      <c r="C52" s="11">
        <f>COUNTIFS($E$14:$E$47,B52,$H$14:$H$47,"&lt;&gt;")</f>
        <v>10</v>
      </c>
      <c r="D52" s="11">
        <f>SUMIFS($H$14:$H$47,$E$14:$E$47,B52)</f>
        <v>50</v>
      </c>
      <c r="E52" s="11">
        <f>C52*$C$4</f>
        <v>120</v>
      </c>
      <c r="F52" s="11">
        <f>E52-D52</f>
        <v>70</v>
      </c>
      <c r="G52" s="13">
        <f>IF(E52=0,"",D52/E52)</f>
        <v>0.4166666666666667</v>
      </c>
    </row>
    <row r="53">
      <c r="B53" s="8" t="inlineStr">
        <is>
          <t>15 h</t>
        </is>
      </c>
      <c r="C53" s="11">
        <f>COUNTIFS($E$14:$E$47,B53,$H$14:$H$47,"&lt;&gt;")</f>
        <v>2</v>
      </c>
      <c r="D53" s="11">
        <f>SUMIFS($H$14:$H$47,$E$14:$E$47,B53)</f>
        <v>5</v>
      </c>
      <c r="E53" s="11">
        <f>C53*$C$4</f>
        <v>24</v>
      </c>
      <c r="F53" s="11">
        <f>E53-D53</f>
        <v>19</v>
      </c>
      <c r="G53" s="13">
        <f>IF(E53=0,"",D53/E53)</f>
        <v>0.20833333333333334</v>
      </c>
    </row>
    <row r="54">
      <c r="B54" s="8" t="inlineStr">
        <is>
          <t>Tarde 16-18:50</t>
        </is>
      </c>
      <c r="C54" s="11">
        <f>COUNTIFS($E$14:$E$47,B54,$H$14:$H$47,"&lt;&gt;")</f>
        <v>8</v>
      </c>
      <c r="D54" s="11">
        <f>SUMIFS($H$14:$H$47,$E$14:$E$47,B54)</f>
        <v>63</v>
      </c>
      <c r="E54" s="11">
        <f>C54*$C$4</f>
        <v>96</v>
      </c>
      <c r="F54" s="11">
        <f>E54-D54</f>
        <v>33</v>
      </c>
      <c r="G54" s="13">
        <f>IF(E54=0,"",D54/E54)</f>
        <v>0.65625</v>
      </c>
    </row>
    <row r="55">
      <c r="B55" s="8" t="inlineStr">
        <is>
          <t>Noche 19-20:50</t>
        </is>
      </c>
      <c r="C55" s="11">
        <f>COUNTIFS($E$14:$E$47,B55,$H$14:$H$47,"&lt;&gt;")</f>
        <v>3</v>
      </c>
      <c r="D55" s="11">
        <f>SUMIFS($H$14:$H$47,$E$14:$E$47,B55)</f>
        <v>11</v>
      </c>
      <c r="E55" s="11">
        <f>C55*$C$4</f>
        <v>36</v>
      </c>
      <c r="F55" s="11">
        <f>E55-D55</f>
        <v>25</v>
      </c>
      <c r="G55" s="13">
        <f>IF(E55=0,"",D55/E55)</f>
        <v>0.3055555555555556</v>
      </c>
    </row>
    <row r="56">
      <c r="B56" s="27" t="inlineStr">
        <is>
          <t>Total</t>
        </is>
      </c>
      <c r="C56" s="28">
        <f>SUM(C52:C55)</f>
        <v>23</v>
      </c>
      <c r="D56" s="28">
        <f>SUM(D52:D55)</f>
        <v>129</v>
      </c>
      <c r="E56" s="28">
        <f>SUM(E52:E55)</f>
        <v>276</v>
      </c>
      <c r="F56" s="28">
        <f>SUM(F52:F55)</f>
        <v>147</v>
      </c>
      <c r="G56" s="29">
        <f>D56/E56</f>
        <v>0.4673913043478261</v>
      </c>
    </row>
    <row r="58">
      <c r="B58" s="2" t="inlineStr">
        <is>
          <t>Lectura: cada lugar libre en un grupo que ya existe se puede llenar sin costo docente adicional. Un grupo nuevo necesita al menos 3 alumnos para cubrir al maestro.</t>
        </is>
      </c>
    </row>
  </sheetData>
  <conditionalFormatting sqref="K14:K47">
    <cfRule type="expression" dxfId="7" priority="1">
      <formula>AND(K14&lt;&gt;"",K14&lt;0.25)</formula>
    </cfRule>
  </conditionalFormatting>
  <conditionalFormatting sqref="K14:K47">
    <cfRule type="expression" dxfId="8" priority="2">
      <formula>AND(K14&lt;&gt;"",K14&gt;=0.9)</formula>
    </cfRule>
  </conditionalFormatting>
  <conditionalFormatting sqref="O14:O47">
    <cfRule type="expression" dxfId="7" priority="3">
      <formula>O14="No"</formula>
    </cfRule>
  </conditionalFormatting>
  <dataValidations count="1">
    <dataValidation type="list" allowBlank="1" showErrorMessage="1" errorStyle="warning" errorTitle="Valor fuera de catálogo" error="Usa un valor de la lista para que el tablero lo cuente." sqref="E14:E47">
      <formula1>L_Franja</formula1>
    </dataValidation>
  </dataValidations>
  <pageMargins left="0.5" right="0.5" top="0.6" bottom="0.6" header="0.3" footer="0.3"/>
  <pageSetup orientation="landscape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7F7F7F"/>
  </sheetPr>
  <dimension ref="A1:S24"/>
  <sheetViews>
    <sheetView workbookViewId="0" zoomScale="100">
      <pane ySplit="1" topLeftCell="A2" activePane="bottomLeft" state="frozen"/>
      <selection pane="bottomLeft" activeCell="A2" sqref="A2"/>
    </sheetView>
  </sheetViews>
  <sheetFormatPr defaultRowHeight="15"/>
  <cols>
    <col min="1" max="1" width="31" customWidth="1"/>
    <col min="2" max="2" width="33" customWidth="1"/>
    <col min="3" max="3" width="18" customWidth="1"/>
    <col min="4" max="4" width="16" customWidth="1"/>
    <col min="5" max="5" width="16" customWidth="1"/>
    <col min="6" max="6" width="21" customWidth="1"/>
    <col min="7" max="7" width="31" customWidth="1"/>
    <col min="8" max="8" width="16" customWidth="1"/>
    <col min="9" max="9" width="16" customWidth="1"/>
    <col min="10" max="10" width="48" customWidth="1"/>
    <col min="11" max="11" width="29" customWidth="1"/>
    <col min="12" max="12" width="16" customWidth="1"/>
    <col min="13" max="13" width="27" customWidth="1"/>
    <col min="14" max="14" width="29" customWidth="1"/>
    <col min="15" max="15" width="38" customWidth="1"/>
    <col min="16" max="16" width="18" customWidth="1"/>
    <col min="17" max="17" width="18" customWidth="1"/>
    <col min="18" max="18" width="18" customWidth="1"/>
    <col min="19" max="19" width="18" customWidth="1"/>
  </cols>
  <sheetData>
    <row r="1">
      <c r="A1" s="17" t="inlineStr">
        <is>
          <t>Tipo de prospecto</t>
        </is>
      </c>
      <c r="B1" s="17" t="inlineStr">
        <is>
          <t>Canal de origen</t>
        </is>
      </c>
      <c r="C1" s="17" t="inlineStr">
        <is>
          <t>Medio de contacto</t>
        </is>
      </c>
      <c r="D1" s="17" t="inlineStr">
        <is>
          <t>Programa</t>
        </is>
      </c>
      <c r="E1" s="17" t="inlineStr">
        <is>
          <t>Idioma</t>
        </is>
      </c>
      <c r="F1" s="17" t="inlineStr">
        <is>
          <t>Horario preferido</t>
        </is>
      </c>
      <c r="G1" s="17" t="inlineStr">
        <is>
          <t>Etapa</t>
        </is>
      </c>
      <c r="H1" s="17" t="inlineStr">
        <is>
          <t>CM confirmada</t>
        </is>
      </c>
      <c r="I1" s="17" t="inlineStr">
        <is>
          <t>Resultado CM</t>
        </is>
      </c>
      <c r="J1" s="17" t="inlineStr">
        <is>
          <t>Motivo</t>
        </is>
      </c>
      <c r="K1" s="17" t="inlineStr">
        <is>
          <t>Siguiente acción</t>
        </is>
      </c>
      <c r="L1" s="17" t="inlineStr">
        <is>
          <t>Resultado final</t>
        </is>
      </c>
      <c r="M1" s="17" t="inlineStr">
        <is>
          <t>Motivo de pérdida</t>
        </is>
      </c>
      <c r="N1" s="17" t="inlineStr">
        <is>
          <t>Responsable</t>
        </is>
      </c>
      <c r="O1" s="31" t="inlineStr">
        <is>
          <t>Motivo de baja</t>
        </is>
      </c>
      <c r="P1" s="31" t="inlineStr">
        <is>
          <t>Estatus de baja</t>
        </is>
      </c>
      <c r="Q1" s="31" t="inlineStr">
        <is>
          <t>Posibilidad de retorno</t>
        </is>
      </c>
      <c r="R1" s="31" t="inlineStr">
        <is>
          <t>Horario del alumno</t>
        </is>
      </c>
      <c r="S1" s="31" t="inlineStr">
        <is>
          <t>Franja de grupo</t>
        </is>
      </c>
    </row>
    <row r="2">
      <c r="A2" s="21" t="inlineStr">
        <is>
          <t>Nuevo</t>
        </is>
      </c>
      <c r="B2" s="21" t="inlineStr">
        <is>
          <t>Facebook</t>
        </is>
      </c>
      <c r="C2" s="21" t="inlineStr">
        <is>
          <t>WhatsApp</t>
        </is>
      </c>
      <c r="D2" s="21" t="inlineStr">
        <is>
          <t>Kids</t>
        </is>
      </c>
      <c r="E2" s="21" t="inlineStr">
        <is>
          <t>Inglés</t>
        </is>
      </c>
      <c r="F2" s="21" t="inlineStr">
        <is>
          <t>L-V mañana (8-13 h)</t>
        </is>
      </c>
      <c r="G2" s="21" t="inlineStr">
        <is>
          <t>1. Nuevo (sin respuesta)</t>
        </is>
      </c>
      <c r="H2" s="21" t="inlineStr">
        <is>
          <t>Sí</t>
        </is>
      </c>
      <c r="I2" s="21" t="inlineStr">
        <is>
          <t>Pendiente</t>
        </is>
      </c>
      <c r="J2" s="21" t="inlineStr">
        <is>
          <t>Inasistencia - No confirmó / no respondió</t>
        </is>
      </c>
      <c r="K2" s="21" t="inlineStr">
        <is>
          <t>Responder y dar información</t>
        </is>
      </c>
      <c r="L2" s="21" t="inlineStr">
        <is>
          <t>Abierto</t>
        </is>
      </c>
      <c r="M2" s="21" t="inlineStr">
        <is>
          <t>No respondió (3 intentos)</t>
        </is>
      </c>
      <c r="N2" s="21" t="inlineStr">
        <is>
          <t>Atención 1 (asignar nombre)</t>
        </is>
      </c>
      <c r="O2" s="21" t="inlineStr">
        <is>
          <t>Falta de tiempo</t>
        </is>
      </c>
      <c r="P2" s="21" t="inlineStr">
        <is>
          <t>Baja definitiva</t>
        </is>
      </c>
      <c r="Q2" s="21" t="inlineStr">
        <is>
          <t>Alta</t>
        </is>
      </c>
      <c r="R2" s="21" t="inlineStr">
        <is>
          <t>Mañana</t>
        </is>
      </c>
      <c r="S2" s="21" t="inlineStr">
        <is>
          <t>Mañana (8-12:50)</t>
        </is>
      </c>
    </row>
    <row r="3">
      <c r="A3" s="21" t="inlineStr">
        <is>
          <t>Alumno actual (venta cruzada)</t>
        </is>
      </c>
      <c r="B3" s="21" t="inlineStr">
        <is>
          <t>Instagram</t>
        </is>
      </c>
      <c r="C3" s="21" t="inlineStr">
        <is>
          <t>Messenger</t>
        </is>
      </c>
      <c r="D3" s="21" t="inlineStr">
        <is>
          <t>Junior</t>
        </is>
      </c>
      <c r="E3" s="21" t="inlineStr">
        <is>
          <t>Francés</t>
        </is>
      </c>
      <c r="F3" s="21" t="inlineStr">
        <is>
          <t>L-V 15-16 h</t>
        </is>
      </c>
      <c r="G3" s="21" t="inlineStr">
        <is>
          <t>2. En conversación</t>
        </is>
      </c>
      <c r="H3" s="21" t="inlineStr">
        <is>
          <t>No</t>
        </is>
      </c>
      <c r="I3" s="21" t="inlineStr">
        <is>
          <t>Asistió</t>
        </is>
      </c>
      <c r="J3" s="21" t="inlineStr">
        <is>
          <t>Inasistencia - Imprevisto personal</t>
        </is>
      </c>
      <c r="K3" s="21" t="inlineStr">
        <is>
          <t>Proponer 2 horarios de CM</t>
        </is>
      </c>
      <c r="L3" s="21" t="inlineStr">
        <is>
          <t>Inscrito</t>
        </is>
      </c>
      <c r="M3" s="21" t="inlineStr">
        <is>
          <t>Horario no disponible</t>
        </is>
      </c>
      <c r="N3" s="21" t="inlineStr">
        <is>
          <t>Atención 2 (asignar nombre)</t>
        </is>
      </c>
      <c r="O3" s="21" t="inlineStr">
        <is>
          <t>Campos de trabajo/estudios</t>
        </is>
      </c>
      <c r="P3" s="21" t="inlineStr">
        <is>
          <t>Baja temporal</t>
        </is>
      </c>
      <c r="Q3" s="21" t="inlineStr">
        <is>
          <t>Media</t>
        </is>
      </c>
      <c r="R3" s="21" t="inlineStr">
        <is>
          <t>Tarde</t>
        </is>
      </c>
      <c r="S3" s="21" t="inlineStr">
        <is>
          <t>15 h</t>
        </is>
      </c>
    </row>
    <row r="4">
      <c r="A4" s="21" t="inlineStr">
        <is>
          <t>Exalumno (reingreso)</t>
        </is>
      </c>
      <c r="B4" s="21" t="inlineStr">
        <is>
          <t>WhatsApp</t>
        </is>
      </c>
      <c r="C4" s="21" t="inlineStr">
        <is>
          <t>Instagram Direct</t>
        </is>
      </c>
      <c r="D4" s="21" t="inlineStr">
        <is>
          <t>College</t>
        </is>
      </c>
      <c r="F4" s="21" t="inlineStr">
        <is>
          <t>L-V tarde (16-19 h)</t>
        </is>
      </c>
      <c r="G4" s="21" t="inlineStr">
        <is>
          <t>3. CM agendada</t>
        </is>
      </c>
      <c r="H4" s="21" t="inlineStr">
        <is>
          <t>Pendiente</t>
        </is>
      </c>
      <c r="I4" s="21" t="inlineStr">
        <is>
          <t>No asistió</t>
        </is>
      </c>
      <c r="J4" s="21" t="inlineStr">
        <is>
          <t>Inasistencia - Olvidó la cita</t>
        </is>
      </c>
      <c r="K4" s="21" t="inlineStr">
        <is>
          <t>Confirmar CM</t>
        </is>
      </c>
      <c r="L4" s="21" t="inlineStr">
        <is>
          <t>Perdido</t>
        </is>
      </c>
      <c r="M4" s="21" t="inlineStr">
        <is>
          <t>Precio / inversión</t>
        </is>
      </c>
      <c r="N4" s="21" t="inlineStr">
        <is>
          <t>Coordinación comercial</t>
        </is>
      </c>
      <c r="O4" s="21" t="inlineStr">
        <is>
          <t>Económicos</t>
        </is>
      </c>
      <c r="P4" s="21" t="inlineStr">
        <is>
          <t>Retenido</t>
        </is>
      </c>
      <c r="Q4" s="21" t="inlineStr">
        <is>
          <t>Baja</t>
        </is>
      </c>
      <c r="R4" s="21" t="inlineStr">
        <is>
          <t>Noche</t>
        </is>
      </c>
      <c r="S4" s="21" t="inlineStr">
        <is>
          <t>Tarde 16-18:50</t>
        </is>
      </c>
    </row>
    <row r="5">
      <c r="B5" s="21" t="inlineStr">
        <is>
          <t>TikTok</t>
        </is>
      </c>
      <c r="C5" s="21" t="inlineStr">
        <is>
          <t>Llamada</t>
        </is>
      </c>
      <c r="D5" s="21" t="inlineStr">
        <is>
          <t>Certifications</t>
        </is>
      </c>
      <c r="F5" s="21" t="inlineStr">
        <is>
          <t>L-V noche (19-21 h)</t>
        </is>
      </c>
      <c r="G5" s="21" t="inlineStr">
        <is>
          <t>4. CM confirmada</t>
        </is>
      </c>
      <c r="I5" s="21" t="inlineStr">
        <is>
          <t>Reprogramada</t>
        </is>
      </c>
      <c r="J5" s="21" t="inlineStr">
        <is>
          <t>Inasistencia - Sin motivo registrado</t>
        </is>
      </c>
      <c r="K5" s="21" t="inlineStr">
        <is>
          <t>Reagendar CM</t>
        </is>
      </c>
      <c r="M5" s="21" t="inlineStr">
        <is>
          <t>Ubicación / transporte</t>
        </is>
      </c>
      <c r="N5" s="21" t="inlineStr">
        <is>
          <t>Dirección</t>
        </is>
      </c>
      <c r="O5" s="21" t="inlineStr">
        <is>
          <t>Cambio de grupo</t>
        </is>
      </c>
      <c r="P5" s="21" t="inlineStr">
        <is>
          <t>Reinscrito</t>
        </is>
      </c>
      <c r="Q5" s="21" t="inlineStr">
        <is>
          <t>No determinada</t>
        </is>
      </c>
      <c r="R5" s="21" t="inlineStr">
        <is>
          <t>Sábado</t>
        </is>
      </c>
      <c r="S5" s="21" t="inlineStr">
        <is>
          <t>Noche 19-20:50</t>
        </is>
      </c>
    </row>
    <row r="6">
      <c r="B6" s="21" t="inlineStr">
        <is>
          <t>Recomendación</t>
        </is>
      </c>
      <c r="C6" s="21" t="inlineStr">
        <is>
          <t>Presencial</t>
        </is>
      </c>
      <c r="D6" s="21" t="inlineStr">
        <is>
          <t>Parenthood</t>
        </is>
      </c>
      <c r="F6" s="21" t="inlineStr">
        <is>
          <t>Sábado</t>
        </is>
      </c>
      <c r="G6" s="21" t="inlineStr">
        <is>
          <t>5. CM realizada (en decisión)</t>
        </is>
      </c>
      <c r="I6" s="21" t="inlineStr">
        <is>
          <t>Cancelada</t>
        </is>
      </c>
      <c r="J6" s="21" t="inlineStr">
        <is>
          <t>Reprogramación - Imprevisto</t>
        </is>
      </c>
      <c r="K6" s="21" t="inlineStr">
        <is>
          <t>Llamada de cierre</t>
        </is>
      </c>
      <c r="M6" s="21" t="inlineStr">
        <is>
          <t>Eligió otra escuela</t>
        </is>
      </c>
      <c r="N6" s="30"/>
      <c r="O6" s="21" t="inlineStr">
        <is>
          <t>Problemas de transporte/distancia</t>
        </is>
      </c>
      <c r="P6" s="21" t="inlineStr">
        <is>
          <t>En seguimiento</t>
        </is>
      </c>
      <c r="R6" s="21" t="inlineStr">
        <is>
          <t>Virtual</t>
        </is>
      </c>
      <c r="S6" s="21" t="inlineStr">
        <is>
          <t>Sábado</t>
        </is>
      </c>
    </row>
    <row r="7">
      <c r="B7" s="21" t="inlineStr">
        <is>
          <t>Tránsito (pasó por la academia)</t>
        </is>
      </c>
      <c r="C7" s="21" t="inlineStr">
        <is>
          <t>Otro</t>
        </is>
      </c>
      <c r="F7" s="21" t="inlineStr">
        <is>
          <t>Indistinto</t>
        </is>
      </c>
      <c r="G7" s="21" t="inlineStr">
        <is>
          <t>6. Inscrito (pagó 1er mes)</t>
        </is>
      </c>
      <c r="J7" s="21" t="inlineStr">
        <is>
          <t>Reprogramación - Cambio de horario</t>
        </is>
      </c>
      <c r="K7" s="21" t="inlineStr">
        <is>
          <t>Enviar datos de pago</t>
        </is>
      </c>
      <c r="M7" s="21" t="inlineStr">
        <is>
          <t>Ya no le interesa</t>
        </is>
      </c>
      <c r="N7" s="30"/>
      <c r="O7" s="21" t="inlineStr">
        <is>
          <t>No cumplió mis expectativas</t>
        </is>
      </c>
      <c r="R7" s="21" t="inlineStr">
        <is>
          <t>Sin dato</t>
        </is>
      </c>
    </row>
    <row r="8">
      <c r="B8" s="21" t="inlineStr">
        <is>
          <t>Escuela / aliado</t>
        </is>
      </c>
      <c r="G8" s="21" t="inlineStr">
        <is>
          <t>7. Perdido / descartado</t>
        </is>
      </c>
      <c r="J8" s="21" t="inlineStr">
        <is>
          <t>No inscripción - Lo está pensando / consultará</t>
        </is>
      </c>
      <c r="K8" s="21" t="inlineStr">
        <is>
          <t>Seguimiento en 7 días</t>
        </is>
      </c>
      <c r="M8" s="21" t="inlineStr">
        <is>
          <t>Datos incorrectos</t>
        </is>
      </c>
      <c r="N8" s="30"/>
      <c r="O8" s="21" t="inlineStr">
        <is>
          <t>Dificultad para adaptarme al método</t>
        </is>
      </c>
    </row>
    <row r="9">
      <c r="B9" s="21" t="inlineStr">
        <is>
          <t>Activación o evento</t>
        </is>
      </c>
      <c r="J9" s="21" t="inlineStr">
        <is>
          <t>No inscripción - Pospone el inicio</t>
        </is>
      </c>
      <c r="K9" s="21" t="inlineStr">
        <is>
          <t>Seguimiento en 30 días</t>
        </is>
      </c>
      <c r="M9" s="21" t="inlineStr">
        <is>
          <t>Duplicado</t>
        </is>
      </c>
      <c r="N9" s="30"/>
      <c r="O9" s="21" t="inlineStr">
        <is>
          <t>Avance más lento de lo que esperaba</t>
        </is>
      </c>
    </row>
    <row r="10">
      <c r="B10" s="21" t="inlineStr">
        <is>
          <t>Promoción en calle</t>
        </is>
      </c>
      <c r="J10" s="21" t="inlineStr">
        <is>
          <t>No inscripción - Horario no le acomoda</t>
        </is>
      </c>
      <c r="K10" s="21" t="inlineStr">
        <is>
          <t>Ninguna (caso cerrado)</t>
        </is>
      </c>
      <c r="M10" s="21" t="inlineStr">
        <is>
          <t>Otro</t>
        </is>
      </c>
      <c r="N10" s="30"/>
      <c r="O10" s="21" t="inlineStr">
        <is>
          <t>Preferí otra escuela</t>
        </is>
      </c>
    </row>
    <row r="11">
      <c r="B11" s="21" t="inlineStr">
        <is>
          <t>Sitio web</t>
        </is>
      </c>
      <c r="J11" s="21" t="inlineStr">
        <is>
          <t>No inscripción - Precio / inversión</t>
        </is>
      </c>
      <c r="K11" s="30"/>
      <c r="M11" s="30"/>
      <c r="N11" s="30"/>
      <c r="O11" s="21" t="inlineStr">
        <is>
          <t>Problemas de comunicación o atención</t>
        </is>
      </c>
    </row>
    <row r="12">
      <c r="B12" s="21" t="inlineStr">
        <is>
          <t>Otro</t>
        </is>
      </c>
      <c r="J12" s="21" t="inlineStr">
        <is>
          <t>No inscripción - Ubicación / transporte</t>
        </is>
      </c>
      <c r="K12" s="30"/>
      <c r="M12" s="30"/>
      <c r="O12" s="21" t="inlineStr">
        <is>
          <t>Temas personales o familiares</t>
        </is>
      </c>
    </row>
    <row r="13">
      <c r="B13" s="21" t="inlineStr">
        <is>
          <t>Sin dato</t>
        </is>
      </c>
      <c r="J13" s="21" t="inlineStr">
        <is>
          <t>No inscripción - Eligió otra opción</t>
        </is>
      </c>
      <c r="K13" s="30"/>
      <c r="M13" s="30"/>
      <c r="O13" s="21" t="inlineStr">
        <is>
          <t>Horarios</t>
        </is>
      </c>
    </row>
    <row r="14">
      <c r="B14" s="30"/>
      <c r="J14" s="21" t="inlineStr">
        <is>
          <t>No inscripción - Nivel o programa no adecuado</t>
        </is>
      </c>
      <c r="K14" s="30"/>
      <c r="M14" s="30"/>
      <c r="O14" s="21" t="inlineStr">
        <is>
          <t>Vacaciones / fin de curso de verano</t>
        </is>
      </c>
    </row>
    <row r="15">
      <c r="B15" s="30"/>
      <c r="J15" s="21" t="inlineStr">
        <is>
          <t>No inscripción - No responde después de la clase</t>
        </is>
      </c>
      <c r="K15" s="30"/>
      <c r="M15" s="30"/>
    </row>
    <row r="16">
      <c r="B16" s="30"/>
      <c r="J16" s="30"/>
      <c r="K16" s="30"/>
      <c r="M16" s="30"/>
    </row>
    <row r="17">
      <c r="B17" s="30"/>
      <c r="J17" s="30"/>
    </row>
    <row r="18">
      <c r="B18" s="30"/>
      <c r="J18" s="30"/>
    </row>
    <row r="19">
      <c r="B19" s="30"/>
      <c r="J19" s="30"/>
    </row>
    <row r="20">
      <c r="J20" s="30"/>
    </row>
    <row r="21">
      <c r="J21" s="30"/>
    </row>
    <row r="24">
      <c r="A24" s="25" t="inlineStr">
        <is>
          <t>Las celdas amarillas al final de algunas listas están libres para agregar opciones. Agrega valores solo con acuerdo del equipo: si cada quien inventa categorías, el tablero deja de cuadrar.</t>
        </is>
      </c>
    </row>
  </sheetData>
  <pageMargins left="0.5" right="0.5" top="0.6" bottom="0.6" header="0.3" footer="0.3"/>
  <pageSetup orientation="landscape" fitToWidth="1" fitToHeight="0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Kugelman Academy</dc:title>
  <dc:creator>Marketing y Comercial - Kugelman Academy</dc:creator>
  <dcterms:created xsi:type="dcterms:W3CDTF">2026-10-19T18:00:00Z</dcterms:created>
  <dcterms:modified xsi:type="dcterms:W3CDTF">2026-10-19T18:00:00Z</dcterms:modified>
</cp:coreProperties>
</file>