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Estrategias" sheetId="1" r:id="rId1"/>
    <sheet name="Eventos" sheetId="2" r:id="rId2"/>
    <sheet name="Calendario" sheetId="3" r:id="rId3"/>
    <sheet name="Resultados por estrategia" sheetId="4" r:id="rId4"/>
  </sheets>
  <definedNames>
    <definedName name="_xlnm._FilterDatabase" localSheetId="0" hidden="1">'Estrategias'!$A$4:$S$14</definedName>
    <definedName name="_xlnm._FilterDatabase" localSheetId="1" hidden="1">'Eventos'!$A$4:$N$154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$&quot;#,##0"/>
    <numFmt numFmtId="166" formatCode="dd"/>
  </numFmts>
  <fonts count="14">
    <font>
      <sz val="10"/>
      <color rgb="FF262626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9"/>
      <color rgb="FF262626"/>
      <name val="Calibri"/>
      <family val="2"/>
    </font>
    <font>
      <b/>
      <sz val="9"/>
      <color rgb="FF262626"/>
      <name val="Calibri"/>
      <family val="2"/>
    </font>
    <font>
      <b/>
      <sz val="9"/>
      <color rgb="FFFFFFFF"/>
      <name val="Calibri"/>
      <family val="2"/>
    </font>
    <font>
      <b/>
      <sz val="9"/>
      <color rgb="FF404040"/>
      <name val="Calibri"/>
      <family val="2"/>
    </font>
    <font>
      <b/>
      <sz val="10"/>
      <color rgb="FFC55A11"/>
      <name val="Calibri"/>
      <family val="2"/>
    </font>
    <font>
      <sz val="8"/>
      <color rgb="FF7F7F7F"/>
      <name val="Calibri"/>
      <family val="2"/>
    </font>
    <font>
      <sz val="9"/>
      <color rgb="FF7F7F7F"/>
      <name val="Calibri"/>
      <family val="2"/>
    </font>
    <font>
      <b/>
      <sz val="10"/>
      <color rgb="FF1F3864"/>
      <name val="Calibri"/>
      <family val="2"/>
    </font>
    <font>
      <i/>
      <sz val="9"/>
      <color rgb="FF7F7F7F"/>
      <name val="Calibri"/>
      <family val="2"/>
    </font>
    <font>
      <b/>
      <sz val="10"/>
      <color rgb="FF26262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6" borderId="1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7F6000"/>
      </font>
      <fill>
        <patternFill patternType="solid">
          <fgColor rgb="FFFFE699"/>
          <bgColor rgb="FFFFE699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1F3864"/>
      </font>
      <fill>
        <patternFill patternType="solid">
          <fgColor rgb="FFBDD7EE"/>
          <bgColor rgb="FFBDD7EE"/>
        </patternFill>
      </fill>
    </dxf>
    <dxf>
      <font>
        <b/>
        <color rgb="FFFFFFFF"/>
      </font>
      <fill>
        <patternFill patternType="solid">
          <fgColor rgb="FF1F3864"/>
          <bgColor rgb="FF1F3864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S14"/>
  <sheetViews>
    <sheetView workbookViewId="0" zoomScale="100" tabSelected="1">
      <pane xSplit="3" ySplit="4" topLeftCell="D5" activePane="bottomRight" state="frozen"/>
      <selection pane="bottomRight" activeCell="D5" sqref="D5"/>
    </sheetView>
  </sheetViews>
  <sheetFormatPr defaultRowHeight="15"/>
  <cols>
    <col min="1" max="1" width="5" customWidth="1"/>
    <col min="2" max="2" width="8" customWidth="1"/>
    <col min="3" max="3" width="24" customWidth="1"/>
    <col min="4" max="4" width="28" customWidth="1"/>
    <col min="5" max="5" width="30" customWidth="1"/>
    <col min="6" max="6" width="44" customWidth="1"/>
    <col min="7" max="7" width="28" customWidth="1"/>
    <col min="8" max="8" width="10" customWidth="1"/>
    <col min="9" max="9" width="10" customWidth="1"/>
    <col min="10" max="10" width="14" customWidth="1"/>
    <col min="11" max="11" width="24" customWidth="1"/>
    <col min="12" max="12" width="28" customWidth="1"/>
    <col min="13" max="13" width="11" customWidth="1"/>
    <col min="14" max="14" width="30" customWidth="1"/>
    <col min="15" max="15" width="28" customWidth="1"/>
    <col min="16" max="16" width="26" customWidth="1"/>
    <col min="17" max="17" width="30" customWidth="1"/>
    <col min="18" max="18" width="34" customWidth="1"/>
    <col min="19" max="19" width="12" customWidth="1"/>
  </cols>
  <sheetData>
    <row r="1">
      <c r="A1" s="1" t="inlineStr">
        <is>
          <t>Plan de estrategias comerciales complementarias a redes sociales</t>
        </is>
      </c>
    </row>
    <row r="2">
      <c r="A2" s="2" t="inlineStr">
        <is>
          <t>Ninguna acción está autorizada todavía: todas tienen estatus "Propuesta". Las metas son propuestas y no resultados garantizados. Presupuesto solo donde hay una base para calcularlo.</t>
        </is>
      </c>
    </row>
    <row r="4" ht="30" customHeight="1">
      <c r="A4" s="3" t="inlineStr">
        <is>
          <t>ID</t>
        </is>
      </c>
      <c r="B4" s="3" t="inlineStr">
        <is>
          <t>Prioridad</t>
        </is>
      </c>
      <c r="C4" s="3" t="inlineStr">
        <is>
          <t>Estrategia</t>
        </is>
      </c>
      <c r="D4" s="3" t="inlineStr">
        <is>
          <t>Objetivo</t>
        </is>
      </c>
      <c r="E4" s="3" t="inlineStr">
        <is>
          <t>Público</t>
        </is>
      </c>
      <c r="F4" s="3" t="inlineStr">
        <is>
          <t>Actividad concreta</t>
        </is>
      </c>
      <c r="G4" s="3" t="inlineStr">
        <is>
          <t>Ubicación o tipo de aliado</t>
        </is>
      </c>
      <c r="H4" s="3" t="inlineStr">
        <is>
          <t>Inicio</t>
        </is>
      </c>
      <c r="I4" s="3" t="inlineStr">
        <is>
          <t>Fin</t>
        </is>
      </c>
      <c r="J4" s="3" t="inlineStr">
        <is>
          <t>Responsable</t>
        </is>
      </c>
      <c r="K4" s="3" t="inlineStr">
        <is>
          <t>Áreas que participan</t>
        </is>
      </c>
      <c r="L4" s="3" t="inlineStr">
        <is>
          <t>Materiales y recursos</t>
        </is>
      </c>
      <c r="M4" s="3" t="inlineStr">
        <is>
          <t>Presupuesto estimado</t>
        </is>
      </c>
      <c r="N4" s="3" t="inlineStr">
        <is>
          <t>Base del presupuesto</t>
        </is>
      </c>
      <c r="O4" s="3" t="inlineStr">
        <is>
          <t>Meta esperada</t>
        </is>
      </c>
      <c r="P4" s="3" t="inlineStr">
        <is>
          <t>Indicador de evaluación</t>
        </is>
      </c>
      <c r="Q4" s="3" t="inlineStr">
        <is>
          <t>Seguimiento para convertir</t>
        </is>
      </c>
      <c r="R4" s="3" t="inlineStr">
        <is>
          <t>Evidencia que la respalda</t>
        </is>
      </c>
      <c r="S4" s="3" t="inlineStr">
        <is>
          <t>Estatus</t>
        </is>
      </c>
    </row>
    <row r="5" ht="150" customHeight="1">
      <c r="A5" s="5" t="inlineStr">
        <is>
          <t>E1</t>
        </is>
      </c>
      <c r="B5" s="10" t="inlineStr">
        <is>
          <t>Alta</t>
        </is>
      </c>
      <c r="C5" s="5" t="inlineStr">
        <is>
          <t>Recuperar prospectos que ya asistieron o ya escribieron</t>
        </is>
      </c>
      <c r="D5" s="4" t="inlineStr">
        <is>
          <t>Convertir en inscripción a personas que ya mostraron interés y por las que ya se pagó pauta.</t>
        </is>
      </c>
      <c r="E5" s="4" t="inlineStr">
        <is>
          <t>12 asistentes de octubre sin inscripción (11 del control y 1 de la encuesta), 20 citas agendadas al 7-nov, y prospectos "por cerrar" y "en descubrimiento" del CRM de septiembre (284 sin movimiento al 3-oct).</t>
        </is>
      </c>
      <c r="F5" s="4" t="inlineStr">
        <is>
          <t>Llamada o mensaje personal en 48 h a los 11 de octubre, con dos horarios concretos que tengan lugar. Para septiembre: mensaje de reactivación con fecha de clase muestra propuesta; 3 intentos máximo y luego "Perdido" con motivo.</t>
        </is>
      </c>
      <c r="G5" s="4" t="inlineStr">
        <is>
          <t>No aplica (atención comercial por WhatsApp y teléfono).</t>
        </is>
      </c>
      <c r="H5" s="6">
        <v>46319</v>
      </c>
      <c r="I5" s="6">
        <v>46332</v>
      </c>
      <c r="J5" s="4" t="inlineStr">
        <is>
          <t>Atención comercial</t>
        </is>
      </c>
      <c r="K5" s="4" t="inlineStr">
        <is>
          <t>Marketing-Comercial</t>
        </is>
      </c>
      <c r="L5" s="4" t="inlineStr">
        <is>
          <t>Lista de prospectos (sistema de seguimiento), guion de cierre, horarios con cupo (hoja Ocupacion).</t>
        </is>
      </c>
      <c r="M5" s="7">
        <v>0</v>
      </c>
      <c r="N5" s="4" t="inlineStr">
        <is>
          <t>Sin costo directo: tiempo del equipo de atención.</t>
        </is>
      </c>
      <c r="O5" s="4" t="inlineStr">
        <is>
          <t>Propuesta: 100% de los 12 de octubre contactados antes del 28-oct y con resultado registrado.</t>
        </is>
      </c>
      <c r="P5" s="4" t="inlineStr">
        <is>
          <t>Inscripciones recuperadas; % de prospectos con resultado registrado.</t>
        </is>
      </c>
      <c r="Q5" s="4" t="inlineStr">
        <is>
          <t>Quien no decide queda con siguiente acción a 7 días; quien dice no, con motivo de pérdida.</t>
        </is>
      </c>
      <c r="R5" s="4" t="inlineStr">
        <is>
          <t>Brisa Azul dijo en la encuesta que se inscribiría "hoy mismo" y al 23-oct sigue sin inscribirse; 11 asistentes del control y 1 de la encuesta siguen sin cierre.</t>
        </is>
      </c>
      <c r="S5" s="9" t="inlineStr">
        <is>
          <t>Propuesta</t>
        </is>
      </c>
    </row>
    <row r="6" ht="150" customHeight="1">
      <c r="A6" s="5" t="inlineStr">
        <is>
          <t>E2</t>
        </is>
      </c>
      <c r="B6" s="10" t="inlineStr">
        <is>
          <t>Alta</t>
        </is>
      </c>
      <c r="C6" s="5" t="inlineStr">
        <is>
          <t>Programa de recomendación de alumnos y padres</t>
        </is>
      </c>
      <c r="D6" s="4" t="inlineStr">
        <is>
          <t>Formalizar el canal que más alumnos activos trae después de Facebook, sin costo de pauta.</t>
        </is>
      </c>
      <c r="E6" s="4" t="inlineStr">
        <is>
          <t>120 alumnos activos y sus familias; énfasis en Kids y Junior (mejor cierre y menor baja temprana).</t>
        </is>
      </c>
      <c r="F6" s="4" t="inlineStr">
        <is>
          <t>Mensaje y tarjeta con el nombre del alumno que recomienda. El recomendado toma clase muestra; si se inscribe y paga su segundo mes, quien recomendó recibe el beneficio. Registrar canal "Recomendación" y el nombre del alumno en "Anuncio / referidor".</t>
        </is>
      </c>
      <c r="G6" s="4" t="inlineStr">
        <is>
          <t>En la academia (recepción, salones) y por WhatsApp a tutores.</t>
        </is>
      </c>
      <c r="H6" s="6">
        <v>46335</v>
      </c>
      <c r="I6" s="6">
        <v>46465</v>
      </c>
      <c r="J6" s="4" t="inlineStr">
        <is>
          <t>Coordinación comercial</t>
        </is>
      </c>
      <c r="K6" s="4" t="inlineStr">
        <is>
          <t>Marketing-Comercial; Finanzas (beneficio); Publicidad-Diseño (tarjeta y mensaje); Docentes (invitación en clase)</t>
        </is>
      </c>
      <c r="L6" s="4" t="inlineStr">
        <is>
          <t>Tarjeta impresa o digital, mensaje para tutores, cartel en recepción, registro en el sistema.</t>
        </is>
      </c>
      <c r="M6" s="7" t="inlineStr">
        <is>
          <t>Por definir</t>
        </is>
      </c>
      <c r="N6" s="4" t="inlineStr">
        <is>
          <t>Beneficio propuesto: $200 de descuento por recomendado que paga su segundo mes (pendiente de Finanzas). Se paga solo por altas que se quedan, contra un costo de adquisición atribuible de $304 en septiembre.</t>
        </is>
      </c>
      <c r="O6" s="4" t="inlineStr">
        <is>
          <t>Propuesta: 5 inscripciones por recomendación al mes (histórico sin programa: ~3 al mes; 57 registros desde mayo de 2025).</t>
        </is>
      </c>
      <c r="P6" s="4" t="inlineStr">
        <is>
          <t>Recomendados registrados, clases muestra, inscritos, inscritos activos a 60 días, costo por inscripción.</t>
        </is>
      </c>
      <c r="Q6" s="4" t="inlineStr">
        <is>
          <t>Agradecer a quien recomienda en cuanto el referido agenda; confirmar la CM un día antes; check-in de semana 1 y 3 al nuevo alumno.</t>
        </is>
      </c>
      <c r="R6" s="4" t="inlineStr">
        <is>
          <t>Recomendación: 57 registros históricos y 27 activos (22% de los activos).</t>
        </is>
      </c>
      <c r="S6" s="9" t="inlineStr">
        <is>
          <t>Propuesta</t>
        </is>
      </c>
    </row>
    <row r="7" ht="150" customHeight="1">
      <c r="A7" s="5" t="inlineStr">
        <is>
          <t>E3</t>
        </is>
      </c>
      <c r="B7" s="10" t="inlineStr">
        <is>
          <t>Alta</t>
        </is>
      </c>
      <c r="C7" s="5" t="inlineStr">
        <is>
          <t>Alianzas con escuelas cercanas: taller de inglés y beneficio para familias</t>
        </is>
      </c>
      <c r="D7" s="4" t="inlineStr">
        <is>
          <t>Generar prospectos de Kids y Junior en escuelas que ya han enviado alumnos y presentar opciones de horario con cupo.</t>
        </is>
      </c>
      <c r="E7" s="4" t="inlineStr">
        <is>
          <t>Alumnos de primaria y secundaria y sus padres. Alumnos de secundaria del turno vespertino podrían llenar grupos matutinos (hipótesis a validar).</t>
        </is>
      </c>
      <c r="F7" s="4" t="inlineStr">
        <is>
          <t>Reunión con la dirección de cada escuela; taller de 50 min en la escuela o visita de un grupo a la academia; volante para padres con dos horarios con cupo y el número de WhatsApp. Registrar canal "Escuela / aliado" y el nombre de la escuela.</t>
        </is>
      </c>
      <c r="G7" s="4" t="inlineStr">
        <is>
          <t>Escuelas con antecedente: Activacion Escuela, Escuela Florinda Chapa, Escuela Tecnica 66, Alumno Iunhi, Escuela Cuauhtemoc, Stand Chitiva; y "Freinet" (15 registros "Recomendado Freinet": validar si es escuela).</t>
        </is>
      </c>
      <c r="H7" s="6">
        <v>46321</v>
      </c>
      <c r="I7" s="6">
        <v>46444</v>
      </c>
      <c r="J7" s="4" t="inlineStr">
        <is>
          <t>Coordinación comercial</t>
        </is>
      </c>
      <c r="K7" s="4" t="inlineStr">
        <is>
          <t>Marketing-Comercial; Dirección (convenios); Académico (taller); Publicidad-Diseño (volante)</t>
        </is>
      </c>
      <c r="L7" s="4" t="inlineStr">
        <is>
          <t>Presentación breve para directores, guion del taller, volante para padres, hoja de registro con teléfono.</t>
        </is>
      </c>
      <c r="M7" s="7">
        <v>200</v>
      </c>
      <c r="N7" s="4" t="inlineStr">
        <is>
          <t>Costo docente de una sesión de 50 min ($200) por taller. Impresión: por cotizar.</t>
        </is>
      </c>
      <c r="O7" s="4" t="inlineStr">
        <is>
          <t>Propuesta: 2 escuelas con taller antes del 11-dic y 2 más entre enero y febrero.</t>
        </is>
      </c>
      <c r="P7" s="4" t="inlineStr">
        <is>
          <t>Contactos con teléfono por escuela, clases muestra, inscritos, costo por inscrito.</t>
        </is>
      </c>
      <c r="Q7" s="4" t="inlineStr">
        <is>
          <t>Mensaje a los padres registrados en 24 h con dos horarios; confirmación de CM; llamada de cierre a la semana.</t>
        </is>
      </c>
      <c r="R7" s="4" t="inlineStr">
        <is>
          <t>Escuelas, activaciones y aliados: 23 registros y 10 activos. "Activación escuela" aportó 9 altas, todas activas hoy.</t>
        </is>
      </c>
      <c r="S7" s="9" t="inlineStr">
        <is>
          <t>Propuesta</t>
        </is>
      </c>
    </row>
    <row r="8" ht="150" customHeight="1">
      <c r="A8" s="5" t="inlineStr">
        <is>
          <t>E4</t>
        </is>
      </c>
      <c r="B8" s="10" t="inlineStr">
        <is>
          <t>Alta</t>
        </is>
      </c>
      <c r="C8" s="5" t="inlineStr">
        <is>
          <t>Recuperar bajas temporales y exalumnos para enero</t>
        </is>
      </c>
      <c r="D8" s="4" t="inlineStr">
        <is>
          <t>Reinscribir a alumnos que ya conocen la academia antes de buscar alumnos nuevos.</t>
        </is>
      </c>
      <c r="E8" s="4" t="inlineStr">
        <is>
          <t>Bajas temporales de octubre (Lianne Flores, Paula Rodríguez, Montserrat Lugo, María Cristina Carrillo), bajas por vacaciones y exalumnos inactivos con motivo distinto a "Preferí otra escuela".</t>
        </is>
      </c>
      <c r="F8" s="4" t="inlineStr">
        <is>
          <t>Llamada personal (no mensaje masivo) con propuesta de horario y fecha de regreso en enero. Registrar resultado en la hoja Bajas.</t>
        </is>
      </c>
      <c r="G8" s="4" t="inlineStr">
        <is>
          <t>No aplica (atención comercial).</t>
        </is>
      </c>
      <c r="H8" s="6">
        <v>46357</v>
      </c>
      <c r="I8" s="6">
        <v>46402</v>
      </c>
      <c r="J8" s="4" t="inlineStr">
        <is>
          <t>Atención comercial</t>
        </is>
      </c>
      <c r="K8" s="4" t="inlineStr">
        <is>
          <t>Marketing-Comercial; Administración (datos de contacto); Académico (nivel de regreso)</t>
        </is>
      </c>
      <c r="L8" s="4" t="inlineStr">
        <is>
          <t>Lista de bajas con motivo, guion de regreso, horarios con cupo.</t>
        </is>
      </c>
      <c r="M8" s="7">
        <v>0</v>
      </c>
      <c r="N8" s="4" t="inlineStr">
        <is>
          <t>Sin costo directo.</t>
        </is>
      </c>
      <c r="O8" s="4" t="inlineStr">
        <is>
          <t>Propuesta: contactar al 100% de las bajas temporales antes del 18-dic.</t>
        </is>
      </c>
      <c r="P8" s="4" t="inlineStr">
        <is>
          <t>Reinscritos; reinscritos activos a 30 días.</t>
        </is>
      </c>
      <c r="Q8" s="4" t="inlineStr">
        <is>
          <t>Quien no regresa en enero queda con seguimiento a 30 días y motivo actualizado.</t>
        </is>
      </c>
      <c r="R8" s="4" t="inlineStr">
        <is>
          <t>Registro de deserción: 4 bajas temporales, 0 retenidos y 0 reinscritos. En todos los casos el último contacto fue el día de la baja.</t>
        </is>
      </c>
      <c r="S8" s="9" t="inlineStr">
        <is>
          <t>Propuesta</t>
        </is>
      </c>
    </row>
    <row r="9" ht="150" customHeight="1">
      <c r="A9" s="5" t="inlineStr">
        <is>
          <t>E5</t>
        </is>
      </c>
      <c r="B9" s="10" t="inlineStr">
        <is>
          <t>Media</t>
        </is>
      </c>
      <c r="C9" s="5" t="inlineStr">
        <is>
          <t>Clase abierta de sábado para familias y recomendados</t>
        </is>
      </c>
      <c r="D9" s="4" t="inlineStr">
        <is>
          <t>Llenar lugares de sábado y de mañana con prospectos que llegan por recomendación, escuelas y calle.</t>
        </is>
      </c>
      <c r="E9" s="4" t="inlineStr">
        <is>
          <t>Familias invitadas por alumnos, padres contactados en escuelas, prospectos de la calle.</t>
        </is>
      </c>
      <c r="F9" s="4" t="inlineStr">
        <is>
          <t>Sesión demostrativa de 50 min por grupo de edad (niños / adolescentes y adultos). Al terminar: registro, propuesta de horario y clase muestra formal si hace falta.</t>
        </is>
      </c>
      <c r="G9" s="4" t="inlineStr">
        <is>
          <t>Instalaciones de la academia, Villas de Pachuca.</t>
        </is>
      </c>
      <c r="H9" s="6">
        <v>46347</v>
      </c>
      <c r="I9" s="6">
        <v>46459</v>
      </c>
      <c r="J9" s="4" t="inlineStr">
        <is>
          <t>Coordinación comercial</t>
        </is>
      </c>
      <c r="K9" s="4" t="inlineStr">
        <is>
          <t>Marketing-Comercial; Académico (docentes); Publicidad-Diseño (invitación)</t>
        </is>
      </c>
      <c r="L9" s="4" t="inlineStr">
        <is>
          <t>Invitación digital, lista de asistencia con teléfono, horarios con cupo impresos.</t>
        </is>
      </c>
      <c r="M9" s="7">
        <v>400</v>
      </c>
      <c r="N9" s="4" t="inlineStr">
        <is>
          <t>Costo docente: 2 sesiones de 50 min x $200 por evento. Fechas propuestas: 21-nov, 5-dic, 16-ene, 20-feb y 13-mar.</t>
        </is>
      </c>
      <c r="O9" s="4" t="inlineStr">
        <is>
          <t>Propuesta: definir después del primer evento con su resultado real.</t>
        </is>
      </c>
      <c r="P9" s="4" t="inlineStr">
        <is>
          <t>Asistentes, asistentes con teléfono, inscritos por evento, costo por inscrito.</t>
        </is>
      </c>
      <c r="Q9" s="4" t="inlineStr">
        <is>
          <t>Mensaje a cada asistente el mismo día con dos horarios; llamada de cierre a los 3 días.</t>
        </is>
      </c>
      <c r="R9" s="4" t="inlineStr">
        <is>
          <t>La clase muestra cierra 46-52% de quienes asisten. La ocupación de mañana es ~42%.</t>
        </is>
      </c>
      <c r="S9" s="9" t="inlineStr">
        <is>
          <t>Propuesta</t>
        </is>
      </c>
    </row>
    <row r="10" ht="150" customHeight="1">
      <c r="A10" s="5" t="inlineStr">
        <is>
          <t>E6</t>
        </is>
      </c>
      <c r="B10" s="10" t="inlineStr">
        <is>
          <t>Media</t>
        </is>
      </c>
      <c r="C10" s="5" t="inlineStr">
        <is>
          <t>Visibilidad física de la academia (tránsito)</t>
        </is>
      </c>
      <c r="D10" s="4" t="inlineStr">
        <is>
          <t>Convertir el paso frente a la academia en contactos registrados.</t>
        </is>
      </c>
      <c r="E10" s="4" t="inlineStr">
        <is>
          <t>Vecinos y personas que pasan frente a la academia en Villas de Pachuca.</t>
        </is>
      </c>
      <c r="F10" s="4" t="inlineStr">
        <is>
          <t>Letrero o lona con "Clase muestra gratis", WhatsApp, código QR y los horarios con cupo. Exhibidor con volantes en la entrada. Registrar canal "Tránsito".</t>
        </is>
      </c>
      <c r="G10" s="4" t="inlineStr">
        <is>
          <t>Fachada y entrada de la academia.</t>
        </is>
      </c>
      <c r="H10" s="6">
        <v>46328</v>
      </c>
      <c r="I10" s="6">
        <v>46346</v>
      </c>
      <c r="J10" s="4" t="inlineStr">
        <is>
          <t>Publicidad-Diseño</t>
        </is>
      </c>
      <c r="K10" s="4" t="inlineStr">
        <is>
          <t>Publicidad-Diseño (diseño); Dirección (autorización y compra); Marketing-Comercial (registro)</t>
        </is>
      </c>
      <c r="L10" s="4" t="inlineStr">
        <is>
          <t>Lona o letrero, exhibidor, volantes.</t>
        </is>
      </c>
      <c r="M10" s="7" t="inlineStr">
        <is>
          <t>Por definir</t>
        </is>
      </c>
      <c r="N10" s="4" t="inlineStr">
        <is>
          <t>Por cotizar: no hay referencias de precio en la información disponible.</t>
        </is>
      </c>
      <c r="O10" s="4" t="inlineStr">
        <is>
          <t>Propuesta: medir la línea base de noviembre y fijar meta en diciembre.</t>
        </is>
      </c>
      <c r="P10" s="4" t="inlineStr">
        <is>
          <t>Prospectos con canal "Tránsito" por mes; inscritos.</t>
        </is>
      </c>
      <c r="Q10" s="4" t="inlineStr">
        <is>
          <t>Mismo proceso del sistema de seguimiento.</t>
        </is>
      </c>
      <c r="R10" s="4" t="inlineStr">
        <is>
          <t>Tránsito: 40 registros históricos y 16 activos.</t>
        </is>
      </c>
      <c r="S10" s="9" t="inlineStr">
        <is>
          <t>Propuesta</t>
        </is>
      </c>
    </row>
    <row r="11" ht="150" customHeight="1">
      <c r="A11" s="5" t="inlineStr">
        <is>
          <t>E7</t>
        </is>
      </c>
      <c r="B11" s="10" t="inlineStr">
        <is>
          <t>Media</t>
        </is>
      </c>
      <c r="C11" s="5" t="inlineStr">
        <is>
          <t>Promoción en calle con registro de contactos</t>
        </is>
      </c>
      <c r="D11" s="4" t="inlineStr">
        <is>
          <t>Mantener la promoción en calle, pero midiendo lo que produce.</t>
        </is>
      </c>
      <c r="E11" s="4" t="inlineStr">
        <is>
          <t>Padres a la salida de escuelas cercanas y residentes de Villas de Pachuca y colonias vecinas.</t>
        </is>
      </c>
      <c r="F11" s="4" t="inlineStr">
        <is>
          <t>Dos tardes por semana a la salida de escuelas. Volante con horarios, precio de lista y el beneficio principal; registro de teléfono en el momento (formulario o QR). Canal "Promoción en calle" y el lugar en "Anuncio / referidor / lugar".</t>
        </is>
      </c>
      <c r="G11" s="4" t="inlineStr">
        <is>
          <t>Salidas de escuelas cercanas y zonas comerciales de Villas de Pachuca (lugares a definir por el equipo).</t>
        </is>
      </c>
      <c r="H11" s="6">
        <v>46329</v>
      </c>
      <c r="I11" s="6">
        <v>46465</v>
      </c>
      <c r="J11" s="4" t="inlineStr">
        <is>
          <t>Atención comercial</t>
        </is>
      </c>
      <c r="K11" s="4" t="inlineStr">
        <is>
          <t>Marketing-Comercial; Publicidad-Diseño (volante)</t>
        </is>
      </c>
      <c r="L11" s="4" t="inlineStr">
        <is>
          <t>Volantes, formulario o QR para registro, playera o gafete de la academia.</t>
        </is>
      </c>
      <c r="M11" s="7" t="inlineStr">
        <is>
          <t>Por definir</t>
        </is>
      </c>
      <c r="N11" s="4" t="inlineStr">
        <is>
          <t>Volantes por cotizar; tiempo del personal.</t>
        </is>
      </c>
      <c r="O11" s="4" t="inlineStr">
        <is>
          <t>Propuesta: al menos 10 contactos con teléfono por salida.</t>
        </is>
      </c>
      <c r="P11" s="4" t="inlineStr">
        <is>
          <t>Contactos con teléfono por salida, CM, inscritos, costo por inscrito.</t>
        </is>
      </c>
      <c r="Q11" s="4" t="inlineStr">
        <is>
          <t>Mensaje en 24 h a cada contacto con dos horarios. Atender las barreras que ya mencionaron: horario, precio y ubicación.</t>
        </is>
      </c>
      <c r="R11" s="4" t="inlineStr">
        <is>
          <t>Los hermanos Villalba dijeron en la encuesta que llegaron por promoción en calle (en el control aparecen como WhatsApp) y señalaron horarios, inversión y ubicación como barreras.</t>
        </is>
      </c>
      <c r="S11" s="9" t="inlineStr">
        <is>
          <t>Propuesta</t>
        </is>
      </c>
    </row>
    <row r="12" ht="150" customHeight="1">
      <c r="A12" s="5" t="inlineStr">
        <is>
          <t>E8</t>
        </is>
      </c>
      <c r="B12" s="10" t="inlineStr">
        <is>
          <t>Media</t>
        </is>
      </c>
      <c r="C12" s="5" t="inlineStr">
        <is>
          <t>Curso intensivo de invierno (evaluar)</t>
        </is>
      </c>
      <c r="D12" s="4" t="inlineStr">
        <is>
          <t>Usar la capacidad de la mañana durante las vacaciones escolares y convertir a alumnos regulares en enero.</t>
        </is>
      </c>
      <c r="E12" s="4" t="inlineStr">
        <is>
          <t>Niños y adolescentes en vacaciones (21-dic a 6-ene).</t>
        </is>
      </c>
      <c r="F12" s="4" t="inlineStr">
        <is>
          <t>Curso corto de mañana; al cierre, clase de presentación del programa regular con horarios de enero.</t>
        </is>
      </c>
      <c r="G12" s="4" t="inlineStr">
        <is>
          <t>Instalaciones de la academia.</t>
        </is>
      </c>
      <c r="H12" s="6">
        <v>46377</v>
      </c>
      <c r="I12" s="6">
        <v>46393</v>
      </c>
      <c r="J12" s="4" t="inlineStr">
        <is>
          <t>Dirección</t>
        </is>
      </c>
      <c r="K12" s="4" t="inlineStr">
        <is>
          <t>Dirección; Académico; Finanzas (precio); Marketing-Comercial (venta)</t>
        </is>
      </c>
      <c r="L12" s="4" t="inlineStr">
        <is>
          <t>Programa del curso, docentes disponibles, precio aprobado.</t>
        </is>
      </c>
      <c r="M12" s="7" t="inlineStr">
        <is>
          <t>Por definir</t>
        </is>
      </c>
      <c r="N12" s="4" t="inlineStr">
        <is>
          <t>Costo docente: $200 por sesión de 50 min. Número de sesiones y precio: definir con Académico y Finanzas.</t>
        </is>
      </c>
      <c r="O12" s="4" t="inlineStr">
        <is>
          <t>Propuesta: decidir antes del 20-nov si se realiza.</t>
        </is>
      </c>
      <c r="P12" s="4" t="inlineStr">
        <is>
          <t>Inscritos al curso; % que se inscribe al programa regular en enero.</t>
        </is>
      </c>
      <c r="Q12" s="4" t="inlineStr">
        <is>
          <t>Clase de presentación del programa regular el último día; llamada a cada familia antes del 11-ene.</t>
        </is>
      </c>
      <c r="R12" s="4" t="inlineStr">
        <is>
          <t>Hubo curso de verano (5 registros en la base). La ocupación de la mañana es ~42%. No hay datos de demanda en invierno: es una prueba.</t>
        </is>
      </c>
      <c r="S12" s="9" t="inlineStr">
        <is>
          <t>Propuesta</t>
        </is>
      </c>
    </row>
    <row r="13" ht="150" customHeight="1">
      <c r="A13" s="5" t="inlineStr">
        <is>
          <t>E9</t>
        </is>
      </c>
      <c r="B13" s="10" t="inlineStr">
        <is>
          <t>Baja</t>
        </is>
      </c>
      <c r="C13" s="5" t="inlineStr">
        <is>
          <t>Convenios con empresas e instituciones cercanas</t>
        </is>
      </c>
      <c r="D13" s="4" t="inlineStr">
        <is>
          <t>Atraer adultos a horarios de mañana y noche, donde hay lugares libres.</t>
        </is>
      </c>
      <c r="E13" s="4" t="inlineStr">
        <is>
          <t>Empleados de negocios, clínicas y oficinas de la zona; estudiantes universitarios (antecedente IUNHI).</t>
        </is>
      </c>
      <c r="F13" s="4" t="inlineStr">
        <is>
          <t>Visita con propuesta de beneficio para empleados (a definir con Finanzas) y clase muestra en grupo. Registro con canal "Escuela / aliado" y el nombre de la empresa.</t>
        </is>
      </c>
      <c r="G13" s="4" t="inlineStr">
        <is>
          <t>Empresas e instituciones de Villas de Pachuca y zonas cercanas (lista a construir).</t>
        </is>
      </c>
      <c r="H13" s="6">
        <v>46398</v>
      </c>
      <c r="I13" s="6">
        <v>46465</v>
      </c>
      <c r="J13" s="4" t="inlineStr">
        <is>
          <t>Coordinación comercial</t>
        </is>
      </c>
      <c r="K13" s="4" t="inlineStr">
        <is>
          <t>Marketing-Comercial; Dirección (convenio); Finanzas (beneficio)</t>
        </is>
      </c>
      <c r="L13" s="4" t="inlineStr">
        <is>
          <t>Presentación de una página, propuesta de convenio.</t>
        </is>
      </c>
      <c r="M13" s="7" t="inlineStr">
        <is>
          <t>Por definir</t>
        </is>
      </c>
      <c r="N13" s="4" t="inlineStr">
        <is>
          <t>Depende del beneficio que apruebe Finanzas.</t>
        </is>
      </c>
      <c r="O13" s="4" t="inlineStr">
        <is>
          <t>Propuesta: 2 convenios firmados en el trimestre.</t>
        </is>
      </c>
      <c r="P13" s="4" t="inlineStr">
        <is>
          <t>Convenios, prospectos, inscritos y activos a 60 días por convenio.</t>
        </is>
      </c>
      <c r="Q13" s="4" t="inlineStr">
        <is>
          <t>Check-in en semana 1 y 3 (los adultos tienen la mayor baja temprana).</t>
        </is>
      </c>
      <c r="R13" s="4" t="inlineStr">
        <is>
          <t>Prioridad baja a propósito: College cierra menos y en octubre concentró las 4 bajas tempranas. Primero hay que corregir la retención de adultos.</t>
        </is>
      </c>
      <c r="S13" s="9" t="inlineStr">
        <is>
          <t>Propuesta</t>
        </is>
      </c>
    </row>
    <row r="14" ht="150" customHeight="1">
      <c r="A14" s="5" t="inlineStr">
        <is>
          <t>E10</t>
        </is>
      </c>
      <c r="B14" s="10" t="inlineStr">
        <is>
          <t>Baja</t>
        </is>
      </c>
      <c r="C14" s="5" t="inlineStr">
        <is>
          <t>Segundo idioma y hermanos para familias actuales</t>
        </is>
      </c>
      <c r="D14" s="4" t="inlineStr">
        <is>
          <t>Subir el ingreso por familia con alumnos que ya confían en la academia.</t>
        </is>
      </c>
      <c r="E14" s="4" t="inlineStr">
        <is>
          <t>Familias activas; alumnos de inglés interesados en francés.</t>
        </is>
      </c>
      <c r="F14" s="4" t="inlineStr">
        <is>
          <t>Clase muestra de francés mensual para alumnos actuales, con confirmación; mensaje a familias con hijos aún no inscritos.</t>
        </is>
      </c>
      <c r="G14" s="4" t="inlineStr">
        <is>
          <t>Instalaciones de la academia.</t>
        </is>
      </c>
      <c r="H14" s="6">
        <v>46398</v>
      </c>
      <c r="I14" s="6">
        <v>46465</v>
      </c>
      <c r="J14" s="4" t="inlineStr">
        <is>
          <t>Coordinación comercial</t>
        </is>
      </c>
      <c r="K14" s="4" t="inlineStr">
        <is>
          <t>Marketing-Comercial; Académico; Finanzas (descuento de hermanos)</t>
        </is>
      </c>
      <c r="L14" s="4" t="inlineStr">
        <is>
          <t>Mensaje a tutores, horario de francés con cupo.</t>
        </is>
      </c>
      <c r="M14" s="7">
        <v>0</v>
      </c>
      <c r="N14" s="4" t="inlineStr">
        <is>
          <t>Sin costo adicional si se usa un grupo existente con lugar (Francés 1 tiene 6 alumnos).</t>
        </is>
      </c>
      <c r="O14" s="4" t="inlineStr">
        <is>
          <t>Propuesta: definir con el resultado de enero.</t>
        </is>
      </c>
      <c r="P14" s="4" t="inlineStr">
        <is>
          <t>Inscripciones de segundo idioma o hermanos.</t>
        </is>
      </c>
      <c r="Q14" s="4" t="inlineStr">
        <is>
          <t>Confirmar la CM; en octubre las 3 alumnas que pidieron muestra de francés no asistieron.</t>
        </is>
      </c>
      <c r="R14" s="4" t="inlineStr">
        <is>
          <t>En septiembre, 3 inscripciones de francés vinieron de alumnos existentes.</t>
        </is>
      </c>
      <c r="S14" s="9" t="inlineStr">
        <is>
          <t>Propuesta</t>
        </is>
      </c>
    </row>
  </sheetData>
  <autoFilter ref="A4:S14"/>
  <conditionalFormatting sqref="B5:B14">
    <cfRule type="expression" dxfId="0" priority="1">
      <formula>B5="Alta"</formula>
    </cfRule>
  </conditionalFormatting>
  <conditionalFormatting sqref="B5:B14">
    <cfRule type="expression" dxfId="1" priority="2">
      <formula>B5="Media"</formula>
    </cfRule>
  </conditionalFormatting>
  <conditionalFormatting sqref="S5:S14">
    <cfRule type="expression" dxfId="2" priority="3">
      <formula>OR(S5="Autorizada",S5="En ejecución")</formula>
    </cfRule>
  </conditionalFormatting>
  <dataValidations count="2">
    <dataValidation type="list" allowBlank="1" showErrorMessage="1" errorStyle="warning" errorTitle="Valor fuera de catálogo" error="Usa un valor de la lista para que el tablero lo cuente." sqref="S5:S24">
      <formula1>"Propuesta,Autorizada,En ejecución,Terminada,Descartada"</formula1>
    </dataValidation>
    <dataValidation type="list" allowBlank="1" showErrorMessage="1" errorStyle="warning" errorTitle="Valor fuera de catálogo" error="Usa un valor de la lista para que el tablero lo cuente." sqref="B5:B24">
      <formula1>"Alta,Media,Baja"</formula1>
    </dataValidation>
  </dataValidation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AD47"/>
  </sheetPr>
  <dimension ref="A1:N154"/>
  <sheetViews>
    <sheetView workbookViewId="0" zoomScale="100">
      <pane xSplit="2" ySplit="4" topLeftCell="C5" activePane="bottomRight" state="frozen"/>
      <selection pane="bottomRight" activeCell="C5" sqref="C5"/>
    </sheetView>
  </sheetViews>
  <sheetFormatPr defaultRowHeight="15"/>
  <cols>
    <col min="1" max="1" width="9" customWidth="1"/>
    <col min="2" max="2" width="11" customWidth="1"/>
    <col min="3" max="3" width="40" customWidth="1"/>
    <col min="4" max="4" width="26" customWidth="1"/>
    <col min="5" max="5" width="16" customWidth="1"/>
    <col min="6" max="6" width="12" customWidth="1"/>
    <col min="7" max="7" width="10" customWidth="1"/>
    <col min="8" max="8" width="11" customWidth="1"/>
    <col min="9" max="9" width="10" customWidth="1"/>
    <col min="10" max="10" width="10" customWidth="1"/>
    <col min="11" max="11" width="9" customWidth="1"/>
    <col min="12" max="12" width="11" customWidth="1"/>
    <col min="13" max="13" width="11" customWidth="1"/>
    <col min="14" max="14" width="36" customWidth="1"/>
  </cols>
  <sheetData>
    <row r="1">
      <c r="A1" s="1" t="inlineStr">
        <is>
          <t>Eventos y actividades con fecha</t>
        </is>
      </c>
    </row>
    <row r="2">
      <c r="A2" s="2" t="inlineStr">
        <is>
          <t>Una fila por actividad. El calendario marca con ● la semana de cada evento. Las columnas de resultados se llenan después de cada evento.</t>
        </is>
      </c>
    </row>
    <row r="4" ht="30" customHeight="1">
      <c r="A4" s="3" t="inlineStr">
        <is>
          <t>ID estrategia</t>
        </is>
      </c>
      <c r="B4" s="3" t="inlineStr">
        <is>
          <t>Fecha</t>
        </is>
      </c>
      <c r="C4" s="3" t="inlineStr">
        <is>
          <t>Actividad</t>
        </is>
      </c>
      <c r="D4" s="3" t="inlineStr">
        <is>
          <t>Lugar / aliado</t>
        </is>
      </c>
      <c r="E4" s="3" t="inlineStr">
        <is>
          <t>Responsable</t>
        </is>
      </c>
      <c r="F4" s="3" t="inlineStr">
        <is>
          <t>Estatus</t>
        </is>
      </c>
      <c r="G4" s="11" t="inlineStr">
        <is>
          <t>Contactos</t>
        </is>
      </c>
      <c r="H4" s="11" t="inlineStr">
        <is>
          <t>Contactos con teléfono</t>
        </is>
      </c>
      <c r="I4" s="11" t="inlineStr">
        <is>
          <t>CM agendadas</t>
        </is>
      </c>
      <c r="J4" s="11" t="inlineStr">
        <is>
          <t>CM realizadas</t>
        </is>
      </c>
      <c r="K4" s="11" t="inlineStr">
        <is>
          <t>Inscritos</t>
        </is>
      </c>
      <c r="L4" s="11" t="inlineStr">
        <is>
          <t>Costo real</t>
        </is>
      </c>
      <c r="M4" s="12" t="inlineStr">
        <is>
          <t>Costo por inscrito</t>
        </is>
      </c>
      <c r="N4" s="11" t="inlineStr">
        <is>
          <t>Notas</t>
        </is>
      </c>
    </row>
    <row r="5">
      <c r="A5" s="5" t="inlineStr">
        <is>
          <t>E1</t>
        </is>
      </c>
      <c r="B5" s="6">
        <v>46319</v>
      </c>
      <c r="C5" s="4" t="inlineStr">
        <is>
          <t>Llamadas de cierre a los 12 asistentes de octubre sin inscripción</t>
        </is>
      </c>
      <c r="D5" s="4" t="inlineStr">
        <is>
          <t>Academia</t>
        </is>
      </c>
      <c r="E5" s="4" t="inlineStr">
        <is>
          <t>Atención comercial</t>
        </is>
      </c>
      <c r="F5" s="9" t="inlineStr">
        <is>
          <t>Propuesta</t>
        </is>
      </c>
      <c r="G5" s="13"/>
      <c r="H5" s="13"/>
      <c r="I5" s="13"/>
      <c r="J5" s="13"/>
      <c r="K5" s="13"/>
      <c r="L5" s="14"/>
      <c r="M5" s="15" t="str">
        <f>IF(OR(K5="",K5=0),"",L5/K5)</f>
        <v/>
      </c>
      <c r="N5" s="4"/>
    </row>
    <row r="6">
      <c r="A6" s="5" t="inlineStr">
        <is>
          <t>E1</t>
        </is>
      </c>
      <c r="B6" s="6">
        <v>46322</v>
      </c>
      <c r="C6" s="4" t="inlineStr">
        <is>
          <t>Reactivación de prospectos "por cerrar" de septiembre</t>
        </is>
      </c>
      <c r="D6" s="4" t="inlineStr">
        <is>
          <t>Academia</t>
        </is>
      </c>
      <c r="E6" s="4" t="inlineStr">
        <is>
          <t>Atención comercial</t>
        </is>
      </c>
      <c r="F6" s="9" t="inlineStr">
        <is>
          <t>Propuesta</t>
        </is>
      </c>
      <c r="G6" s="13"/>
      <c r="H6" s="13"/>
      <c r="I6" s="13"/>
      <c r="J6" s="13"/>
      <c r="K6" s="13"/>
      <c r="L6" s="14"/>
      <c r="M6" s="15" t="str">
        <f>IF(OR(K6="",K6=0),"",L6/K6)</f>
        <v/>
      </c>
      <c r="N6" s="4"/>
    </row>
    <row r="7">
      <c r="A7" s="5" t="inlineStr">
        <is>
          <t>E3</t>
        </is>
      </c>
      <c r="B7" s="6">
        <v>46323</v>
      </c>
      <c r="C7" s="4" t="inlineStr">
        <is>
          <t>Contacto con direcciones de escuelas con antecedente</t>
        </is>
      </c>
      <c r="D7" s="4" t="inlineStr">
        <is>
          <t>Escuelas con antecedente</t>
        </is>
      </c>
      <c r="E7" s="4" t="inlineStr">
        <is>
          <t>Coordinación comercial</t>
        </is>
      </c>
      <c r="F7" s="9" t="inlineStr">
        <is>
          <t>Propuesta</t>
        </is>
      </c>
      <c r="G7" s="13"/>
      <c r="H7" s="13"/>
      <c r="I7" s="13"/>
      <c r="J7" s="13"/>
      <c r="K7" s="13"/>
      <c r="L7" s="14"/>
      <c r="M7" s="15" t="str">
        <f>IF(OR(K7="",K7=0),"",L7/K7)</f>
        <v/>
      </c>
      <c r="N7" s="4"/>
    </row>
    <row r="8">
      <c r="A8" s="5" t="inlineStr">
        <is>
          <t>E6</t>
        </is>
      </c>
      <c r="B8" s="6">
        <v>46328</v>
      </c>
      <c r="C8" s="4" t="inlineStr">
        <is>
          <t>Diseño y cotización de lona/letrero con horarios con cupo</t>
        </is>
      </c>
      <c r="D8" s="4" t="inlineStr">
        <is>
          <t>Fachada</t>
        </is>
      </c>
      <c r="E8" s="4" t="inlineStr">
        <is>
          <t>Publicidad-Diseño</t>
        </is>
      </c>
      <c r="F8" s="9" t="inlineStr">
        <is>
          <t>Propuesta</t>
        </is>
      </c>
      <c r="G8" s="13"/>
      <c r="H8" s="13"/>
      <c r="I8" s="13"/>
      <c r="J8" s="13"/>
      <c r="K8" s="13"/>
      <c r="L8" s="14"/>
      <c r="M8" s="15" t="str">
        <f>IF(OR(K8="",K8=0),"",L8/K8)</f>
        <v/>
      </c>
      <c r="N8" s="4"/>
    </row>
    <row r="9">
      <c r="A9" s="5" t="inlineStr">
        <is>
          <t>E7</t>
        </is>
      </c>
      <c r="B9" s="6">
        <v>46330</v>
      </c>
      <c r="C9" s="4" t="inlineStr">
        <is>
          <t>Primera salida de promoción en calle con registro</t>
        </is>
      </c>
      <c r="D9" s="4" t="inlineStr">
        <is>
          <t>Por definir</t>
        </is>
      </c>
      <c r="E9" s="4" t="inlineStr">
        <is>
          <t>Atención comercial</t>
        </is>
      </c>
      <c r="F9" s="9" t="inlineStr">
        <is>
          <t>Propuesta</t>
        </is>
      </c>
      <c r="G9" s="13"/>
      <c r="H9" s="13"/>
      <c r="I9" s="13"/>
      <c r="J9" s="13"/>
      <c r="K9" s="13"/>
      <c r="L9" s="14"/>
      <c r="M9" s="15" t="str">
        <f>IF(OR(K9="",K9=0),"",L9/K9)</f>
        <v/>
      </c>
      <c r="N9" s="4"/>
    </row>
    <row r="10">
      <c r="A10" s="5" t="inlineStr">
        <is>
          <t>E2</t>
        </is>
      </c>
      <c r="B10" s="6">
        <v>46335</v>
      </c>
      <c r="C10" s="4" t="inlineStr">
        <is>
          <t>Lanzamiento del programa de recomendación (mensaje a tutores)</t>
        </is>
      </c>
      <c r="D10" s="4" t="inlineStr">
        <is>
          <t>Academia / WhatsApp</t>
        </is>
      </c>
      <c r="E10" s="4" t="inlineStr">
        <is>
          <t>Coordinación comercial</t>
        </is>
      </c>
      <c r="F10" s="9" t="inlineStr">
        <is>
          <t>Propuesta</t>
        </is>
      </c>
      <c r="G10" s="13"/>
      <c r="H10" s="13"/>
      <c r="I10" s="13"/>
      <c r="J10" s="13"/>
      <c r="K10" s="13"/>
      <c r="L10" s="14"/>
      <c r="M10" s="15" t="str">
        <f>IF(OR(K10="",K10=0),"",L10/K10)</f>
        <v/>
      </c>
      <c r="N10" s="4"/>
    </row>
    <row r="11">
      <c r="A11" s="5" t="inlineStr">
        <is>
          <t>E3</t>
        </is>
      </c>
      <c r="B11" s="6">
        <v>46344</v>
      </c>
      <c r="C11" s="4" t="inlineStr">
        <is>
          <t>Taller en escuela 1</t>
        </is>
      </c>
      <c r="D11" s="4" t="inlineStr">
        <is>
          <t>Por confirmar</t>
        </is>
      </c>
      <c r="E11" s="4" t="inlineStr">
        <is>
          <t>Coordinación comercial</t>
        </is>
      </c>
      <c r="F11" s="9" t="inlineStr">
        <is>
          <t>Propuesta</t>
        </is>
      </c>
      <c r="G11" s="13"/>
      <c r="H11" s="13"/>
      <c r="I11" s="13"/>
      <c r="J11" s="13"/>
      <c r="K11" s="13"/>
      <c r="L11" s="14"/>
      <c r="M11" s="15" t="str">
        <f>IF(OR(K11="",K11=0),"",L11/K11)</f>
        <v/>
      </c>
      <c r="N11" s="4"/>
    </row>
    <row r="12">
      <c r="A12" s="5" t="inlineStr">
        <is>
          <t>E8</t>
        </is>
      </c>
      <c r="B12" s="6">
        <v>46346</v>
      </c>
      <c r="C12" s="4" t="inlineStr">
        <is>
          <t>Decisión sobre curso de invierno</t>
        </is>
      </c>
      <c r="D12" s="4" t="inlineStr">
        <is>
          <t>Dirección</t>
        </is>
      </c>
      <c r="E12" s="4" t="inlineStr">
        <is>
          <t>Dirección</t>
        </is>
      </c>
      <c r="F12" s="9" t="inlineStr">
        <is>
          <t>Propuesta</t>
        </is>
      </c>
      <c r="G12" s="13"/>
      <c r="H12" s="13"/>
      <c r="I12" s="13"/>
      <c r="J12" s="13"/>
      <c r="K12" s="13"/>
      <c r="L12" s="14"/>
      <c r="M12" s="15" t="str">
        <f>IF(OR(K12="",K12=0),"",L12/K12)</f>
        <v/>
      </c>
      <c r="N12" s="4"/>
    </row>
    <row r="13">
      <c r="A13" s="5" t="inlineStr">
        <is>
          <t>E5</t>
        </is>
      </c>
      <c r="B13" s="6">
        <v>46347</v>
      </c>
      <c r="C13" s="4" t="inlineStr">
        <is>
          <t>Clase abierta de sábado</t>
        </is>
      </c>
      <c r="D13" s="4" t="inlineStr">
        <is>
          <t>Academia</t>
        </is>
      </c>
      <c r="E13" s="4" t="inlineStr">
        <is>
          <t>Coordinación comercial</t>
        </is>
      </c>
      <c r="F13" s="9" t="inlineStr">
        <is>
          <t>Propuesta</t>
        </is>
      </c>
      <c r="G13" s="13"/>
      <c r="H13" s="13"/>
      <c r="I13" s="13"/>
      <c r="J13" s="13"/>
      <c r="K13" s="13"/>
      <c r="L13" s="14"/>
      <c r="M13" s="15" t="str">
        <f>IF(OR(K13="",K13=0),"",L13/K13)</f>
        <v/>
      </c>
      <c r="N13" s="4"/>
    </row>
    <row r="14">
      <c r="A14" s="5" t="inlineStr">
        <is>
          <t>E4</t>
        </is>
      </c>
      <c r="B14" s="6">
        <v>46357</v>
      </c>
      <c r="C14" s="4" t="inlineStr">
        <is>
          <t>Inicio de llamadas a bajas temporales y exalumnos</t>
        </is>
      </c>
      <c r="D14" s="4" t="inlineStr">
        <is>
          <t>Academia</t>
        </is>
      </c>
      <c r="E14" s="4" t="inlineStr">
        <is>
          <t>Atención comercial</t>
        </is>
      </c>
      <c r="F14" s="9" t="inlineStr">
        <is>
          <t>Propuesta</t>
        </is>
      </c>
      <c r="G14" s="13"/>
      <c r="H14" s="13"/>
      <c r="I14" s="13"/>
      <c r="J14" s="13"/>
      <c r="K14" s="13"/>
      <c r="L14" s="14"/>
      <c r="M14" s="15" t="str">
        <f>IF(OR(K14="",K14=0),"",L14/K14)</f>
        <v/>
      </c>
      <c r="N14" s="4"/>
    </row>
    <row r="15">
      <c r="A15" s="5" t="inlineStr">
        <is>
          <t>E5</t>
        </is>
      </c>
      <c r="B15" s="6">
        <v>46361</v>
      </c>
      <c r="C15" s="4" t="inlineStr">
        <is>
          <t>Clase abierta de sábado</t>
        </is>
      </c>
      <c r="D15" s="4" t="inlineStr">
        <is>
          <t>Academia</t>
        </is>
      </c>
      <c r="E15" s="4" t="inlineStr">
        <is>
          <t>Coordinación comercial</t>
        </is>
      </c>
      <c r="F15" s="9" t="inlineStr">
        <is>
          <t>Propuesta</t>
        </is>
      </c>
      <c r="G15" s="13"/>
      <c r="H15" s="13"/>
      <c r="I15" s="13"/>
      <c r="J15" s="13"/>
      <c r="K15" s="13"/>
      <c r="L15" s="14"/>
      <c r="M15" s="15" t="str">
        <f>IF(OR(K15="",K15=0),"",L15/K15)</f>
        <v/>
      </c>
      <c r="N15" s="4"/>
    </row>
    <row r="16">
      <c r="A16" s="5" t="inlineStr">
        <is>
          <t>E3</t>
        </is>
      </c>
      <c r="B16" s="6">
        <v>46365</v>
      </c>
      <c r="C16" s="4" t="inlineStr">
        <is>
          <t>Taller en escuela 2</t>
        </is>
      </c>
      <c r="D16" s="4" t="inlineStr">
        <is>
          <t>Por confirmar</t>
        </is>
      </c>
      <c r="E16" s="4" t="inlineStr">
        <is>
          <t>Coordinación comercial</t>
        </is>
      </c>
      <c r="F16" s="9" t="inlineStr">
        <is>
          <t>Propuesta</t>
        </is>
      </c>
      <c r="G16" s="13"/>
      <c r="H16" s="13"/>
      <c r="I16" s="13"/>
      <c r="J16" s="13"/>
      <c r="K16" s="13"/>
      <c r="L16" s="14"/>
      <c r="M16" s="15" t="str">
        <f>IF(OR(K16="",K16=0),"",L16/K16)</f>
        <v/>
      </c>
      <c r="N16" s="4"/>
    </row>
    <row r="17">
      <c r="A17" s="5" t="inlineStr">
        <is>
          <t>E8</t>
        </is>
      </c>
      <c r="B17" s="6">
        <v>46377</v>
      </c>
      <c r="C17" s="4" t="inlineStr">
        <is>
          <t>Curso de invierno (si se aprueba)</t>
        </is>
      </c>
      <c r="D17" s="4" t="inlineStr">
        <is>
          <t>Academia</t>
        </is>
      </c>
      <c r="E17" s="4" t="inlineStr">
        <is>
          <t>Dirección</t>
        </is>
      </c>
      <c r="F17" s="9" t="inlineStr">
        <is>
          <t>Propuesta</t>
        </is>
      </c>
      <c r="G17" s="13"/>
      <c r="H17" s="13"/>
      <c r="I17" s="13"/>
      <c r="J17" s="13"/>
      <c r="K17" s="13"/>
      <c r="L17" s="14"/>
      <c r="M17" s="15" t="str">
        <f>IF(OR(K17="",K17=0),"",L17/K17)</f>
        <v/>
      </c>
      <c r="N17" s="4"/>
    </row>
    <row r="18">
      <c r="A18" s="5" t="inlineStr">
        <is>
          <t>E10</t>
        </is>
      </c>
      <c r="B18" s="6">
        <v>46398</v>
      </c>
      <c r="C18" s="4" t="inlineStr">
        <is>
          <t>Mensaje a familias activas: segundo idioma y hermanos</t>
        </is>
      </c>
      <c r="D18" s="4" t="inlineStr">
        <is>
          <t>Academia / WhatsApp</t>
        </is>
      </c>
      <c r="E18" s="4" t="inlineStr">
        <is>
          <t>Coordinación comercial</t>
        </is>
      </c>
      <c r="F18" s="9" t="inlineStr">
        <is>
          <t>Propuesta</t>
        </is>
      </c>
      <c r="G18" s="13"/>
      <c r="H18" s="13"/>
      <c r="I18" s="13"/>
      <c r="J18" s="13"/>
      <c r="K18" s="13"/>
      <c r="L18" s="14"/>
      <c r="M18" s="15" t="str">
        <f>IF(OR(K18="",K18=0),"",L18/K18)</f>
        <v/>
      </c>
      <c r="N18" s="4"/>
    </row>
    <row r="19">
      <c r="A19" s="5" t="inlineStr">
        <is>
          <t>E9</t>
        </is>
      </c>
      <c r="B19" s="6">
        <v>46400</v>
      </c>
      <c r="C19" s="4" t="inlineStr">
        <is>
          <t>Visitas a empresas e instituciones (primera ronda)</t>
        </is>
      </c>
      <c r="D19" s="4" t="inlineStr">
        <is>
          <t>Por definir</t>
        </is>
      </c>
      <c r="E19" s="4" t="inlineStr">
        <is>
          <t>Coordinación comercial</t>
        </is>
      </c>
      <c r="F19" s="9" t="inlineStr">
        <is>
          <t>Propuesta</t>
        </is>
      </c>
      <c r="G19" s="13"/>
      <c r="H19" s="13"/>
      <c r="I19" s="13"/>
      <c r="J19" s="13"/>
      <c r="K19" s="13"/>
      <c r="L19" s="14"/>
      <c r="M19" s="15" t="str">
        <f>IF(OR(K19="",K19=0),"",L19/K19)</f>
        <v/>
      </c>
      <c r="N19" s="4"/>
    </row>
    <row r="20">
      <c r="A20" s="5" t="inlineStr">
        <is>
          <t>E5</t>
        </is>
      </c>
      <c r="B20" s="6">
        <v>46403</v>
      </c>
      <c r="C20" s="4" t="inlineStr">
        <is>
          <t>Clase abierta de sábado</t>
        </is>
      </c>
      <c r="D20" s="4" t="inlineStr">
        <is>
          <t>Academia</t>
        </is>
      </c>
      <c r="E20" s="4" t="inlineStr">
        <is>
          <t>Coordinación comercial</t>
        </is>
      </c>
      <c r="F20" s="9" t="inlineStr">
        <is>
          <t>Propuesta</t>
        </is>
      </c>
      <c r="G20" s="13"/>
      <c r="H20" s="13"/>
      <c r="I20" s="13"/>
      <c r="J20" s="13"/>
      <c r="K20" s="13"/>
      <c r="L20" s="14"/>
      <c r="M20" s="15" t="str">
        <f>IF(OR(K20="",K20=0),"",L20/K20)</f>
        <v/>
      </c>
      <c r="N20" s="4"/>
    </row>
    <row r="21">
      <c r="A21" s="5" t="inlineStr">
        <is>
          <t>E3</t>
        </is>
      </c>
      <c r="B21" s="6">
        <v>46414</v>
      </c>
      <c r="C21" s="4" t="inlineStr">
        <is>
          <t>Taller en escuela 3</t>
        </is>
      </c>
      <c r="D21" s="4" t="inlineStr">
        <is>
          <t>Por confirmar</t>
        </is>
      </c>
      <c r="E21" s="4" t="inlineStr">
        <is>
          <t>Coordinación comercial</t>
        </is>
      </c>
      <c r="F21" s="9" t="inlineStr">
        <is>
          <t>Propuesta</t>
        </is>
      </c>
      <c r="G21" s="13"/>
      <c r="H21" s="13"/>
      <c r="I21" s="13"/>
      <c r="J21" s="13"/>
      <c r="K21" s="13"/>
      <c r="L21" s="14"/>
      <c r="M21" s="15" t="str">
        <f>IF(OR(K21="",K21=0),"",L21/K21)</f>
        <v/>
      </c>
      <c r="N21" s="4"/>
    </row>
    <row r="22">
      <c r="A22" s="5" t="inlineStr">
        <is>
          <t>E5</t>
        </is>
      </c>
      <c r="B22" s="6">
        <v>46438</v>
      </c>
      <c r="C22" s="4" t="inlineStr">
        <is>
          <t>Clase abierta de sábado</t>
        </is>
      </c>
      <c r="D22" s="4" t="inlineStr">
        <is>
          <t>Academia</t>
        </is>
      </c>
      <c r="E22" s="4" t="inlineStr">
        <is>
          <t>Coordinación comercial</t>
        </is>
      </c>
      <c r="F22" s="9" t="inlineStr">
        <is>
          <t>Propuesta</t>
        </is>
      </c>
      <c r="G22" s="13"/>
      <c r="H22" s="13"/>
      <c r="I22" s="13"/>
      <c r="J22" s="13"/>
      <c r="K22" s="13"/>
      <c r="L22" s="14"/>
      <c r="M22" s="15" t="str">
        <f>IF(OR(K22="",K22=0),"",L22/K22)</f>
        <v/>
      </c>
      <c r="N22" s="4"/>
    </row>
    <row r="23">
      <c r="A23" s="5" t="inlineStr">
        <is>
          <t>E3</t>
        </is>
      </c>
      <c r="B23" s="6">
        <v>46442</v>
      </c>
      <c r="C23" s="4" t="inlineStr">
        <is>
          <t>Taller en escuela 4</t>
        </is>
      </c>
      <c r="D23" s="4" t="inlineStr">
        <is>
          <t>Por confirmar</t>
        </is>
      </c>
      <c r="E23" s="4" t="inlineStr">
        <is>
          <t>Coordinación comercial</t>
        </is>
      </c>
      <c r="F23" s="9" t="inlineStr">
        <is>
          <t>Propuesta</t>
        </is>
      </c>
      <c r="G23" s="13"/>
      <c r="H23" s="13"/>
      <c r="I23" s="13"/>
      <c r="J23" s="13"/>
      <c r="K23" s="13"/>
      <c r="L23" s="14"/>
      <c r="M23" s="15" t="str">
        <f>IF(OR(K23="",K23=0),"",L23/K23)</f>
        <v/>
      </c>
      <c r="N23" s="4"/>
    </row>
    <row r="24">
      <c r="A24" s="5" t="inlineStr">
        <is>
          <t>E5</t>
        </is>
      </c>
      <c r="B24" s="6">
        <v>46459</v>
      </c>
      <c r="C24" s="4" t="inlineStr">
        <is>
          <t>Clase abierta de sábado</t>
        </is>
      </c>
      <c r="D24" s="4" t="inlineStr">
        <is>
          <t>Academia</t>
        </is>
      </c>
      <c r="E24" s="4" t="inlineStr">
        <is>
          <t>Coordinación comercial</t>
        </is>
      </c>
      <c r="F24" s="9" t="inlineStr">
        <is>
          <t>Propuesta</t>
        </is>
      </c>
      <c r="G24" s="13"/>
      <c r="H24" s="13"/>
      <c r="I24" s="13"/>
      <c r="J24" s="13"/>
      <c r="K24" s="13"/>
      <c r="L24" s="14"/>
      <c r="M24" s="15" t="str">
        <f>IF(OR(K24="",K24=0),"",L24/K24)</f>
        <v/>
      </c>
      <c r="N24" s="4"/>
    </row>
    <row r="25">
      <c r="A25" s="5"/>
      <c r="B25" s="6"/>
      <c r="C25" s="4"/>
      <c r="D25" s="4"/>
      <c r="E25" s="4"/>
      <c r="F25" s="4"/>
      <c r="G25" s="13"/>
      <c r="H25" s="13"/>
      <c r="I25" s="13"/>
      <c r="J25" s="13"/>
      <c r="K25" s="13"/>
      <c r="L25" s="14"/>
      <c r="M25" s="15" t="str">
        <f>IF(OR(K25="",K25=0),"",L25/K25)</f>
        <v/>
      </c>
      <c r="N25" s="4"/>
    </row>
    <row r="26">
      <c r="A26" s="5"/>
      <c r="B26" s="6"/>
      <c r="C26" s="4"/>
      <c r="D26" s="4"/>
      <c r="E26" s="4"/>
      <c r="F26" s="4"/>
      <c r="G26" s="13"/>
      <c r="H26" s="13"/>
      <c r="I26" s="13"/>
      <c r="J26" s="13"/>
      <c r="K26" s="13"/>
      <c r="L26" s="14"/>
      <c r="M26" s="15" t="str">
        <f>IF(OR(K26="",K26=0),"",L26/K26)</f>
        <v/>
      </c>
      <c r="N26" s="4"/>
    </row>
    <row r="27">
      <c r="A27" s="5"/>
      <c r="B27" s="6"/>
      <c r="C27" s="4"/>
      <c r="D27" s="4"/>
      <c r="E27" s="4"/>
      <c r="F27" s="4"/>
      <c r="G27" s="13"/>
      <c r="H27" s="13"/>
      <c r="I27" s="13"/>
      <c r="J27" s="13"/>
      <c r="K27" s="13"/>
      <c r="L27" s="14"/>
      <c r="M27" s="15" t="str">
        <f>IF(OR(K27="",K27=0),"",L27/K27)</f>
        <v/>
      </c>
      <c r="N27" s="4"/>
    </row>
    <row r="28">
      <c r="A28" s="5"/>
      <c r="B28" s="6"/>
      <c r="C28" s="4"/>
      <c r="D28" s="4"/>
      <c r="E28" s="4"/>
      <c r="F28" s="4"/>
      <c r="G28" s="13"/>
      <c r="H28" s="13"/>
      <c r="I28" s="13"/>
      <c r="J28" s="13"/>
      <c r="K28" s="13"/>
      <c r="L28" s="14"/>
      <c r="M28" s="15" t="str">
        <f>IF(OR(K28="",K28=0),"",L28/K28)</f>
        <v/>
      </c>
      <c r="N28" s="4"/>
    </row>
    <row r="29">
      <c r="A29" s="5"/>
      <c r="B29" s="6"/>
      <c r="C29" s="4"/>
      <c r="D29" s="4"/>
      <c r="E29" s="4"/>
      <c r="F29" s="4"/>
      <c r="G29" s="13"/>
      <c r="H29" s="13"/>
      <c r="I29" s="13"/>
      <c r="J29" s="13"/>
      <c r="K29" s="13"/>
      <c r="L29" s="14"/>
      <c r="M29" s="15" t="str">
        <f>IF(OR(K29="",K29=0),"",L29/K29)</f>
        <v/>
      </c>
      <c r="N29" s="4"/>
    </row>
    <row r="30">
      <c r="A30" s="5"/>
      <c r="B30" s="6"/>
      <c r="C30" s="4"/>
      <c r="D30" s="4"/>
      <c r="E30" s="4"/>
      <c r="F30" s="4"/>
      <c r="G30" s="13"/>
      <c r="H30" s="13"/>
      <c r="I30" s="13"/>
      <c r="J30" s="13"/>
      <c r="K30" s="13"/>
      <c r="L30" s="14"/>
      <c r="M30" s="15" t="str">
        <f>IF(OR(K30="",K30=0),"",L30/K30)</f>
        <v/>
      </c>
      <c r="N30" s="4"/>
    </row>
    <row r="31">
      <c r="A31" s="5"/>
      <c r="B31" s="6"/>
      <c r="C31" s="4"/>
      <c r="D31" s="4"/>
      <c r="E31" s="4"/>
      <c r="F31" s="4"/>
      <c r="G31" s="13"/>
      <c r="H31" s="13"/>
      <c r="I31" s="13"/>
      <c r="J31" s="13"/>
      <c r="K31" s="13"/>
      <c r="L31" s="14"/>
      <c r="M31" s="15" t="str">
        <f>IF(OR(K31="",K31=0),"",L31/K31)</f>
        <v/>
      </c>
      <c r="N31" s="4"/>
    </row>
    <row r="32">
      <c r="A32" s="5"/>
      <c r="B32" s="6"/>
      <c r="C32" s="4"/>
      <c r="D32" s="4"/>
      <c r="E32" s="4"/>
      <c r="F32" s="4"/>
      <c r="G32" s="13"/>
      <c r="H32" s="13"/>
      <c r="I32" s="13"/>
      <c r="J32" s="13"/>
      <c r="K32" s="13"/>
      <c r="L32" s="14"/>
      <c r="M32" s="15" t="str">
        <f>IF(OR(K32="",K32=0),"",L32/K32)</f>
        <v/>
      </c>
      <c r="N32" s="4"/>
    </row>
    <row r="33">
      <c r="A33" s="5"/>
      <c r="B33" s="6"/>
      <c r="C33" s="4"/>
      <c r="D33" s="4"/>
      <c r="E33" s="4"/>
      <c r="F33" s="4"/>
      <c r="G33" s="13"/>
      <c r="H33" s="13"/>
      <c r="I33" s="13"/>
      <c r="J33" s="13"/>
      <c r="K33" s="13"/>
      <c r="L33" s="14"/>
      <c r="M33" s="15" t="str">
        <f>IF(OR(K33="",K33=0),"",L33/K33)</f>
        <v/>
      </c>
      <c r="N33" s="4"/>
    </row>
    <row r="34">
      <c r="A34" s="5"/>
      <c r="B34" s="6"/>
      <c r="C34" s="4"/>
      <c r="D34" s="4"/>
      <c r="E34" s="4"/>
      <c r="F34" s="4"/>
      <c r="G34" s="13"/>
      <c r="H34" s="13"/>
      <c r="I34" s="13"/>
      <c r="J34" s="13"/>
      <c r="K34" s="13"/>
      <c r="L34" s="14"/>
      <c r="M34" s="15" t="str">
        <f>IF(OR(K34="",K34=0),"",L34/K34)</f>
        <v/>
      </c>
      <c r="N34" s="4"/>
    </row>
    <row r="35">
      <c r="A35" s="5"/>
      <c r="B35" s="6"/>
      <c r="C35" s="4"/>
      <c r="D35" s="4"/>
      <c r="E35" s="4"/>
      <c r="F35" s="4"/>
      <c r="G35" s="13"/>
      <c r="H35" s="13"/>
      <c r="I35" s="13"/>
      <c r="J35" s="13"/>
      <c r="K35" s="13"/>
      <c r="L35" s="14"/>
      <c r="M35" s="15" t="str">
        <f>IF(OR(K35="",K35=0),"",L35/K35)</f>
        <v/>
      </c>
      <c r="N35" s="4"/>
    </row>
    <row r="36">
      <c r="A36" s="5"/>
      <c r="B36" s="6"/>
      <c r="C36" s="4"/>
      <c r="D36" s="4"/>
      <c r="E36" s="4"/>
      <c r="F36" s="4"/>
      <c r="G36" s="13"/>
      <c r="H36" s="13"/>
      <c r="I36" s="13"/>
      <c r="J36" s="13"/>
      <c r="K36" s="13"/>
      <c r="L36" s="14"/>
      <c r="M36" s="15" t="str">
        <f>IF(OR(K36="",K36=0),"",L36/K36)</f>
        <v/>
      </c>
      <c r="N36" s="4"/>
    </row>
    <row r="37">
      <c r="A37" s="5"/>
      <c r="B37" s="6"/>
      <c r="C37" s="4"/>
      <c r="D37" s="4"/>
      <c r="E37" s="4"/>
      <c r="F37" s="4"/>
      <c r="G37" s="13"/>
      <c r="H37" s="13"/>
      <c r="I37" s="13"/>
      <c r="J37" s="13"/>
      <c r="K37" s="13"/>
      <c r="L37" s="14"/>
      <c r="M37" s="15" t="str">
        <f>IF(OR(K37="",K37=0),"",L37/K37)</f>
        <v/>
      </c>
      <c r="N37" s="4"/>
    </row>
    <row r="38">
      <c r="A38" s="5"/>
      <c r="B38" s="6"/>
      <c r="C38" s="4"/>
      <c r="D38" s="4"/>
      <c r="E38" s="4"/>
      <c r="F38" s="4"/>
      <c r="G38" s="13"/>
      <c r="H38" s="13"/>
      <c r="I38" s="13"/>
      <c r="J38" s="13"/>
      <c r="K38" s="13"/>
      <c r="L38" s="14"/>
      <c r="M38" s="15" t="str">
        <f>IF(OR(K38="",K38=0),"",L38/K38)</f>
        <v/>
      </c>
      <c r="N38" s="4"/>
    </row>
    <row r="39">
      <c r="A39" s="5"/>
      <c r="B39" s="6"/>
      <c r="C39" s="4"/>
      <c r="D39" s="4"/>
      <c r="E39" s="4"/>
      <c r="F39" s="4"/>
      <c r="G39" s="13"/>
      <c r="H39" s="13"/>
      <c r="I39" s="13"/>
      <c r="J39" s="13"/>
      <c r="K39" s="13"/>
      <c r="L39" s="14"/>
      <c r="M39" s="15" t="str">
        <f>IF(OR(K39="",K39=0),"",L39/K39)</f>
        <v/>
      </c>
      <c r="N39" s="4"/>
    </row>
    <row r="40">
      <c r="A40" s="5"/>
      <c r="B40" s="6"/>
      <c r="C40" s="4"/>
      <c r="D40" s="4"/>
      <c r="E40" s="4"/>
      <c r="F40" s="4"/>
      <c r="G40" s="13"/>
      <c r="H40" s="13"/>
      <c r="I40" s="13"/>
      <c r="J40" s="13"/>
      <c r="K40" s="13"/>
      <c r="L40" s="14"/>
      <c r="M40" s="15" t="str">
        <f>IF(OR(K40="",K40=0),"",L40/K40)</f>
        <v/>
      </c>
      <c r="N40" s="4"/>
    </row>
    <row r="41">
      <c r="A41" s="5"/>
      <c r="B41" s="6"/>
      <c r="C41" s="4"/>
      <c r="D41" s="4"/>
      <c r="E41" s="4"/>
      <c r="F41" s="4"/>
      <c r="G41" s="13"/>
      <c r="H41" s="13"/>
      <c r="I41" s="13"/>
      <c r="J41" s="13"/>
      <c r="K41" s="13"/>
      <c r="L41" s="14"/>
      <c r="M41" s="15" t="str">
        <f>IF(OR(K41="",K41=0),"",L41/K41)</f>
        <v/>
      </c>
      <c r="N41" s="4"/>
    </row>
    <row r="42">
      <c r="A42" s="5"/>
      <c r="B42" s="6"/>
      <c r="C42" s="4"/>
      <c r="D42" s="4"/>
      <c r="E42" s="4"/>
      <c r="F42" s="4"/>
      <c r="G42" s="13"/>
      <c r="H42" s="13"/>
      <c r="I42" s="13"/>
      <c r="J42" s="13"/>
      <c r="K42" s="13"/>
      <c r="L42" s="14"/>
      <c r="M42" s="15" t="str">
        <f>IF(OR(K42="",K42=0),"",L42/K42)</f>
        <v/>
      </c>
      <c r="N42" s="4"/>
    </row>
    <row r="43">
      <c r="A43" s="5"/>
      <c r="B43" s="6"/>
      <c r="C43" s="4"/>
      <c r="D43" s="4"/>
      <c r="E43" s="4"/>
      <c r="F43" s="4"/>
      <c r="G43" s="13"/>
      <c r="H43" s="13"/>
      <c r="I43" s="13"/>
      <c r="J43" s="13"/>
      <c r="K43" s="13"/>
      <c r="L43" s="14"/>
      <c r="M43" s="15" t="str">
        <f>IF(OR(K43="",K43=0),"",L43/K43)</f>
        <v/>
      </c>
      <c r="N43" s="4"/>
    </row>
    <row r="44">
      <c r="A44" s="5"/>
      <c r="B44" s="6"/>
      <c r="C44" s="4"/>
      <c r="D44" s="4"/>
      <c r="E44" s="4"/>
      <c r="F44" s="4"/>
      <c r="G44" s="13"/>
      <c r="H44" s="13"/>
      <c r="I44" s="13"/>
      <c r="J44" s="13"/>
      <c r="K44" s="13"/>
      <c r="L44" s="14"/>
      <c r="M44" s="15" t="str">
        <f>IF(OR(K44="",K44=0),"",L44/K44)</f>
        <v/>
      </c>
      <c r="N44" s="4"/>
    </row>
    <row r="45">
      <c r="A45" s="5"/>
      <c r="B45" s="6"/>
      <c r="C45" s="4"/>
      <c r="D45" s="4"/>
      <c r="E45" s="4"/>
      <c r="F45" s="4"/>
      <c r="G45" s="13"/>
      <c r="H45" s="13"/>
      <c r="I45" s="13"/>
      <c r="J45" s="13"/>
      <c r="K45" s="13"/>
      <c r="L45" s="14"/>
      <c r="M45" s="15" t="str">
        <f>IF(OR(K45="",K45=0),"",L45/K45)</f>
        <v/>
      </c>
      <c r="N45" s="4"/>
    </row>
    <row r="46">
      <c r="A46" s="5"/>
      <c r="B46" s="6"/>
      <c r="C46" s="4"/>
      <c r="D46" s="4"/>
      <c r="E46" s="4"/>
      <c r="F46" s="4"/>
      <c r="G46" s="13"/>
      <c r="H46" s="13"/>
      <c r="I46" s="13"/>
      <c r="J46" s="13"/>
      <c r="K46" s="13"/>
      <c r="L46" s="14"/>
      <c r="M46" s="15" t="str">
        <f>IF(OR(K46="",K46=0),"",L46/K46)</f>
        <v/>
      </c>
      <c r="N46" s="4"/>
    </row>
    <row r="47">
      <c r="A47" s="5"/>
      <c r="B47" s="6"/>
      <c r="C47" s="4"/>
      <c r="D47" s="4"/>
      <c r="E47" s="4"/>
      <c r="F47" s="4"/>
      <c r="G47" s="13"/>
      <c r="H47" s="13"/>
      <c r="I47" s="13"/>
      <c r="J47" s="13"/>
      <c r="K47" s="13"/>
      <c r="L47" s="14"/>
      <c r="M47" s="15" t="str">
        <f>IF(OR(K47="",K47=0),"",L47/K47)</f>
        <v/>
      </c>
      <c r="N47" s="4"/>
    </row>
    <row r="48">
      <c r="A48" s="5"/>
      <c r="B48" s="6"/>
      <c r="C48" s="4"/>
      <c r="D48" s="4"/>
      <c r="E48" s="4"/>
      <c r="F48" s="4"/>
      <c r="G48" s="13"/>
      <c r="H48" s="13"/>
      <c r="I48" s="13"/>
      <c r="J48" s="13"/>
      <c r="K48" s="13"/>
      <c r="L48" s="14"/>
      <c r="M48" s="15" t="str">
        <f>IF(OR(K48="",K48=0),"",L48/K48)</f>
        <v/>
      </c>
      <c r="N48" s="4"/>
    </row>
    <row r="49">
      <c r="A49" s="5"/>
      <c r="B49" s="6"/>
      <c r="C49" s="4"/>
      <c r="D49" s="4"/>
      <c r="E49" s="4"/>
      <c r="F49" s="4"/>
      <c r="G49" s="13"/>
      <c r="H49" s="13"/>
      <c r="I49" s="13"/>
      <c r="J49" s="13"/>
      <c r="K49" s="13"/>
      <c r="L49" s="14"/>
      <c r="M49" s="15" t="str">
        <f>IF(OR(K49="",K49=0),"",L49/K49)</f>
        <v/>
      </c>
      <c r="N49" s="4"/>
    </row>
    <row r="50">
      <c r="A50" s="5"/>
      <c r="B50" s="6"/>
      <c r="C50" s="4"/>
      <c r="D50" s="4"/>
      <c r="E50" s="4"/>
      <c r="F50" s="4"/>
      <c r="G50" s="13"/>
      <c r="H50" s="13"/>
      <c r="I50" s="13"/>
      <c r="J50" s="13"/>
      <c r="K50" s="13"/>
      <c r="L50" s="14"/>
      <c r="M50" s="15" t="str">
        <f>IF(OR(K50="",K50=0),"",L50/K50)</f>
        <v/>
      </c>
      <c r="N50" s="4"/>
    </row>
    <row r="51">
      <c r="A51" s="5"/>
      <c r="B51" s="6"/>
      <c r="C51" s="4"/>
      <c r="D51" s="4"/>
      <c r="E51" s="4"/>
      <c r="F51" s="4"/>
      <c r="G51" s="13"/>
      <c r="H51" s="13"/>
      <c r="I51" s="13"/>
      <c r="J51" s="13"/>
      <c r="K51" s="13"/>
      <c r="L51" s="14"/>
      <c r="M51" s="15" t="str">
        <f>IF(OR(K51="",K51=0),"",L51/K51)</f>
        <v/>
      </c>
      <c r="N51" s="4"/>
    </row>
    <row r="52">
      <c r="A52" s="5"/>
      <c r="B52" s="6"/>
      <c r="C52" s="4"/>
      <c r="D52" s="4"/>
      <c r="E52" s="4"/>
      <c r="F52" s="4"/>
      <c r="G52" s="13"/>
      <c r="H52" s="13"/>
      <c r="I52" s="13"/>
      <c r="J52" s="13"/>
      <c r="K52" s="13"/>
      <c r="L52" s="14"/>
      <c r="M52" s="15" t="str">
        <f>IF(OR(K52="",K52=0),"",L52/K52)</f>
        <v/>
      </c>
      <c r="N52" s="4"/>
    </row>
    <row r="53">
      <c r="A53" s="5"/>
      <c r="B53" s="6"/>
      <c r="C53" s="4"/>
      <c r="D53" s="4"/>
      <c r="E53" s="4"/>
      <c r="F53" s="4"/>
      <c r="G53" s="13"/>
      <c r="H53" s="13"/>
      <c r="I53" s="13"/>
      <c r="J53" s="13"/>
      <c r="K53" s="13"/>
      <c r="L53" s="14"/>
      <c r="M53" s="15" t="str">
        <f>IF(OR(K53="",K53=0),"",L53/K53)</f>
        <v/>
      </c>
      <c r="N53" s="4"/>
    </row>
    <row r="54">
      <c r="A54" s="5"/>
      <c r="B54" s="6"/>
      <c r="C54" s="4"/>
      <c r="D54" s="4"/>
      <c r="E54" s="4"/>
      <c r="F54" s="4"/>
      <c r="G54" s="13"/>
      <c r="H54" s="13"/>
      <c r="I54" s="13"/>
      <c r="J54" s="13"/>
      <c r="K54" s="13"/>
      <c r="L54" s="14"/>
      <c r="M54" s="15" t="str">
        <f>IF(OR(K54="",K54=0),"",L54/K54)</f>
        <v/>
      </c>
      <c r="N54" s="4"/>
    </row>
    <row r="55">
      <c r="A55" s="5"/>
      <c r="B55" s="6"/>
      <c r="C55" s="4"/>
      <c r="D55" s="4"/>
      <c r="E55" s="4"/>
      <c r="F55" s="4"/>
      <c r="G55" s="13"/>
      <c r="H55" s="13"/>
      <c r="I55" s="13"/>
      <c r="J55" s="13"/>
      <c r="K55" s="13"/>
      <c r="L55" s="14"/>
      <c r="M55" s="15" t="str">
        <f>IF(OR(K55="",K55=0),"",L55/K55)</f>
        <v/>
      </c>
      <c r="N55" s="4"/>
    </row>
    <row r="56">
      <c r="A56" s="5"/>
      <c r="B56" s="6"/>
      <c r="C56" s="4"/>
      <c r="D56" s="4"/>
      <c r="E56" s="4"/>
      <c r="F56" s="4"/>
      <c r="G56" s="13"/>
      <c r="H56" s="13"/>
      <c r="I56" s="13"/>
      <c r="J56" s="13"/>
      <c r="K56" s="13"/>
      <c r="L56" s="14"/>
      <c r="M56" s="15" t="str">
        <f>IF(OR(K56="",K56=0),"",L56/K56)</f>
        <v/>
      </c>
      <c r="N56" s="4"/>
    </row>
    <row r="57">
      <c r="A57" s="5"/>
      <c r="B57" s="6"/>
      <c r="C57" s="4"/>
      <c r="D57" s="4"/>
      <c r="E57" s="4"/>
      <c r="F57" s="4"/>
      <c r="G57" s="13"/>
      <c r="H57" s="13"/>
      <c r="I57" s="13"/>
      <c r="J57" s="13"/>
      <c r="K57" s="13"/>
      <c r="L57" s="14"/>
      <c r="M57" s="15" t="str">
        <f>IF(OR(K57="",K57=0),"",L57/K57)</f>
        <v/>
      </c>
      <c r="N57" s="4"/>
    </row>
    <row r="58">
      <c r="A58" s="5"/>
      <c r="B58" s="6"/>
      <c r="C58" s="4"/>
      <c r="D58" s="4"/>
      <c r="E58" s="4"/>
      <c r="F58" s="4"/>
      <c r="G58" s="13"/>
      <c r="H58" s="13"/>
      <c r="I58" s="13"/>
      <c r="J58" s="13"/>
      <c r="K58" s="13"/>
      <c r="L58" s="14"/>
      <c r="M58" s="15" t="str">
        <f>IF(OR(K58="",K58=0),"",L58/K58)</f>
        <v/>
      </c>
      <c r="N58" s="4"/>
    </row>
    <row r="59">
      <c r="A59" s="5"/>
      <c r="B59" s="6"/>
      <c r="C59" s="4"/>
      <c r="D59" s="4"/>
      <c r="E59" s="4"/>
      <c r="F59" s="4"/>
      <c r="G59" s="13"/>
      <c r="H59" s="13"/>
      <c r="I59" s="13"/>
      <c r="J59" s="13"/>
      <c r="K59" s="13"/>
      <c r="L59" s="14"/>
      <c r="M59" s="15" t="str">
        <f>IF(OR(K59="",K59=0),"",L59/K59)</f>
        <v/>
      </c>
      <c r="N59" s="4"/>
    </row>
    <row r="60">
      <c r="A60" s="5"/>
      <c r="B60" s="6"/>
      <c r="C60" s="4"/>
      <c r="D60" s="4"/>
      <c r="E60" s="4"/>
      <c r="F60" s="4"/>
      <c r="G60" s="13"/>
      <c r="H60" s="13"/>
      <c r="I60" s="13"/>
      <c r="J60" s="13"/>
      <c r="K60" s="13"/>
      <c r="L60" s="14"/>
      <c r="M60" s="15" t="str">
        <f>IF(OR(K60="",K60=0),"",L60/K60)</f>
        <v/>
      </c>
      <c r="N60" s="4"/>
    </row>
    <row r="61">
      <c r="A61" s="5"/>
      <c r="B61" s="6"/>
      <c r="C61" s="4"/>
      <c r="D61" s="4"/>
      <c r="E61" s="4"/>
      <c r="F61" s="4"/>
      <c r="G61" s="13"/>
      <c r="H61" s="13"/>
      <c r="I61" s="13"/>
      <c r="J61" s="13"/>
      <c r="K61" s="13"/>
      <c r="L61" s="14"/>
      <c r="M61" s="15" t="str">
        <f>IF(OR(K61="",K61=0),"",L61/K61)</f>
        <v/>
      </c>
      <c r="N61" s="4"/>
    </row>
    <row r="62">
      <c r="A62" s="5"/>
      <c r="B62" s="6"/>
      <c r="C62" s="4"/>
      <c r="D62" s="4"/>
      <c r="E62" s="4"/>
      <c r="F62" s="4"/>
      <c r="G62" s="13"/>
      <c r="H62" s="13"/>
      <c r="I62" s="13"/>
      <c r="J62" s="13"/>
      <c r="K62" s="13"/>
      <c r="L62" s="14"/>
      <c r="M62" s="15" t="str">
        <f>IF(OR(K62="",K62=0),"",L62/K62)</f>
        <v/>
      </c>
      <c r="N62" s="4"/>
    </row>
    <row r="63">
      <c r="A63" s="5"/>
      <c r="B63" s="6"/>
      <c r="C63" s="4"/>
      <c r="D63" s="4"/>
      <c r="E63" s="4"/>
      <c r="F63" s="4"/>
      <c r="G63" s="13"/>
      <c r="H63" s="13"/>
      <c r="I63" s="13"/>
      <c r="J63" s="13"/>
      <c r="K63" s="13"/>
      <c r="L63" s="14"/>
      <c r="M63" s="15" t="str">
        <f>IF(OR(K63="",K63=0),"",L63/K63)</f>
        <v/>
      </c>
      <c r="N63" s="4"/>
    </row>
    <row r="64">
      <c r="A64" s="5"/>
      <c r="B64" s="6"/>
      <c r="C64" s="4"/>
      <c r="D64" s="4"/>
      <c r="E64" s="4"/>
      <c r="F64" s="4"/>
      <c r="G64" s="13"/>
      <c r="H64" s="13"/>
      <c r="I64" s="13"/>
      <c r="J64" s="13"/>
      <c r="K64" s="13"/>
      <c r="L64" s="14"/>
      <c r="M64" s="15" t="str">
        <f>IF(OR(K64="",K64=0),"",L64/K64)</f>
        <v/>
      </c>
      <c r="N64" s="4"/>
    </row>
    <row r="65">
      <c r="A65" s="5"/>
      <c r="B65" s="6"/>
      <c r="C65" s="4"/>
      <c r="D65" s="4"/>
      <c r="E65" s="4"/>
      <c r="F65" s="4"/>
      <c r="G65" s="13"/>
      <c r="H65" s="13"/>
      <c r="I65" s="13"/>
      <c r="J65" s="13"/>
      <c r="K65" s="13"/>
      <c r="L65" s="14"/>
      <c r="M65" s="15" t="str">
        <f>IF(OR(K65="",K65=0),"",L65/K65)</f>
        <v/>
      </c>
      <c r="N65" s="4"/>
    </row>
    <row r="66">
      <c r="A66" s="5"/>
      <c r="B66" s="6"/>
      <c r="C66" s="4"/>
      <c r="D66" s="4"/>
      <c r="E66" s="4"/>
      <c r="F66" s="4"/>
      <c r="G66" s="13"/>
      <c r="H66" s="13"/>
      <c r="I66" s="13"/>
      <c r="J66" s="13"/>
      <c r="K66" s="13"/>
      <c r="L66" s="14"/>
      <c r="M66" s="15" t="str">
        <f>IF(OR(K66="",K66=0),"",L66/K66)</f>
        <v/>
      </c>
      <c r="N66" s="4"/>
    </row>
    <row r="67">
      <c r="A67" s="5"/>
      <c r="B67" s="6"/>
      <c r="C67" s="4"/>
      <c r="D67" s="4"/>
      <c r="E67" s="4"/>
      <c r="F67" s="4"/>
      <c r="G67" s="13"/>
      <c r="H67" s="13"/>
      <c r="I67" s="13"/>
      <c r="J67" s="13"/>
      <c r="K67" s="13"/>
      <c r="L67" s="14"/>
      <c r="M67" s="15" t="str">
        <f>IF(OR(K67="",K67=0),"",L67/K67)</f>
        <v/>
      </c>
      <c r="N67" s="4"/>
    </row>
    <row r="68">
      <c r="A68" s="5"/>
      <c r="B68" s="6"/>
      <c r="C68" s="4"/>
      <c r="D68" s="4"/>
      <c r="E68" s="4"/>
      <c r="F68" s="4"/>
      <c r="G68" s="13"/>
      <c r="H68" s="13"/>
      <c r="I68" s="13"/>
      <c r="J68" s="13"/>
      <c r="K68" s="13"/>
      <c r="L68" s="14"/>
      <c r="M68" s="15" t="str">
        <f>IF(OR(K68="",K68=0),"",L68/K68)</f>
        <v/>
      </c>
      <c r="N68" s="4"/>
    </row>
    <row r="69">
      <c r="A69" s="5"/>
      <c r="B69" s="6"/>
      <c r="C69" s="4"/>
      <c r="D69" s="4"/>
      <c r="E69" s="4"/>
      <c r="F69" s="4"/>
      <c r="G69" s="13"/>
      <c r="H69" s="13"/>
      <c r="I69" s="13"/>
      <c r="J69" s="13"/>
      <c r="K69" s="13"/>
      <c r="L69" s="14"/>
      <c r="M69" s="15" t="str">
        <f>IF(OR(K69="",K69=0),"",L69/K69)</f>
        <v/>
      </c>
      <c r="N69" s="4"/>
    </row>
    <row r="70">
      <c r="A70" s="5"/>
      <c r="B70" s="6"/>
      <c r="C70" s="4"/>
      <c r="D70" s="4"/>
      <c r="E70" s="4"/>
      <c r="F70" s="4"/>
      <c r="G70" s="13"/>
      <c r="H70" s="13"/>
      <c r="I70" s="13"/>
      <c r="J70" s="13"/>
      <c r="K70" s="13"/>
      <c r="L70" s="14"/>
      <c r="M70" s="15" t="str">
        <f>IF(OR(K70="",K70=0),"",L70/K70)</f>
        <v/>
      </c>
      <c r="N70" s="4"/>
    </row>
    <row r="71">
      <c r="A71" s="5"/>
      <c r="B71" s="6"/>
      <c r="C71" s="4"/>
      <c r="D71" s="4"/>
      <c r="E71" s="4"/>
      <c r="F71" s="4"/>
      <c r="G71" s="13"/>
      <c r="H71" s="13"/>
      <c r="I71" s="13"/>
      <c r="J71" s="13"/>
      <c r="K71" s="13"/>
      <c r="L71" s="14"/>
      <c r="M71" s="15" t="str">
        <f>IF(OR(K71="",K71=0),"",L71/K71)</f>
        <v/>
      </c>
      <c r="N71" s="4"/>
    </row>
    <row r="72">
      <c r="A72" s="5"/>
      <c r="B72" s="6"/>
      <c r="C72" s="4"/>
      <c r="D72" s="4"/>
      <c r="E72" s="4"/>
      <c r="F72" s="4"/>
      <c r="G72" s="13"/>
      <c r="H72" s="13"/>
      <c r="I72" s="13"/>
      <c r="J72" s="13"/>
      <c r="K72" s="13"/>
      <c r="L72" s="14"/>
      <c r="M72" s="15" t="str">
        <f>IF(OR(K72="",K72=0),"",L72/K72)</f>
        <v/>
      </c>
      <c r="N72" s="4"/>
    </row>
    <row r="73">
      <c r="A73" s="5"/>
      <c r="B73" s="6"/>
      <c r="C73" s="4"/>
      <c r="D73" s="4"/>
      <c r="E73" s="4"/>
      <c r="F73" s="4"/>
      <c r="G73" s="13"/>
      <c r="H73" s="13"/>
      <c r="I73" s="13"/>
      <c r="J73" s="13"/>
      <c r="K73" s="13"/>
      <c r="L73" s="14"/>
      <c r="M73" s="15" t="str">
        <f>IF(OR(K73="",K73=0),"",L73/K73)</f>
        <v/>
      </c>
      <c r="N73" s="4"/>
    </row>
    <row r="74">
      <c r="A74" s="5"/>
      <c r="B74" s="6"/>
      <c r="C74" s="4"/>
      <c r="D74" s="4"/>
      <c r="E74" s="4"/>
      <c r="F74" s="4"/>
      <c r="G74" s="13"/>
      <c r="H74" s="13"/>
      <c r="I74" s="13"/>
      <c r="J74" s="13"/>
      <c r="K74" s="13"/>
      <c r="L74" s="14"/>
      <c r="M74" s="15" t="str">
        <f>IF(OR(K74="",K74=0),"",L74/K74)</f>
        <v/>
      </c>
      <c r="N74" s="4"/>
    </row>
    <row r="75">
      <c r="A75" s="5"/>
      <c r="B75" s="6"/>
      <c r="C75" s="4"/>
      <c r="D75" s="4"/>
      <c r="E75" s="4"/>
      <c r="F75" s="4"/>
      <c r="G75" s="13"/>
      <c r="H75" s="13"/>
      <c r="I75" s="13"/>
      <c r="J75" s="13"/>
      <c r="K75" s="13"/>
      <c r="L75" s="14"/>
      <c r="M75" s="15" t="str">
        <f>IF(OR(K75="",K75=0),"",L75/K75)</f>
        <v/>
      </c>
      <c r="N75" s="4"/>
    </row>
    <row r="76">
      <c r="A76" s="5"/>
      <c r="B76" s="6"/>
      <c r="C76" s="4"/>
      <c r="D76" s="4"/>
      <c r="E76" s="4"/>
      <c r="F76" s="4"/>
      <c r="G76" s="13"/>
      <c r="H76" s="13"/>
      <c r="I76" s="13"/>
      <c r="J76" s="13"/>
      <c r="K76" s="13"/>
      <c r="L76" s="14"/>
      <c r="M76" s="15" t="str">
        <f>IF(OR(K76="",K76=0),"",L76/K76)</f>
        <v/>
      </c>
      <c r="N76" s="4"/>
    </row>
    <row r="77">
      <c r="A77" s="5"/>
      <c r="B77" s="6"/>
      <c r="C77" s="4"/>
      <c r="D77" s="4"/>
      <c r="E77" s="4"/>
      <c r="F77" s="4"/>
      <c r="G77" s="13"/>
      <c r="H77" s="13"/>
      <c r="I77" s="13"/>
      <c r="J77" s="13"/>
      <c r="K77" s="13"/>
      <c r="L77" s="14"/>
      <c r="M77" s="15" t="str">
        <f>IF(OR(K77="",K77=0),"",L77/K77)</f>
        <v/>
      </c>
      <c r="N77" s="4"/>
    </row>
    <row r="78">
      <c r="A78" s="5"/>
      <c r="B78" s="6"/>
      <c r="C78" s="4"/>
      <c r="D78" s="4"/>
      <c r="E78" s="4"/>
      <c r="F78" s="4"/>
      <c r="G78" s="13"/>
      <c r="H78" s="13"/>
      <c r="I78" s="13"/>
      <c r="J78" s="13"/>
      <c r="K78" s="13"/>
      <c r="L78" s="14"/>
      <c r="M78" s="15" t="str">
        <f>IF(OR(K78="",K78=0),"",L78/K78)</f>
        <v/>
      </c>
      <c r="N78" s="4"/>
    </row>
    <row r="79">
      <c r="A79" s="5"/>
      <c r="B79" s="6"/>
      <c r="C79" s="4"/>
      <c r="D79" s="4"/>
      <c r="E79" s="4"/>
      <c r="F79" s="4"/>
      <c r="G79" s="13"/>
      <c r="H79" s="13"/>
      <c r="I79" s="13"/>
      <c r="J79" s="13"/>
      <c r="K79" s="13"/>
      <c r="L79" s="14"/>
      <c r="M79" s="15" t="str">
        <f>IF(OR(K79="",K79=0),"",L79/K79)</f>
        <v/>
      </c>
      <c r="N79" s="4"/>
    </row>
    <row r="80">
      <c r="A80" s="5"/>
      <c r="B80" s="6"/>
      <c r="C80" s="4"/>
      <c r="D80" s="4"/>
      <c r="E80" s="4"/>
      <c r="F80" s="4"/>
      <c r="G80" s="13"/>
      <c r="H80" s="13"/>
      <c r="I80" s="13"/>
      <c r="J80" s="13"/>
      <c r="K80" s="13"/>
      <c r="L80" s="14"/>
      <c r="M80" s="15" t="str">
        <f>IF(OR(K80="",K80=0),"",L80/K80)</f>
        <v/>
      </c>
      <c r="N80" s="4"/>
    </row>
    <row r="81">
      <c r="A81" s="5"/>
      <c r="B81" s="6"/>
      <c r="C81" s="4"/>
      <c r="D81" s="4"/>
      <c r="E81" s="4"/>
      <c r="F81" s="4"/>
      <c r="G81" s="13"/>
      <c r="H81" s="13"/>
      <c r="I81" s="13"/>
      <c r="J81" s="13"/>
      <c r="K81" s="13"/>
      <c r="L81" s="14"/>
      <c r="M81" s="15" t="str">
        <f>IF(OR(K81="",K81=0),"",L81/K81)</f>
        <v/>
      </c>
      <c r="N81" s="4"/>
    </row>
    <row r="82">
      <c r="A82" s="5"/>
      <c r="B82" s="6"/>
      <c r="C82" s="4"/>
      <c r="D82" s="4"/>
      <c r="E82" s="4"/>
      <c r="F82" s="4"/>
      <c r="G82" s="13"/>
      <c r="H82" s="13"/>
      <c r="I82" s="13"/>
      <c r="J82" s="13"/>
      <c r="K82" s="13"/>
      <c r="L82" s="14"/>
      <c r="M82" s="15" t="str">
        <f>IF(OR(K82="",K82=0),"",L82/K82)</f>
        <v/>
      </c>
      <c r="N82" s="4"/>
    </row>
    <row r="83">
      <c r="A83" s="5"/>
      <c r="B83" s="6"/>
      <c r="C83" s="4"/>
      <c r="D83" s="4"/>
      <c r="E83" s="4"/>
      <c r="F83" s="4"/>
      <c r="G83" s="13"/>
      <c r="H83" s="13"/>
      <c r="I83" s="13"/>
      <c r="J83" s="13"/>
      <c r="K83" s="13"/>
      <c r="L83" s="14"/>
      <c r="M83" s="15" t="str">
        <f>IF(OR(K83="",K83=0),"",L83/K83)</f>
        <v/>
      </c>
      <c r="N83" s="4"/>
    </row>
    <row r="84">
      <c r="A84" s="5"/>
      <c r="B84" s="6"/>
      <c r="C84" s="4"/>
      <c r="D84" s="4"/>
      <c r="E84" s="4"/>
      <c r="F84" s="4"/>
      <c r="G84" s="13"/>
      <c r="H84" s="13"/>
      <c r="I84" s="13"/>
      <c r="J84" s="13"/>
      <c r="K84" s="13"/>
      <c r="L84" s="14"/>
      <c r="M84" s="15" t="str">
        <f>IF(OR(K84="",K84=0),"",L84/K84)</f>
        <v/>
      </c>
      <c r="N84" s="4"/>
    </row>
    <row r="85">
      <c r="A85" s="5"/>
      <c r="B85" s="6"/>
      <c r="C85" s="4"/>
      <c r="D85" s="4"/>
      <c r="E85" s="4"/>
      <c r="F85" s="4"/>
      <c r="G85" s="13"/>
      <c r="H85" s="13"/>
      <c r="I85" s="13"/>
      <c r="J85" s="13"/>
      <c r="K85" s="13"/>
      <c r="L85" s="14"/>
      <c r="M85" s="15" t="str">
        <f>IF(OR(K85="",K85=0),"",L85/K85)</f>
        <v/>
      </c>
      <c r="N85" s="4"/>
    </row>
    <row r="86">
      <c r="A86" s="5"/>
      <c r="B86" s="6"/>
      <c r="C86" s="4"/>
      <c r="D86" s="4"/>
      <c r="E86" s="4"/>
      <c r="F86" s="4"/>
      <c r="G86" s="13"/>
      <c r="H86" s="13"/>
      <c r="I86" s="13"/>
      <c r="J86" s="13"/>
      <c r="K86" s="13"/>
      <c r="L86" s="14"/>
      <c r="M86" s="15" t="str">
        <f>IF(OR(K86="",K86=0),"",L86/K86)</f>
        <v/>
      </c>
      <c r="N86" s="4"/>
    </row>
    <row r="87">
      <c r="A87" s="5"/>
      <c r="B87" s="6"/>
      <c r="C87" s="4"/>
      <c r="D87" s="4"/>
      <c r="E87" s="4"/>
      <c r="F87" s="4"/>
      <c r="G87" s="13"/>
      <c r="H87" s="13"/>
      <c r="I87" s="13"/>
      <c r="J87" s="13"/>
      <c r="K87" s="13"/>
      <c r="L87" s="14"/>
      <c r="M87" s="15" t="str">
        <f>IF(OR(K87="",K87=0),"",L87/K87)</f>
        <v/>
      </c>
      <c r="N87" s="4"/>
    </row>
    <row r="88">
      <c r="A88" s="5"/>
      <c r="B88" s="6"/>
      <c r="C88" s="4"/>
      <c r="D88" s="4"/>
      <c r="E88" s="4"/>
      <c r="F88" s="4"/>
      <c r="G88" s="13"/>
      <c r="H88" s="13"/>
      <c r="I88" s="13"/>
      <c r="J88" s="13"/>
      <c r="K88" s="13"/>
      <c r="L88" s="14"/>
      <c r="M88" s="15" t="str">
        <f>IF(OR(K88="",K88=0),"",L88/K88)</f>
        <v/>
      </c>
      <c r="N88" s="4"/>
    </row>
    <row r="89">
      <c r="A89" s="5"/>
      <c r="B89" s="6"/>
      <c r="C89" s="4"/>
      <c r="D89" s="4"/>
      <c r="E89" s="4"/>
      <c r="F89" s="4"/>
      <c r="G89" s="13"/>
      <c r="H89" s="13"/>
      <c r="I89" s="13"/>
      <c r="J89" s="13"/>
      <c r="K89" s="13"/>
      <c r="L89" s="14"/>
      <c r="M89" s="15" t="str">
        <f>IF(OR(K89="",K89=0),"",L89/K89)</f>
        <v/>
      </c>
      <c r="N89" s="4"/>
    </row>
    <row r="90">
      <c r="A90" s="5"/>
      <c r="B90" s="6"/>
      <c r="C90" s="4"/>
      <c r="D90" s="4"/>
      <c r="E90" s="4"/>
      <c r="F90" s="4"/>
      <c r="G90" s="13"/>
      <c r="H90" s="13"/>
      <c r="I90" s="13"/>
      <c r="J90" s="13"/>
      <c r="K90" s="13"/>
      <c r="L90" s="14"/>
      <c r="M90" s="15" t="str">
        <f>IF(OR(K90="",K90=0),"",L90/K90)</f>
        <v/>
      </c>
      <c r="N90" s="4"/>
    </row>
    <row r="91">
      <c r="A91" s="5"/>
      <c r="B91" s="6"/>
      <c r="C91" s="4"/>
      <c r="D91" s="4"/>
      <c r="E91" s="4"/>
      <c r="F91" s="4"/>
      <c r="G91" s="13"/>
      <c r="H91" s="13"/>
      <c r="I91" s="13"/>
      <c r="J91" s="13"/>
      <c r="K91" s="13"/>
      <c r="L91" s="14"/>
      <c r="M91" s="15" t="str">
        <f>IF(OR(K91="",K91=0),"",L91/K91)</f>
        <v/>
      </c>
      <c r="N91" s="4"/>
    </row>
    <row r="92">
      <c r="A92" s="5"/>
      <c r="B92" s="6"/>
      <c r="C92" s="4"/>
      <c r="D92" s="4"/>
      <c r="E92" s="4"/>
      <c r="F92" s="4"/>
      <c r="G92" s="13"/>
      <c r="H92" s="13"/>
      <c r="I92" s="13"/>
      <c r="J92" s="13"/>
      <c r="K92" s="13"/>
      <c r="L92" s="14"/>
      <c r="M92" s="15" t="str">
        <f>IF(OR(K92="",K92=0),"",L92/K92)</f>
        <v/>
      </c>
      <c r="N92" s="4"/>
    </row>
    <row r="93">
      <c r="A93" s="5"/>
      <c r="B93" s="6"/>
      <c r="C93" s="4"/>
      <c r="D93" s="4"/>
      <c r="E93" s="4"/>
      <c r="F93" s="4"/>
      <c r="G93" s="13"/>
      <c r="H93" s="13"/>
      <c r="I93" s="13"/>
      <c r="J93" s="13"/>
      <c r="K93" s="13"/>
      <c r="L93" s="14"/>
      <c r="M93" s="15" t="str">
        <f>IF(OR(K93="",K93=0),"",L93/K93)</f>
        <v/>
      </c>
      <c r="N93" s="4"/>
    </row>
    <row r="94">
      <c r="A94" s="5"/>
      <c r="B94" s="6"/>
      <c r="C94" s="4"/>
      <c r="D94" s="4"/>
      <c r="E94" s="4"/>
      <c r="F94" s="4"/>
      <c r="G94" s="13"/>
      <c r="H94" s="13"/>
      <c r="I94" s="13"/>
      <c r="J94" s="13"/>
      <c r="K94" s="13"/>
      <c r="L94" s="14"/>
      <c r="M94" s="15" t="str">
        <f>IF(OR(K94="",K94=0),"",L94/K94)</f>
        <v/>
      </c>
      <c r="N94" s="4"/>
    </row>
    <row r="95">
      <c r="A95" s="5"/>
      <c r="B95" s="6"/>
      <c r="C95" s="4"/>
      <c r="D95" s="4"/>
      <c r="E95" s="4"/>
      <c r="F95" s="4"/>
      <c r="G95" s="13"/>
      <c r="H95" s="13"/>
      <c r="I95" s="13"/>
      <c r="J95" s="13"/>
      <c r="K95" s="13"/>
      <c r="L95" s="14"/>
      <c r="M95" s="15" t="str">
        <f>IF(OR(K95="",K95=0),"",L95/K95)</f>
        <v/>
      </c>
      <c r="N95" s="4"/>
    </row>
    <row r="96">
      <c r="A96" s="5"/>
      <c r="B96" s="6"/>
      <c r="C96" s="4"/>
      <c r="D96" s="4"/>
      <c r="E96" s="4"/>
      <c r="F96" s="4"/>
      <c r="G96" s="13"/>
      <c r="H96" s="13"/>
      <c r="I96" s="13"/>
      <c r="J96" s="13"/>
      <c r="K96" s="13"/>
      <c r="L96" s="14"/>
      <c r="M96" s="15" t="str">
        <f>IF(OR(K96="",K96=0),"",L96/K96)</f>
        <v/>
      </c>
      <c r="N96" s="4"/>
    </row>
    <row r="97">
      <c r="A97" s="5"/>
      <c r="B97" s="6"/>
      <c r="C97" s="4"/>
      <c r="D97" s="4"/>
      <c r="E97" s="4"/>
      <c r="F97" s="4"/>
      <c r="G97" s="13"/>
      <c r="H97" s="13"/>
      <c r="I97" s="13"/>
      <c r="J97" s="13"/>
      <c r="K97" s="13"/>
      <c r="L97" s="14"/>
      <c r="M97" s="15" t="str">
        <f>IF(OR(K97="",K97=0),"",L97/K97)</f>
        <v/>
      </c>
      <c r="N97" s="4"/>
    </row>
    <row r="98">
      <c r="A98" s="5"/>
      <c r="B98" s="6"/>
      <c r="C98" s="4"/>
      <c r="D98" s="4"/>
      <c r="E98" s="4"/>
      <c r="F98" s="4"/>
      <c r="G98" s="13"/>
      <c r="H98" s="13"/>
      <c r="I98" s="13"/>
      <c r="J98" s="13"/>
      <c r="K98" s="13"/>
      <c r="L98" s="14"/>
      <c r="M98" s="15" t="str">
        <f>IF(OR(K98="",K98=0),"",L98/K98)</f>
        <v/>
      </c>
      <c r="N98" s="4"/>
    </row>
    <row r="99">
      <c r="A99" s="5"/>
      <c r="B99" s="6"/>
      <c r="C99" s="4"/>
      <c r="D99" s="4"/>
      <c r="E99" s="4"/>
      <c r="F99" s="4"/>
      <c r="G99" s="13"/>
      <c r="H99" s="13"/>
      <c r="I99" s="13"/>
      <c r="J99" s="13"/>
      <c r="K99" s="13"/>
      <c r="L99" s="14"/>
      <c r="M99" s="15" t="str">
        <f>IF(OR(K99="",K99=0),"",L99/K99)</f>
        <v/>
      </c>
      <c r="N99" s="4"/>
    </row>
    <row r="100">
      <c r="A100" s="5"/>
      <c r="B100" s="6"/>
      <c r="C100" s="4"/>
      <c r="D100" s="4"/>
      <c r="E100" s="4"/>
      <c r="F100" s="4"/>
      <c r="G100" s="13"/>
      <c r="H100" s="13"/>
      <c r="I100" s="13"/>
      <c r="J100" s="13"/>
      <c r="K100" s="13"/>
      <c r="L100" s="14"/>
      <c r="M100" s="15" t="str">
        <f>IF(OR(K100="",K100=0),"",L100/K100)</f>
        <v/>
      </c>
      <c r="N100" s="4"/>
    </row>
    <row r="101">
      <c r="A101" s="5"/>
      <c r="B101" s="6"/>
      <c r="C101" s="4"/>
      <c r="D101" s="4"/>
      <c r="E101" s="4"/>
      <c r="F101" s="4"/>
      <c r="G101" s="13"/>
      <c r="H101" s="13"/>
      <c r="I101" s="13"/>
      <c r="J101" s="13"/>
      <c r="K101" s="13"/>
      <c r="L101" s="14"/>
      <c r="M101" s="15" t="str">
        <f>IF(OR(K101="",K101=0),"",L101/K101)</f>
        <v/>
      </c>
      <c r="N101" s="4"/>
    </row>
    <row r="102">
      <c r="A102" s="5"/>
      <c r="B102" s="6"/>
      <c r="C102" s="4"/>
      <c r="D102" s="4"/>
      <c r="E102" s="4"/>
      <c r="F102" s="4"/>
      <c r="G102" s="13"/>
      <c r="H102" s="13"/>
      <c r="I102" s="13"/>
      <c r="J102" s="13"/>
      <c r="K102" s="13"/>
      <c r="L102" s="14"/>
      <c r="M102" s="15" t="str">
        <f>IF(OR(K102="",K102=0),"",L102/K102)</f>
        <v/>
      </c>
      <c r="N102" s="4"/>
    </row>
    <row r="103">
      <c r="A103" s="5"/>
      <c r="B103" s="6"/>
      <c r="C103" s="4"/>
      <c r="D103" s="4"/>
      <c r="E103" s="4"/>
      <c r="F103" s="4"/>
      <c r="G103" s="13"/>
      <c r="H103" s="13"/>
      <c r="I103" s="13"/>
      <c r="J103" s="13"/>
      <c r="K103" s="13"/>
      <c r="L103" s="14"/>
      <c r="M103" s="15" t="str">
        <f>IF(OR(K103="",K103=0),"",L103/K103)</f>
        <v/>
      </c>
      <c r="N103" s="4"/>
    </row>
    <row r="104">
      <c r="A104" s="5"/>
      <c r="B104" s="6"/>
      <c r="C104" s="4"/>
      <c r="D104" s="4"/>
      <c r="E104" s="4"/>
      <c r="F104" s="4"/>
      <c r="G104" s="13"/>
      <c r="H104" s="13"/>
      <c r="I104" s="13"/>
      <c r="J104" s="13"/>
      <c r="K104" s="13"/>
      <c r="L104" s="14"/>
      <c r="M104" s="15" t="str">
        <f>IF(OR(K104="",K104=0),"",L104/K104)</f>
        <v/>
      </c>
      <c r="N104" s="4"/>
    </row>
    <row r="105">
      <c r="A105" s="5"/>
      <c r="B105" s="6"/>
      <c r="C105" s="4"/>
      <c r="D105" s="4"/>
      <c r="E105" s="4"/>
      <c r="F105" s="4"/>
      <c r="G105" s="13"/>
      <c r="H105" s="13"/>
      <c r="I105" s="13"/>
      <c r="J105" s="13"/>
      <c r="K105" s="13"/>
      <c r="L105" s="14"/>
      <c r="M105" s="15" t="str">
        <f>IF(OR(K105="",K105=0),"",L105/K105)</f>
        <v/>
      </c>
      <c r="N105" s="4"/>
    </row>
    <row r="106">
      <c r="A106" s="5"/>
      <c r="B106" s="6"/>
      <c r="C106" s="4"/>
      <c r="D106" s="4"/>
      <c r="E106" s="4"/>
      <c r="F106" s="4"/>
      <c r="G106" s="13"/>
      <c r="H106" s="13"/>
      <c r="I106" s="13"/>
      <c r="J106" s="13"/>
      <c r="K106" s="13"/>
      <c r="L106" s="14"/>
      <c r="M106" s="15" t="str">
        <f>IF(OR(K106="",K106=0),"",L106/K106)</f>
        <v/>
      </c>
      <c r="N106" s="4"/>
    </row>
    <row r="107">
      <c r="A107" s="5"/>
      <c r="B107" s="6"/>
      <c r="C107" s="4"/>
      <c r="D107" s="4"/>
      <c r="E107" s="4"/>
      <c r="F107" s="4"/>
      <c r="G107" s="13"/>
      <c r="H107" s="13"/>
      <c r="I107" s="13"/>
      <c r="J107" s="13"/>
      <c r="K107" s="13"/>
      <c r="L107" s="14"/>
      <c r="M107" s="15" t="str">
        <f>IF(OR(K107="",K107=0),"",L107/K107)</f>
        <v/>
      </c>
      <c r="N107" s="4"/>
    </row>
    <row r="108">
      <c r="A108" s="5"/>
      <c r="B108" s="6"/>
      <c r="C108" s="4"/>
      <c r="D108" s="4"/>
      <c r="E108" s="4"/>
      <c r="F108" s="4"/>
      <c r="G108" s="13"/>
      <c r="H108" s="13"/>
      <c r="I108" s="13"/>
      <c r="J108" s="13"/>
      <c r="K108" s="13"/>
      <c r="L108" s="14"/>
      <c r="M108" s="15" t="str">
        <f>IF(OR(K108="",K108=0),"",L108/K108)</f>
        <v/>
      </c>
      <c r="N108" s="4"/>
    </row>
    <row r="109">
      <c r="A109" s="5"/>
      <c r="B109" s="6"/>
      <c r="C109" s="4"/>
      <c r="D109" s="4"/>
      <c r="E109" s="4"/>
      <c r="F109" s="4"/>
      <c r="G109" s="13"/>
      <c r="H109" s="13"/>
      <c r="I109" s="13"/>
      <c r="J109" s="13"/>
      <c r="K109" s="13"/>
      <c r="L109" s="14"/>
      <c r="M109" s="15" t="str">
        <f>IF(OR(K109="",K109=0),"",L109/K109)</f>
        <v/>
      </c>
      <c r="N109" s="4"/>
    </row>
    <row r="110">
      <c r="A110" s="5"/>
      <c r="B110" s="6"/>
      <c r="C110" s="4"/>
      <c r="D110" s="4"/>
      <c r="E110" s="4"/>
      <c r="F110" s="4"/>
      <c r="G110" s="13"/>
      <c r="H110" s="13"/>
      <c r="I110" s="13"/>
      <c r="J110" s="13"/>
      <c r="K110" s="13"/>
      <c r="L110" s="14"/>
      <c r="M110" s="15" t="str">
        <f>IF(OR(K110="",K110=0),"",L110/K110)</f>
        <v/>
      </c>
      <c r="N110" s="4"/>
    </row>
    <row r="111">
      <c r="A111" s="5"/>
      <c r="B111" s="6"/>
      <c r="C111" s="4"/>
      <c r="D111" s="4"/>
      <c r="E111" s="4"/>
      <c r="F111" s="4"/>
      <c r="G111" s="13"/>
      <c r="H111" s="13"/>
      <c r="I111" s="13"/>
      <c r="J111" s="13"/>
      <c r="K111" s="13"/>
      <c r="L111" s="14"/>
      <c r="M111" s="15" t="str">
        <f>IF(OR(K111="",K111=0),"",L111/K111)</f>
        <v/>
      </c>
      <c r="N111" s="4"/>
    </row>
    <row r="112">
      <c r="A112" s="5"/>
      <c r="B112" s="6"/>
      <c r="C112" s="4"/>
      <c r="D112" s="4"/>
      <c r="E112" s="4"/>
      <c r="F112" s="4"/>
      <c r="G112" s="13"/>
      <c r="H112" s="13"/>
      <c r="I112" s="13"/>
      <c r="J112" s="13"/>
      <c r="K112" s="13"/>
      <c r="L112" s="14"/>
      <c r="M112" s="15" t="str">
        <f>IF(OR(K112="",K112=0),"",L112/K112)</f>
        <v/>
      </c>
      <c r="N112" s="4"/>
    </row>
    <row r="113">
      <c r="A113" s="5"/>
      <c r="B113" s="6"/>
      <c r="C113" s="4"/>
      <c r="D113" s="4"/>
      <c r="E113" s="4"/>
      <c r="F113" s="4"/>
      <c r="G113" s="13"/>
      <c r="H113" s="13"/>
      <c r="I113" s="13"/>
      <c r="J113" s="13"/>
      <c r="K113" s="13"/>
      <c r="L113" s="14"/>
      <c r="M113" s="15" t="str">
        <f>IF(OR(K113="",K113=0),"",L113/K113)</f>
        <v/>
      </c>
      <c r="N113" s="4"/>
    </row>
    <row r="114">
      <c r="A114" s="5"/>
      <c r="B114" s="6"/>
      <c r="C114" s="4"/>
      <c r="D114" s="4"/>
      <c r="E114" s="4"/>
      <c r="F114" s="4"/>
      <c r="G114" s="13"/>
      <c r="H114" s="13"/>
      <c r="I114" s="13"/>
      <c r="J114" s="13"/>
      <c r="K114" s="13"/>
      <c r="L114" s="14"/>
      <c r="M114" s="15" t="str">
        <f>IF(OR(K114="",K114=0),"",L114/K114)</f>
        <v/>
      </c>
      <c r="N114" s="4"/>
    </row>
    <row r="115">
      <c r="A115" s="5"/>
      <c r="B115" s="6"/>
      <c r="C115" s="4"/>
      <c r="D115" s="4"/>
      <c r="E115" s="4"/>
      <c r="F115" s="4"/>
      <c r="G115" s="13"/>
      <c r="H115" s="13"/>
      <c r="I115" s="13"/>
      <c r="J115" s="13"/>
      <c r="K115" s="13"/>
      <c r="L115" s="14"/>
      <c r="M115" s="15" t="str">
        <f>IF(OR(K115="",K115=0),"",L115/K115)</f>
        <v/>
      </c>
      <c r="N115" s="4"/>
    </row>
    <row r="116">
      <c r="A116" s="5"/>
      <c r="B116" s="6"/>
      <c r="C116" s="4"/>
      <c r="D116" s="4"/>
      <c r="E116" s="4"/>
      <c r="F116" s="4"/>
      <c r="G116" s="13"/>
      <c r="H116" s="13"/>
      <c r="I116" s="13"/>
      <c r="J116" s="13"/>
      <c r="K116" s="13"/>
      <c r="L116" s="14"/>
      <c r="M116" s="15" t="str">
        <f>IF(OR(K116="",K116=0),"",L116/K116)</f>
        <v/>
      </c>
      <c r="N116" s="4"/>
    </row>
    <row r="117">
      <c r="A117" s="5"/>
      <c r="B117" s="6"/>
      <c r="C117" s="4"/>
      <c r="D117" s="4"/>
      <c r="E117" s="4"/>
      <c r="F117" s="4"/>
      <c r="G117" s="13"/>
      <c r="H117" s="13"/>
      <c r="I117" s="13"/>
      <c r="J117" s="13"/>
      <c r="K117" s="13"/>
      <c r="L117" s="14"/>
      <c r="M117" s="15" t="str">
        <f>IF(OR(K117="",K117=0),"",L117/K117)</f>
        <v/>
      </c>
      <c r="N117" s="4"/>
    </row>
    <row r="118">
      <c r="A118" s="5"/>
      <c r="B118" s="6"/>
      <c r="C118" s="4"/>
      <c r="D118" s="4"/>
      <c r="E118" s="4"/>
      <c r="F118" s="4"/>
      <c r="G118" s="13"/>
      <c r="H118" s="13"/>
      <c r="I118" s="13"/>
      <c r="J118" s="13"/>
      <c r="K118" s="13"/>
      <c r="L118" s="14"/>
      <c r="M118" s="15" t="str">
        <f>IF(OR(K118="",K118=0),"",L118/K118)</f>
        <v/>
      </c>
      <c r="N118" s="4"/>
    </row>
    <row r="119">
      <c r="A119" s="5"/>
      <c r="B119" s="6"/>
      <c r="C119" s="4"/>
      <c r="D119" s="4"/>
      <c r="E119" s="4"/>
      <c r="F119" s="4"/>
      <c r="G119" s="13"/>
      <c r="H119" s="13"/>
      <c r="I119" s="13"/>
      <c r="J119" s="13"/>
      <c r="K119" s="13"/>
      <c r="L119" s="14"/>
      <c r="M119" s="15" t="str">
        <f>IF(OR(K119="",K119=0),"",L119/K119)</f>
        <v/>
      </c>
      <c r="N119" s="4"/>
    </row>
    <row r="120">
      <c r="A120" s="5"/>
      <c r="B120" s="6"/>
      <c r="C120" s="4"/>
      <c r="D120" s="4"/>
      <c r="E120" s="4"/>
      <c r="F120" s="4"/>
      <c r="G120" s="13"/>
      <c r="H120" s="13"/>
      <c r="I120" s="13"/>
      <c r="J120" s="13"/>
      <c r="K120" s="13"/>
      <c r="L120" s="14"/>
      <c r="M120" s="15" t="str">
        <f>IF(OR(K120="",K120=0),"",L120/K120)</f>
        <v/>
      </c>
      <c r="N120" s="4"/>
    </row>
    <row r="121">
      <c r="A121" s="5"/>
      <c r="B121" s="6"/>
      <c r="C121" s="4"/>
      <c r="D121" s="4"/>
      <c r="E121" s="4"/>
      <c r="F121" s="4"/>
      <c r="G121" s="13"/>
      <c r="H121" s="13"/>
      <c r="I121" s="13"/>
      <c r="J121" s="13"/>
      <c r="K121" s="13"/>
      <c r="L121" s="14"/>
      <c r="M121" s="15" t="str">
        <f>IF(OR(K121="",K121=0),"",L121/K121)</f>
        <v/>
      </c>
      <c r="N121" s="4"/>
    </row>
    <row r="122">
      <c r="A122" s="5"/>
      <c r="B122" s="6"/>
      <c r="C122" s="4"/>
      <c r="D122" s="4"/>
      <c r="E122" s="4"/>
      <c r="F122" s="4"/>
      <c r="G122" s="13"/>
      <c r="H122" s="13"/>
      <c r="I122" s="13"/>
      <c r="J122" s="13"/>
      <c r="K122" s="13"/>
      <c r="L122" s="14"/>
      <c r="M122" s="15" t="str">
        <f>IF(OR(K122="",K122=0),"",L122/K122)</f>
        <v/>
      </c>
      <c r="N122" s="4"/>
    </row>
    <row r="123">
      <c r="A123" s="5"/>
      <c r="B123" s="6"/>
      <c r="C123" s="4"/>
      <c r="D123" s="4"/>
      <c r="E123" s="4"/>
      <c r="F123" s="4"/>
      <c r="G123" s="13"/>
      <c r="H123" s="13"/>
      <c r="I123" s="13"/>
      <c r="J123" s="13"/>
      <c r="K123" s="13"/>
      <c r="L123" s="14"/>
      <c r="M123" s="15" t="str">
        <f>IF(OR(K123="",K123=0),"",L123/K123)</f>
        <v/>
      </c>
      <c r="N123" s="4"/>
    </row>
    <row r="124">
      <c r="A124" s="5"/>
      <c r="B124" s="6"/>
      <c r="C124" s="4"/>
      <c r="D124" s="4"/>
      <c r="E124" s="4"/>
      <c r="F124" s="4"/>
      <c r="G124" s="13"/>
      <c r="H124" s="13"/>
      <c r="I124" s="13"/>
      <c r="J124" s="13"/>
      <c r="K124" s="13"/>
      <c r="L124" s="14"/>
      <c r="M124" s="15" t="str">
        <f>IF(OR(K124="",K124=0),"",L124/K124)</f>
        <v/>
      </c>
      <c r="N124" s="4"/>
    </row>
    <row r="125">
      <c r="A125" s="5"/>
      <c r="B125" s="6"/>
      <c r="C125" s="4"/>
      <c r="D125" s="4"/>
      <c r="E125" s="4"/>
      <c r="F125" s="4"/>
      <c r="G125" s="13"/>
      <c r="H125" s="13"/>
      <c r="I125" s="13"/>
      <c r="J125" s="13"/>
      <c r="K125" s="13"/>
      <c r="L125" s="14"/>
      <c r="M125" s="15" t="str">
        <f>IF(OR(K125="",K125=0),"",L125/K125)</f>
        <v/>
      </c>
      <c r="N125" s="4"/>
    </row>
    <row r="126">
      <c r="A126" s="5"/>
      <c r="B126" s="6"/>
      <c r="C126" s="4"/>
      <c r="D126" s="4"/>
      <c r="E126" s="4"/>
      <c r="F126" s="4"/>
      <c r="G126" s="13"/>
      <c r="H126" s="13"/>
      <c r="I126" s="13"/>
      <c r="J126" s="13"/>
      <c r="K126" s="13"/>
      <c r="L126" s="14"/>
      <c r="M126" s="15" t="str">
        <f>IF(OR(K126="",K126=0),"",L126/K126)</f>
        <v/>
      </c>
      <c r="N126" s="4"/>
    </row>
    <row r="127">
      <c r="A127" s="5"/>
      <c r="B127" s="6"/>
      <c r="C127" s="4"/>
      <c r="D127" s="4"/>
      <c r="E127" s="4"/>
      <c r="F127" s="4"/>
      <c r="G127" s="13"/>
      <c r="H127" s="13"/>
      <c r="I127" s="13"/>
      <c r="J127" s="13"/>
      <c r="K127" s="13"/>
      <c r="L127" s="14"/>
      <c r="M127" s="15" t="str">
        <f>IF(OR(K127="",K127=0),"",L127/K127)</f>
        <v/>
      </c>
      <c r="N127" s="4"/>
    </row>
    <row r="128">
      <c r="A128" s="5"/>
      <c r="B128" s="6"/>
      <c r="C128" s="4"/>
      <c r="D128" s="4"/>
      <c r="E128" s="4"/>
      <c r="F128" s="4"/>
      <c r="G128" s="13"/>
      <c r="H128" s="13"/>
      <c r="I128" s="13"/>
      <c r="J128" s="13"/>
      <c r="K128" s="13"/>
      <c r="L128" s="14"/>
      <c r="M128" s="15" t="str">
        <f>IF(OR(K128="",K128=0),"",L128/K128)</f>
        <v/>
      </c>
      <c r="N128" s="4"/>
    </row>
    <row r="129">
      <c r="A129" s="5"/>
      <c r="B129" s="6"/>
      <c r="C129" s="4"/>
      <c r="D129" s="4"/>
      <c r="E129" s="4"/>
      <c r="F129" s="4"/>
      <c r="G129" s="13"/>
      <c r="H129" s="13"/>
      <c r="I129" s="13"/>
      <c r="J129" s="13"/>
      <c r="K129" s="13"/>
      <c r="L129" s="14"/>
      <c r="M129" s="15" t="str">
        <f>IF(OR(K129="",K129=0),"",L129/K129)</f>
        <v/>
      </c>
      <c r="N129" s="4"/>
    </row>
    <row r="130">
      <c r="A130" s="5"/>
      <c r="B130" s="6"/>
      <c r="C130" s="4"/>
      <c r="D130" s="4"/>
      <c r="E130" s="4"/>
      <c r="F130" s="4"/>
      <c r="G130" s="13"/>
      <c r="H130" s="13"/>
      <c r="I130" s="13"/>
      <c r="J130" s="13"/>
      <c r="K130" s="13"/>
      <c r="L130" s="14"/>
      <c r="M130" s="15" t="str">
        <f>IF(OR(K130="",K130=0),"",L130/K130)</f>
        <v/>
      </c>
      <c r="N130" s="4"/>
    </row>
    <row r="131">
      <c r="A131" s="5"/>
      <c r="B131" s="6"/>
      <c r="C131" s="4"/>
      <c r="D131" s="4"/>
      <c r="E131" s="4"/>
      <c r="F131" s="4"/>
      <c r="G131" s="13"/>
      <c r="H131" s="13"/>
      <c r="I131" s="13"/>
      <c r="J131" s="13"/>
      <c r="K131" s="13"/>
      <c r="L131" s="14"/>
      <c r="M131" s="15" t="str">
        <f>IF(OR(K131="",K131=0),"",L131/K131)</f>
        <v/>
      </c>
      <c r="N131" s="4"/>
    </row>
    <row r="132">
      <c r="A132" s="5"/>
      <c r="B132" s="6"/>
      <c r="C132" s="4"/>
      <c r="D132" s="4"/>
      <c r="E132" s="4"/>
      <c r="F132" s="4"/>
      <c r="G132" s="13"/>
      <c r="H132" s="13"/>
      <c r="I132" s="13"/>
      <c r="J132" s="13"/>
      <c r="K132" s="13"/>
      <c r="L132" s="14"/>
      <c r="M132" s="15" t="str">
        <f>IF(OR(K132="",K132=0),"",L132/K132)</f>
        <v/>
      </c>
      <c r="N132" s="4"/>
    </row>
    <row r="133">
      <c r="A133" s="5"/>
      <c r="B133" s="6"/>
      <c r="C133" s="4"/>
      <c r="D133" s="4"/>
      <c r="E133" s="4"/>
      <c r="F133" s="4"/>
      <c r="G133" s="13"/>
      <c r="H133" s="13"/>
      <c r="I133" s="13"/>
      <c r="J133" s="13"/>
      <c r="K133" s="13"/>
      <c r="L133" s="14"/>
      <c r="M133" s="15" t="str">
        <f>IF(OR(K133="",K133=0),"",L133/K133)</f>
        <v/>
      </c>
      <c r="N133" s="4"/>
    </row>
    <row r="134">
      <c r="A134" s="5"/>
      <c r="B134" s="6"/>
      <c r="C134" s="4"/>
      <c r="D134" s="4"/>
      <c r="E134" s="4"/>
      <c r="F134" s="4"/>
      <c r="G134" s="13"/>
      <c r="H134" s="13"/>
      <c r="I134" s="13"/>
      <c r="J134" s="13"/>
      <c r="K134" s="13"/>
      <c r="L134" s="14"/>
      <c r="M134" s="15" t="str">
        <f>IF(OR(K134="",K134=0),"",L134/K134)</f>
        <v/>
      </c>
      <c r="N134" s="4"/>
    </row>
    <row r="135">
      <c r="A135" s="5"/>
      <c r="B135" s="6"/>
      <c r="C135" s="4"/>
      <c r="D135" s="4"/>
      <c r="E135" s="4"/>
      <c r="F135" s="4"/>
      <c r="G135" s="13"/>
      <c r="H135" s="13"/>
      <c r="I135" s="13"/>
      <c r="J135" s="13"/>
      <c r="K135" s="13"/>
      <c r="L135" s="14"/>
      <c r="M135" s="15" t="str">
        <f>IF(OR(K135="",K135=0),"",L135/K135)</f>
        <v/>
      </c>
      <c r="N135" s="4"/>
    </row>
    <row r="136">
      <c r="A136" s="5"/>
      <c r="B136" s="6"/>
      <c r="C136" s="4"/>
      <c r="D136" s="4"/>
      <c r="E136" s="4"/>
      <c r="F136" s="4"/>
      <c r="G136" s="13"/>
      <c r="H136" s="13"/>
      <c r="I136" s="13"/>
      <c r="J136" s="13"/>
      <c r="K136" s="13"/>
      <c r="L136" s="14"/>
      <c r="M136" s="15" t="str">
        <f>IF(OR(K136="",K136=0),"",L136/K136)</f>
        <v/>
      </c>
      <c r="N136" s="4"/>
    </row>
    <row r="137">
      <c r="A137" s="5"/>
      <c r="B137" s="6"/>
      <c r="C137" s="4"/>
      <c r="D137" s="4"/>
      <c r="E137" s="4"/>
      <c r="F137" s="4"/>
      <c r="G137" s="13"/>
      <c r="H137" s="13"/>
      <c r="I137" s="13"/>
      <c r="J137" s="13"/>
      <c r="K137" s="13"/>
      <c r="L137" s="14"/>
      <c r="M137" s="15" t="str">
        <f>IF(OR(K137="",K137=0),"",L137/K137)</f>
        <v/>
      </c>
      <c r="N137" s="4"/>
    </row>
    <row r="138">
      <c r="A138" s="5"/>
      <c r="B138" s="6"/>
      <c r="C138" s="4"/>
      <c r="D138" s="4"/>
      <c r="E138" s="4"/>
      <c r="F138" s="4"/>
      <c r="G138" s="13"/>
      <c r="H138" s="13"/>
      <c r="I138" s="13"/>
      <c r="J138" s="13"/>
      <c r="K138" s="13"/>
      <c r="L138" s="14"/>
      <c r="M138" s="15" t="str">
        <f>IF(OR(K138="",K138=0),"",L138/K138)</f>
        <v/>
      </c>
      <c r="N138" s="4"/>
    </row>
    <row r="139">
      <c r="A139" s="5"/>
      <c r="B139" s="6"/>
      <c r="C139" s="4"/>
      <c r="D139" s="4"/>
      <c r="E139" s="4"/>
      <c r="F139" s="4"/>
      <c r="G139" s="13"/>
      <c r="H139" s="13"/>
      <c r="I139" s="13"/>
      <c r="J139" s="13"/>
      <c r="K139" s="13"/>
      <c r="L139" s="14"/>
      <c r="M139" s="15" t="str">
        <f>IF(OR(K139="",K139=0),"",L139/K139)</f>
        <v/>
      </c>
      <c r="N139" s="4"/>
    </row>
    <row r="140">
      <c r="A140" s="5"/>
      <c r="B140" s="6"/>
      <c r="C140" s="4"/>
      <c r="D140" s="4"/>
      <c r="E140" s="4"/>
      <c r="F140" s="4"/>
      <c r="G140" s="13"/>
      <c r="H140" s="13"/>
      <c r="I140" s="13"/>
      <c r="J140" s="13"/>
      <c r="K140" s="13"/>
      <c r="L140" s="14"/>
      <c r="M140" s="15" t="str">
        <f>IF(OR(K140="",K140=0),"",L140/K140)</f>
        <v/>
      </c>
      <c r="N140" s="4"/>
    </row>
    <row r="141">
      <c r="A141" s="5"/>
      <c r="B141" s="6"/>
      <c r="C141" s="4"/>
      <c r="D141" s="4"/>
      <c r="E141" s="4"/>
      <c r="F141" s="4"/>
      <c r="G141" s="13"/>
      <c r="H141" s="13"/>
      <c r="I141" s="13"/>
      <c r="J141" s="13"/>
      <c r="K141" s="13"/>
      <c r="L141" s="14"/>
      <c r="M141" s="15" t="str">
        <f>IF(OR(K141="",K141=0),"",L141/K141)</f>
        <v/>
      </c>
      <c r="N141" s="4"/>
    </row>
    <row r="142">
      <c r="A142" s="5"/>
      <c r="B142" s="6"/>
      <c r="C142" s="4"/>
      <c r="D142" s="4"/>
      <c r="E142" s="4"/>
      <c r="F142" s="4"/>
      <c r="G142" s="13"/>
      <c r="H142" s="13"/>
      <c r="I142" s="13"/>
      <c r="J142" s="13"/>
      <c r="K142" s="13"/>
      <c r="L142" s="14"/>
      <c r="M142" s="15" t="str">
        <f>IF(OR(K142="",K142=0),"",L142/K142)</f>
        <v/>
      </c>
      <c r="N142" s="4"/>
    </row>
    <row r="143">
      <c r="A143" s="5"/>
      <c r="B143" s="6"/>
      <c r="C143" s="4"/>
      <c r="D143" s="4"/>
      <c r="E143" s="4"/>
      <c r="F143" s="4"/>
      <c r="G143" s="13"/>
      <c r="H143" s="13"/>
      <c r="I143" s="13"/>
      <c r="J143" s="13"/>
      <c r="K143" s="13"/>
      <c r="L143" s="14"/>
      <c r="M143" s="15" t="str">
        <f>IF(OR(K143="",K143=0),"",L143/K143)</f>
        <v/>
      </c>
      <c r="N143" s="4"/>
    </row>
    <row r="144">
      <c r="A144" s="5"/>
      <c r="B144" s="6"/>
      <c r="C144" s="4"/>
      <c r="D144" s="4"/>
      <c r="E144" s="4"/>
      <c r="F144" s="4"/>
      <c r="G144" s="13"/>
      <c r="H144" s="13"/>
      <c r="I144" s="13"/>
      <c r="J144" s="13"/>
      <c r="K144" s="13"/>
      <c r="L144" s="14"/>
      <c r="M144" s="15" t="str">
        <f>IF(OR(K144="",K144=0),"",L144/K144)</f>
        <v/>
      </c>
      <c r="N144" s="4"/>
    </row>
    <row r="145">
      <c r="A145" s="5"/>
      <c r="B145" s="6"/>
      <c r="C145" s="4"/>
      <c r="D145" s="4"/>
      <c r="E145" s="4"/>
      <c r="F145" s="4"/>
      <c r="G145" s="13"/>
      <c r="H145" s="13"/>
      <c r="I145" s="13"/>
      <c r="J145" s="13"/>
      <c r="K145" s="13"/>
      <c r="L145" s="14"/>
      <c r="M145" s="15" t="str">
        <f>IF(OR(K145="",K145=0),"",L145/K145)</f>
        <v/>
      </c>
      <c r="N145" s="4"/>
    </row>
    <row r="146">
      <c r="A146" s="5"/>
      <c r="B146" s="6"/>
      <c r="C146" s="4"/>
      <c r="D146" s="4"/>
      <c r="E146" s="4"/>
      <c r="F146" s="4"/>
      <c r="G146" s="13"/>
      <c r="H146" s="13"/>
      <c r="I146" s="13"/>
      <c r="J146" s="13"/>
      <c r="K146" s="13"/>
      <c r="L146" s="14"/>
      <c r="M146" s="15" t="str">
        <f>IF(OR(K146="",K146=0),"",L146/K146)</f>
        <v/>
      </c>
      <c r="N146" s="4"/>
    </row>
    <row r="147">
      <c r="A147" s="5"/>
      <c r="B147" s="6"/>
      <c r="C147" s="4"/>
      <c r="D147" s="4"/>
      <c r="E147" s="4"/>
      <c r="F147" s="4"/>
      <c r="G147" s="13"/>
      <c r="H147" s="13"/>
      <c r="I147" s="13"/>
      <c r="J147" s="13"/>
      <c r="K147" s="13"/>
      <c r="L147" s="14"/>
      <c r="M147" s="15" t="str">
        <f>IF(OR(K147="",K147=0),"",L147/K147)</f>
        <v/>
      </c>
      <c r="N147" s="4"/>
    </row>
    <row r="148">
      <c r="A148" s="5"/>
      <c r="B148" s="6"/>
      <c r="C148" s="4"/>
      <c r="D148" s="4"/>
      <c r="E148" s="4"/>
      <c r="F148" s="4"/>
      <c r="G148" s="13"/>
      <c r="H148" s="13"/>
      <c r="I148" s="13"/>
      <c r="J148" s="13"/>
      <c r="K148" s="13"/>
      <c r="L148" s="14"/>
      <c r="M148" s="15" t="str">
        <f>IF(OR(K148="",K148=0),"",L148/K148)</f>
        <v/>
      </c>
      <c r="N148" s="4"/>
    </row>
    <row r="149">
      <c r="A149" s="5"/>
      <c r="B149" s="6"/>
      <c r="C149" s="4"/>
      <c r="D149" s="4"/>
      <c r="E149" s="4"/>
      <c r="F149" s="4"/>
      <c r="G149" s="13"/>
      <c r="H149" s="13"/>
      <c r="I149" s="13"/>
      <c r="J149" s="13"/>
      <c r="K149" s="13"/>
      <c r="L149" s="14"/>
      <c r="M149" s="15" t="str">
        <f>IF(OR(K149="",K149=0),"",L149/K149)</f>
        <v/>
      </c>
      <c r="N149" s="4"/>
    </row>
    <row r="150">
      <c r="A150" s="5"/>
      <c r="B150" s="6"/>
      <c r="C150" s="4"/>
      <c r="D150" s="4"/>
      <c r="E150" s="4"/>
      <c r="F150" s="4"/>
      <c r="G150" s="13"/>
      <c r="H150" s="13"/>
      <c r="I150" s="13"/>
      <c r="J150" s="13"/>
      <c r="K150" s="13"/>
      <c r="L150" s="14"/>
      <c r="M150" s="15" t="str">
        <f>IF(OR(K150="",K150=0),"",L150/K150)</f>
        <v/>
      </c>
      <c r="N150" s="4"/>
    </row>
    <row r="151">
      <c r="A151" s="5"/>
      <c r="B151" s="6"/>
      <c r="C151" s="4"/>
      <c r="D151" s="4"/>
      <c r="E151" s="4"/>
      <c r="F151" s="4"/>
      <c r="G151" s="13"/>
      <c r="H151" s="13"/>
      <c r="I151" s="13"/>
      <c r="J151" s="13"/>
      <c r="K151" s="13"/>
      <c r="L151" s="14"/>
      <c r="M151" s="15" t="str">
        <f>IF(OR(K151="",K151=0),"",L151/K151)</f>
        <v/>
      </c>
      <c r="N151" s="4"/>
    </row>
    <row r="152">
      <c r="A152" s="5"/>
      <c r="B152" s="6"/>
      <c r="C152" s="4"/>
      <c r="D152" s="4"/>
      <c r="E152" s="4"/>
      <c r="F152" s="4"/>
      <c r="G152" s="13"/>
      <c r="H152" s="13"/>
      <c r="I152" s="13"/>
      <c r="J152" s="13"/>
      <c r="K152" s="13"/>
      <c r="L152" s="14"/>
      <c r="M152" s="15" t="str">
        <f>IF(OR(K152="",K152=0),"",L152/K152)</f>
        <v/>
      </c>
      <c r="N152" s="4"/>
    </row>
    <row r="153">
      <c r="A153" s="5"/>
      <c r="B153" s="6"/>
      <c r="C153" s="4"/>
      <c r="D153" s="4"/>
      <c r="E153" s="4"/>
      <c r="F153" s="4"/>
      <c r="G153" s="13"/>
      <c r="H153" s="13"/>
      <c r="I153" s="13"/>
      <c r="J153" s="13"/>
      <c r="K153" s="13"/>
      <c r="L153" s="14"/>
      <c r="M153" s="15" t="str">
        <f>IF(OR(K153="",K153=0),"",L153/K153)</f>
        <v/>
      </c>
      <c r="N153" s="4"/>
    </row>
    <row r="154">
      <c r="A154" s="5"/>
      <c r="B154" s="6"/>
      <c r="C154" s="4"/>
      <c r="D154" s="4"/>
      <c r="E154" s="4"/>
      <c r="F154" s="4"/>
      <c r="G154" s="13"/>
      <c r="H154" s="13"/>
      <c r="I154" s="13"/>
      <c r="J154" s="13"/>
      <c r="K154" s="13"/>
      <c r="L154" s="14"/>
      <c r="M154" s="15" t="str">
        <f>IF(OR(K154="",K154=0),"",L154/K154)</f>
        <v/>
      </c>
      <c r="N154" s="4"/>
    </row>
  </sheetData>
  <autoFilter ref="A4:N154"/>
  <dataValidations count="2">
    <dataValidation type="list" allowBlank="1" showErrorMessage="1" errorStyle="warning" errorTitle="Valor fuera de catálogo" error="Usa un valor de la lista para que el tablero lo cuente." showInputMessage="1" promptTitle="Selecciona" prompt="ID de la estrategia" sqref="A5:A154">
      <formula1>Estrategias!$A$5:$A$14</formula1>
    </dataValidation>
    <dataValidation type="list" allowBlank="1" showErrorMessage="1" errorStyle="warning" errorTitle="Valor fuera de catálogo" error="Usa un valor de la lista para que el tablero lo cuente." sqref="F5:F154">
      <formula1>"Propuesta,Autorizada,Realizada,Cancelada"</formula1>
    </dataValidation>
  </dataValidations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55A11"/>
  </sheetPr>
  <dimension ref="A1:AE27"/>
  <sheetViews>
    <sheetView workbookViewId="0" zoomScale="100" showGridLines="0">
      <pane xSplit="3" ySplit="5" topLeftCell="D6" activePane="bottomRight" state="frozen"/>
      <selection pane="bottomRight" activeCell="D6" sqref="D6"/>
    </sheetView>
  </sheetViews>
  <sheetFormatPr defaultRowHeight="15"/>
  <cols>
    <col min="1" max="1" width="5" customWidth="1"/>
    <col min="2" max="2" width="34" customWidth="1"/>
    <col min="3" max="3" width="9" customWidth="1"/>
    <col min="4" max="4" width="4.2" customWidth="1"/>
    <col min="5" max="5" width="4.2" customWidth="1"/>
    <col min="6" max="6" width="4.2" customWidth="1"/>
    <col min="7" max="7" width="4.2" customWidth="1"/>
    <col min="8" max="8" width="4.2" customWidth="1"/>
    <col min="9" max="9" width="4.2" customWidth="1"/>
    <col min="10" max="10" width="4.2" customWidth="1"/>
    <col min="11" max="11" width="4.2" customWidth="1"/>
    <col min="12" max="12" width="4.2" customWidth="1"/>
    <col min="13" max="13" width="4.2" customWidth="1"/>
    <col min="14" max="14" width="4.2" customWidth="1"/>
    <col min="15" max="15" width="4.2" customWidth="1"/>
    <col min="16" max="16" width="4.2" customWidth="1"/>
    <col min="17" max="17" width="4.2" customWidth="1"/>
    <col min="18" max="18" width="4.2" customWidth="1"/>
    <col min="19" max="19" width="4.2" customWidth="1"/>
    <col min="20" max="20" width="4.2" customWidth="1"/>
    <col min="21" max="21" width="4.2" customWidth="1"/>
    <col min="22" max="22" width="4.2" customWidth="1"/>
    <col min="23" max="23" width="4.2" customWidth="1"/>
    <col min="24" max="24" width="4.2" customWidth="1"/>
    <col min="25" max="25" width="4.2" customWidth="1"/>
    <col min="26" max="26" width="4.2" customWidth="1"/>
    <col min="27" max="27" width="4.2" customWidth="1"/>
  </cols>
  <sheetData>
    <row r="1">
      <c r="A1" s="1" t="inlineStr">
        <is>
          <t>Calendario comercial · semana del 19-oct-2026 a marzo de 2027 (actualizado al 23-oct)</t>
        </is>
      </c>
    </row>
    <row r="2">
      <c r="A2" s="2" t="inlineStr">
        <is>
          <t>■ = estrategia en curso (según fechas de la hoja Estrategias) · ● = semana con evento (hoja Eventos). Cambiar fechas en esas hojas actualiza el calendario.</t>
        </is>
      </c>
    </row>
    <row r="4">
      <c r="A4" s="3" t="inlineStr">
        <is>
          <t>ID</t>
        </is>
      </c>
      <c r="B4" s="3" t="inlineStr">
        <is>
          <t>Estrategia</t>
        </is>
      </c>
      <c r="C4" s="3" t="inlineStr">
        <is>
          <t>Prioridad</t>
        </is>
      </c>
      <c r="D4" s="17" t="inlineStr">
        <is>
          <t>oct</t>
        </is>
      </c>
      <c r="E4" s="17"/>
      <c r="F4" s="17" t="inlineStr">
        <is>
          <t>nov</t>
        </is>
      </c>
      <c r="G4" s="17"/>
      <c r="H4" s="17"/>
      <c r="I4" s="17"/>
      <c r="J4" s="17"/>
      <c r="K4" s="17" t="inlineStr">
        <is>
          <t>dic</t>
        </is>
      </c>
      <c r="L4" s="17"/>
      <c r="M4" s="17"/>
      <c r="N4" s="17"/>
      <c r="O4" s="17" t="inlineStr">
        <is>
          <t>ene</t>
        </is>
      </c>
      <c r="P4" s="17"/>
      <c r="Q4" s="17"/>
      <c r="R4" s="17"/>
      <c r="S4" s="17" t="inlineStr">
        <is>
          <t>feb</t>
        </is>
      </c>
      <c r="T4" s="17"/>
      <c r="U4" s="17"/>
      <c r="V4" s="17"/>
      <c r="W4" s="17" t="inlineStr">
        <is>
          <t>mar</t>
        </is>
      </c>
      <c r="X4" s="17"/>
      <c r="Y4" s="17"/>
      <c r="Z4" s="17"/>
      <c r="AA4" s="17"/>
    </row>
    <row r="5">
      <c r="A5" s="3"/>
      <c r="B5" s="3" t="inlineStr">
        <is>
          <t>Semana que inicia (lunes)</t>
        </is>
      </c>
      <c r="C5" s="3"/>
      <c r="D5" s="16">
        <v>46314</v>
      </c>
      <c r="E5" s="16">
        <v>46321</v>
      </c>
      <c r="F5" s="16">
        <v>46328</v>
      </c>
      <c r="G5" s="16">
        <v>46335</v>
      </c>
      <c r="H5" s="16">
        <v>46342</v>
      </c>
      <c r="I5" s="16">
        <v>46349</v>
      </c>
      <c r="J5" s="16">
        <v>46356</v>
      </c>
      <c r="K5" s="16">
        <v>46363</v>
      </c>
      <c r="L5" s="16">
        <v>46370</v>
      </c>
      <c r="M5" s="16">
        <v>46377</v>
      </c>
      <c r="N5" s="16">
        <v>46384</v>
      </c>
      <c r="O5" s="16">
        <v>46391</v>
      </c>
      <c r="P5" s="16">
        <v>46398</v>
      </c>
      <c r="Q5" s="16">
        <v>46405</v>
      </c>
      <c r="R5" s="16">
        <v>46412</v>
      </c>
      <c r="S5" s="16">
        <v>46419</v>
      </c>
      <c r="T5" s="16">
        <v>46426</v>
      </c>
      <c r="U5" s="16">
        <v>46433</v>
      </c>
      <c r="V5" s="16">
        <v>46440</v>
      </c>
      <c r="W5" s="16">
        <v>46447</v>
      </c>
      <c r="X5" s="16">
        <v>46454</v>
      </c>
      <c r="Y5" s="16">
        <v>46461</v>
      </c>
      <c r="Z5" s="16">
        <v>46468</v>
      </c>
      <c r="AA5" s="16">
        <v>46475</v>
      </c>
    </row>
    <row r="6">
      <c r="B6" s="19" t="inlineStr">
        <is>
          <t>Fechas clave</t>
        </is>
      </c>
    </row>
    <row r="7">
      <c r="A7" s="21"/>
      <c r="B7" s="20" t="inlineStr">
        <is>
          <t>Fin de campaña Meta de octubre</t>
        </is>
      </c>
      <c r="C7" s="21"/>
      <c r="D7" s="23" t="str">
        <f>IF(AND(D$5&lt;=$AE7,D$5+6&gt;=$AD7),"◆","")</f>
        <v/>
      </c>
      <c r="E7" s="23" t="str">
        <f>IF(AND(E$5&lt;=$AE7,E$5+6&gt;=$AD7),"◆","")</f>
        <v/>
      </c>
      <c r="F7" s="23" t="str">
        <f>IF(AND(F$5&lt;=$AE7,F$5+6&gt;=$AD7),"◆","")</f>
        <v>◆</v>
      </c>
      <c r="G7" s="23" t="str">
        <f>IF(AND(G$5&lt;=$AE7,G$5+6&gt;=$AD7),"◆","")</f>
        <v/>
      </c>
      <c r="H7" s="23" t="str">
        <f>IF(AND(H$5&lt;=$AE7,H$5+6&gt;=$AD7),"◆","")</f>
        <v/>
      </c>
      <c r="I7" s="23" t="str">
        <f>IF(AND(I$5&lt;=$AE7,I$5+6&gt;=$AD7),"◆","")</f>
        <v/>
      </c>
      <c r="J7" s="23" t="str">
        <f>IF(AND(J$5&lt;=$AE7,J$5+6&gt;=$AD7),"◆","")</f>
        <v/>
      </c>
      <c r="K7" s="23" t="str">
        <f>IF(AND(K$5&lt;=$AE7,K$5+6&gt;=$AD7),"◆","")</f>
        <v/>
      </c>
      <c r="L7" s="23" t="str">
        <f>IF(AND(L$5&lt;=$AE7,L$5+6&gt;=$AD7),"◆","")</f>
        <v/>
      </c>
      <c r="M7" s="23" t="str">
        <f>IF(AND(M$5&lt;=$AE7,M$5+6&gt;=$AD7),"◆","")</f>
        <v/>
      </c>
      <c r="N7" s="23" t="str">
        <f>IF(AND(N$5&lt;=$AE7,N$5+6&gt;=$AD7),"◆","")</f>
        <v/>
      </c>
      <c r="O7" s="23" t="str">
        <f>IF(AND(O$5&lt;=$AE7,O$5+6&gt;=$AD7),"◆","")</f>
        <v/>
      </c>
      <c r="P7" s="23" t="str">
        <f>IF(AND(P$5&lt;=$AE7,P$5+6&gt;=$AD7),"◆","")</f>
        <v/>
      </c>
      <c r="Q7" s="23" t="str">
        <f>IF(AND(Q$5&lt;=$AE7,Q$5+6&gt;=$AD7),"◆","")</f>
        <v/>
      </c>
      <c r="R7" s="23" t="str">
        <f>IF(AND(R$5&lt;=$AE7,R$5+6&gt;=$AD7),"◆","")</f>
        <v/>
      </c>
      <c r="S7" s="23" t="str">
        <f>IF(AND(S$5&lt;=$AE7,S$5+6&gt;=$AD7),"◆","")</f>
        <v/>
      </c>
      <c r="T7" s="23" t="str">
        <f>IF(AND(T$5&lt;=$AE7,T$5+6&gt;=$AD7),"◆","")</f>
        <v/>
      </c>
      <c r="U7" s="23" t="str">
        <f>IF(AND(U$5&lt;=$AE7,U$5+6&gt;=$AD7),"◆","")</f>
        <v/>
      </c>
      <c r="V7" s="23" t="str">
        <f>IF(AND(V$5&lt;=$AE7,V$5+6&gt;=$AD7),"◆","")</f>
        <v/>
      </c>
      <c r="W7" s="23" t="str">
        <f>IF(AND(W$5&lt;=$AE7,W$5+6&gt;=$AD7),"◆","")</f>
        <v/>
      </c>
      <c r="X7" s="23" t="str">
        <f>IF(AND(X$5&lt;=$AE7,X$5+6&gt;=$AD7),"◆","")</f>
        <v/>
      </c>
      <c r="Y7" s="23" t="str">
        <f>IF(AND(Y$5&lt;=$AE7,Y$5+6&gt;=$AD7),"◆","")</f>
        <v/>
      </c>
      <c r="Z7" s="23" t="str">
        <f>IF(AND(Z$5&lt;=$AE7,Z$5+6&gt;=$AD7),"◆","")</f>
        <v/>
      </c>
      <c r="AA7" s="23" t="str">
        <f>IF(AND(AA$5&lt;=$AE7,AA$5+6&gt;=$AD7),"◆","")</f>
        <v/>
      </c>
      <c r="AD7" s="22">
        <v>46328</v>
      </c>
      <c r="AE7" s="22">
        <v>46328</v>
      </c>
    </row>
    <row r="8">
      <c r="A8" s="21"/>
      <c r="B8" s="20" t="inlineStr">
        <is>
          <t>Buen Fin</t>
        </is>
      </c>
      <c r="C8" s="21"/>
      <c r="D8" s="23" t="str">
        <f>IF(AND(D$5&lt;=$AE8,D$5+6&gt;=$AD8),"◆","")</f>
        <v/>
      </c>
      <c r="E8" s="23" t="str">
        <f>IF(AND(E$5&lt;=$AE8,E$5+6&gt;=$AD8),"◆","")</f>
        <v/>
      </c>
      <c r="F8" s="23" t="str">
        <f>IF(AND(F$5&lt;=$AE8,F$5+6&gt;=$AD8),"◆","")</f>
        <v/>
      </c>
      <c r="G8" s="23" t="str">
        <f>IF(AND(G$5&lt;=$AE8,G$5+6&gt;=$AD8),"◆","")</f>
        <v>◆</v>
      </c>
      <c r="H8" s="23" t="str">
        <f>IF(AND(H$5&lt;=$AE8,H$5+6&gt;=$AD8),"◆","")</f>
        <v>◆</v>
      </c>
      <c r="I8" s="23" t="str">
        <f>IF(AND(I$5&lt;=$AE8,I$5+6&gt;=$AD8),"◆","")</f>
        <v/>
      </c>
      <c r="J8" s="23" t="str">
        <f>IF(AND(J$5&lt;=$AE8,J$5+6&gt;=$AD8),"◆","")</f>
        <v/>
      </c>
      <c r="K8" s="23" t="str">
        <f>IF(AND(K$5&lt;=$AE8,K$5+6&gt;=$AD8),"◆","")</f>
        <v/>
      </c>
      <c r="L8" s="23" t="str">
        <f>IF(AND(L$5&lt;=$AE8,L$5+6&gt;=$AD8),"◆","")</f>
        <v/>
      </c>
      <c r="M8" s="23" t="str">
        <f>IF(AND(M$5&lt;=$AE8,M$5+6&gt;=$AD8),"◆","")</f>
        <v/>
      </c>
      <c r="N8" s="23" t="str">
        <f>IF(AND(N$5&lt;=$AE8,N$5+6&gt;=$AD8),"◆","")</f>
        <v/>
      </c>
      <c r="O8" s="23" t="str">
        <f>IF(AND(O$5&lt;=$AE8,O$5+6&gt;=$AD8),"◆","")</f>
        <v/>
      </c>
      <c r="P8" s="23" t="str">
        <f>IF(AND(P$5&lt;=$AE8,P$5+6&gt;=$AD8),"◆","")</f>
        <v/>
      </c>
      <c r="Q8" s="23" t="str">
        <f>IF(AND(Q$5&lt;=$AE8,Q$5+6&gt;=$AD8),"◆","")</f>
        <v/>
      </c>
      <c r="R8" s="23" t="str">
        <f>IF(AND(R$5&lt;=$AE8,R$5+6&gt;=$AD8),"◆","")</f>
        <v/>
      </c>
      <c r="S8" s="23" t="str">
        <f>IF(AND(S$5&lt;=$AE8,S$5+6&gt;=$AD8),"◆","")</f>
        <v/>
      </c>
      <c r="T8" s="23" t="str">
        <f>IF(AND(T$5&lt;=$AE8,T$5+6&gt;=$AD8),"◆","")</f>
        <v/>
      </c>
      <c r="U8" s="23" t="str">
        <f>IF(AND(U$5&lt;=$AE8,U$5+6&gt;=$AD8),"◆","")</f>
        <v/>
      </c>
      <c r="V8" s="23" t="str">
        <f>IF(AND(V$5&lt;=$AE8,V$5+6&gt;=$AD8),"◆","")</f>
        <v/>
      </c>
      <c r="W8" s="23" t="str">
        <f>IF(AND(W$5&lt;=$AE8,W$5+6&gt;=$AD8),"◆","")</f>
        <v/>
      </c>
      <c r="X8" s="23" t="str">
        <f>IF(AND(X$5&lt;=$AE8,X$5+6&gt;=$AD8),"◆","")</f>
        <v/>
      </c>
      <c r="Y8" s="23" t="str">
        <f>IF(AND(Y$5&lt;=$AE8,Y$5+6&gt;=$AD8),"◆","")</f>
        <v/>
      </c>
      <c r="Z8" s="23" t="str">
        <f>IF(AND(Z$5&lt;=$AE8,Z$5+6&gt;=$AD8),"◆","")</f>
        <v/>
      </c>
      <c r="AA8" s="23" t="str">
        <f>IF(AND(AA$5&lt;=$AE8,AA$5+6&gt;=$AD8),"◆","")</f>
        <v/>
      </c>
      <c r="AD8" s="22">
        <v>46339</v>
      </c>
      <c r="AE8" s="22">
        <v>46343</v>
      </c>
    </row>
    <row r="9">
      <c r="A9" s="21"/>
      <c r="B9" s="20" t="inlineStr">
        <is>
          <t>Asueto (Revolución)</t>
        </is>
      </c>
      <c r="C9" s="21"/>
      <c r="D9" s="23" t="str">
        <f>IF(AND(D$5&lt;=$AE9,D$5+6&gt;=$AD9),"◆","")</f>
        <v/>
      </c>
      <c r="E9" s="23" t="str">
        <f>IF(AND(E$5&lt;=$AE9,E$5+6&gt;=$AD9),"◆","")</f>
        <v/>
      </c>
      <c r="F9" s="23" t="str">
        <f>IF(AND(F$5&lt;=$AE9,F$5+6&gt;=$AD9),"◆","")</f>
        <v/>
      </c>
      <c r="G9" s="23" t="str">
        <f>IF(AND(G$5&lt;=$AE9,G$5+6&gt;=$AD9),"◆","")</f>
        <v/>
      </c>
      <c r="H9" s="23" t="str">
        <f>IF(AND(H$5&lt;=$AE9,H$5+6&gt;=$AD9),"◆","")</f>
        <v>◆</v>
      </c>
      <c r="I9" s="23" t="str">
        <f>IF(AND(I$5&lt;=$AE9,I$5+6&gt;=$AD9),"◆","")</f>
        <v/>
      </c>
      <c r="J9" s="23" t="str">
        <f>IF(AND(J$5&lt;=$AE9,J$5+6&gt;=$AD9),"◆","")</f>
        <v/>
      </c>
      <c r="K9" s="23" t="str">
        <f>IF(AND(K$5&lt;=$AE9,K$5+6&gt;=$AD9),"◆","")</f>
        <v/>
      </c>
      <c r="L9" s="23" t="str">
        <f>IF(AND(L$5&lt;=$AE9,L$5+6&gt;=$AD9),"◆","")</f>
        <v/>
      </c>
      <c r="M9" s="23" t="str">
        <f>IF(AND(M$5&lt;=$AE9,M$5+6&gt;=$AD9),"◆","")</f>
        <v/>
      </c>
      <c r="N9" s="23" t="str">
        <f>IF(AND(N$5&lt;=$AE9,N$5+6&gt;=$AD9),"◆","")</f>
        <v/>
      </c>
      <c r="O9" s="23" t="str">
        <f>IF(AND(O$5&lt;=$AE9,O$5+6&gt;=$AD9),"◆","")</f>
        <v/>
      </c>
      <c r="P9" s="23" t="str">
        <f>IF(AND(P$5&lt;=$AE9,P$5+6&gt;=$AD9),"◆","")</f>
        <v/>
      </c>
      <c r="Q9" s="23" t="str">
        <f>IF(AND(Q$5&lt;=$AE9,Q$5+6&gt;=$AD9),"◆","")</f>
        <v/>
      </c>
      <c r="R9" s="23" t="str">
        <f>IF(AND(R$5&lt;=$AE9,R$5+6&gt;=$AD9),"◆","")</f>
        <v/>
      </c>
      <c r="S9" s="23" t="str">
        <f>IF(AND(S$5&lt;=$AE9,S$5+6&gt;=$AD9),"◆","")</f>
        <v/>
      </c>
      <c r="T9" s="23" t="str">
        <f>IF(AND(T$5&lt;=$AE9,T$5+6&gt;=$AD9),"◆","")</f>
        <v/>
      </c>
      <c r="U9" s="23" t="str">
        <f>IF(AND(U$5&lt;=$AE9,U$5+6&gt;=$AD9),"◆","")</f>
        <v/>
      </c>
      <c r="V9" s="23" t="str">
        <f>IF(AND(V$5&lt;=$AE9,V$5+6&gt;=$AD9),"◆","")</f>
        <v/>
      </c>
      <c r="W9" s="23" t="str">
        <f>IF(AND(W$5&lt;=$AE9,W$5+6&gt;=$AD9),"◆","")</f>
        <v/>
      </c>
      <c r="X9" s="23" t="str">
        <f>IF(AND(X$5&lt;=$AE9,X$5+6&gt;=$AD9),"◆","")</f>
        <v/>
      </c>
      <c r="Y9" s="23" t="str">
        <f>IF(AND(Y$5&lt;=$AE9,Y$5+6&gt;=$AD9),"◆","")</f>
        <v/>
      </c>
      <c r="Z9" s="23" t="str">
        <f>IF(AND(Z$5&lt;=$AE9,Z$5+6&gt;=$AD9),"◆","")</f>
        <v/>
      </c>
      <c r="AA9" s="23" t="str">
        <f>IF(AND(AA$5&lt;=$AE9,AA$5+6&gt;=$AD9),"◆","")</f>
        <v/>
      </c>
      <c r="AD9" s="22">
        <v>46342</v>
      </c>
      <c r="AE9" s="22">
        <v>46342</v>
      </c>
    </row>
    <row r="10">
      <c r="A10" s="21"/>
      <c r="B10" s="20" t="inlineStr">
        <is>
          <t>Vacaciones SEP de invierno</t>
        </is>
      </c>
      <c r="C10" s="21"/>
      <c r="D10" s="23" t="str">
        <f>IF(AND(D$5&lt;=$AE10,D$5+6&gt;=$AD10),"◆","")</f>
        <v/>
      </c>
      <c r="E10" s="23" t="str">
        <f>IF(AND(E$5&lt;=$AE10,E$5+6&gt;=$AD10),"◆","")</f>
        <v/>
      </c>
      <c r="F10" s="23" t="str">
        <f>IF(AND(F$5&lt;=$AE10,F$5+6&gt;=$AD10),"◆","")</f>
        <v/>
      </c>
      <c r="G10" s="23" t="str">
        <f>IF(AND(G$5&lt;=$AE10,G$5+6&gt;=$AD10),"◆","")</f>
        <v/>
      </c>
      <c r="H10" s="23" t="str">
        <f>IF(AND(H$5&lt;=$AE10,H$5+6&gt;=$AD10),"◆","")</f>
        <v/>
      </c>
      <c r="I10" s="23" t="str">
        <f>IF(AND(I$5&lt;=$AE10,I$5+6&gt;=$AD10),"◆","")</f>
        <v/>
      </c>
      <c r="J10" s="23" t="str">
        <f>IF(AND(J$5&lt;=$AE10,J$5+6&gt;=$AD10),"◆","")</f>
        <v/>
      </c>
      <c r="K10" s="23" t="str">
        <f>IF(AND(K$5&lt;=$AE10,K$5+6&gt;=$AD10),"◆","")</f>
        <v/>
      </c>
      <c r="L10" s="23" t="str">
        <f>IF(AND(L$5&lt;=$AE10,L$5+6&gt;=$AD10),"◆","")</f>
        <v/>
      </c>
      <c r="M10" s="23" t="str">
        <f>IF(AND(M$5&lt;=$AE10,M$5+6&gt;=$AD10),"◆","")</f>
        <v>◆</v>
      </c>
      <c r="N10" s="23" t="str">
        <f>IF(AND(N$5&lt;=$AE10,N$5+6&gt;=$AD10),"◆","")</f>
        <v>◆</v>
      </c>
      <c r="O10" s="23" t="str">
        <f>IF(AND(O$5&lt;=$AE10,O$5+6&gt;=$AD10),"◆","")</f>
        <v>◆</v>
      </c>
      <c r="P10" s="23" t="str">
        <f>IF(AND(P$5&lt;=$AE10,P$5+6&gt;=$AD10),"◆","")</f>
        <v/>
      </c>
      <c r="Q10" s="23" t="str">
        <f>IF(AND(Q$5&lt;=$AE10,Q$5+6&gt;=$AD10),"◆","")</f>
        <v/>
      </c>
      <c r="R10" s="23" t="str">
        <f>IF(AND(R$5&lt;=$AE10,R$5+6&gt;=$AD10),"◆","")</f>
        <v/>
      </c>
      <c r="S10" s="23" t="str">
        <f>IF(AND(S$5&lt;=$AE10,S$5+6&gt;=$AD10),"◆","")</f>
        <v/>
      </c>
      <c r="T10" s="23" t="str">
        <f>IF(AND(T$5&lt;=$AE10,T$5+6&gt;=$AD10),"◆","")</f>
        <v/>
      </c>
      <c r="U10" s="23" t="str">
        <f>IF(AND(U$5&lt;=$AE10,U$5+6&gt;=$AD10),"◆","")</f>
        <v/>
      </c>
      <c r="V10" s="23" t="str">
        <f>IF(AND(V$5&lt;=$AE10,V$5+6&gt;=$AD10),"◆","")</f>
        <v/>
      </c>
      <c r="W10" s="23" t="str">
        <f>IF(AND(W$5&lt;=$AE10,W$5+6&gt;=$AD10),"◆","")</f>
        <v/>
      </c>
      <c r="X10" s="23" t="str">
        <f>IF(AND(X$5&lt;=$AE10,X$5+6&gt;=$AD10),"◆","")</f>
        <v/>
      </c>
      <c r="Y10" s="23" t="str">
        <f>IF(AND(Y$5&lt;=$AE10,Y$5+6&gt;=$AD10),"◆","")</f>
        <v/>
      </c>
      <c r="Z10" s="23" t="str">
        <f>IF(AND(Z$5&lt;=$AE10,Z$5+6&gt;=$AD10),"◆","")</f>
        <v/>
      </c>
      <c r="AA10" s="23" t="str">
        <f>IF(AND(AA$5&lt;=$AE10,AA$5+6&gt;=$AD10),"◆","")</f>
        <v/>
      </c>
      <c r="AD10" s="22">
        <v>46377</v>
      </c>
      <c r="AE10" s="22">
        <v>46393</v>
      </c>
    </row>
    <row r="11">
      <c r="A11" s="21"/>
      <c r="B11" s="20" t="inlineStr">
        <is>
          <t>Asueto (Constitución)</t>
        </is>
      </c>
      <c r="C11" s="21"/>
      <c r="D11" s="23" t="str">
        <f>IF(AND(D$5&lt;=$AE11,D$5+6&gt;=$AD11),"◆","")</f>
        <v/>
      </c>
      <c r="E11" s="23" t="str">
        <f>IF(AND(E$5&lt;=$AE11,E$5+6&gt;=$AD11),"◆","")</f>
        <v/>
      </c>
      <c r="F11" s="23" t="str">
        <f>IF(AND(F$5&lt;=$AE11,F$5+6&gt;=$AD11),"◆","")</f>
        <v/>
      </c>
      <c r="G11" s="23" t="str">
        <f>IF(AND(G$5&lt;=$AE11,G$5+6&gt;=$AD11),"◆","")</f>
        <v/>
      </c>
      <c r="H11" s="23" t="str">
        <f>IF(AND(H$5&lt;=$AE11,H$5+6&gt;=$AD11),"◆","")</f>
        <v/>
      </c>
      <c r="I11" s="23" t="str">
        <f>IF(AND(I$5&lt;=$AE11,I$5+6&gt;=$AD11),"◆","")</f>
        <v/>
      </c>
      <c r="J11" s="23" t="str">
        <f>IF(AND(J$5&lt;=$AE11,J$5+6&gt;=$AD11),"◆","")</f>
        <v/>
      </c>
      <c r="K11" s="23" t="str">
        <f>IF(AND(K$5&lt;=$AE11,K$5+6&gt;=$AD11),"◆","")</f>
        <v/>
      </c>
      <c r="L11" s="23" t="str">
        <f>IF(AND(L$5&lt;=$AE11,L$5+6&gt;=$AD11),"◆","")</f>
        <v/>
      </c>
      <c r="M11" s="23" t="str">
        <f>IF(AND(M$5&lt;=$AE11,M$5+6&gt;=$AD11),"◆","")</f>
        <v/>
      </c>
      <c r="N11" s="23" t="str">
        <f>IF(AND(N$5&lt;=$AE11,N$5+6&gt;=$AD11),"◆","")</f>
        <v/>
      </c>
      <c r="O11" s="23" t="str">
        <f>IF(AND(O$5&lt;=$AE11,O$5+6&gt;=$AD11),"◆","")</f>
        <v/>
      </c>
      <c r="P11" s="23" t="str">
        <f>IF(AND(P$5&lt;=$AE11,P$5+6&gt;=$AD11),"◆","")</f>
        <v/>
      </c>
      <c r="Q11" s="23" t="str">
        <f>IF(AND(Q$5&lt;=$AE11,Q$5+6&gt;=$AD11),"◆","")</f>
        <v/>
      </c>
      <c r="R11" s="23" t="str">
        <f>IF(AND(R$5&lt;=$AE11,R$5+6&gt;=$AD11),"◆","")</f>
        <v/>
      </c>
      <c r="S11" s="23" t="str">
        <f>IF(AND(S$5&lt;=$AE11,S$5+6&gt;=$AD11),"◆","")</f>
        <v>◆</v>
      </c>
      <c r="T11" s="23" t="str">
        <f>IF(AND(T$5&lt;=$AE11,T$5+6&gt;=$AD11),"◆","")</f>
        <v/>
      </c>
      <c r="U11" s="23" t="str">
        <f>IF(AND(U$5&lt;=$AE11,U$5+6&gt;=$AD11),"◆","")</f>
        <v/>
      </c>
      <c r="V11" s="23" t="str">
        <f>IF(AND(V$5&lt;=$AE11,V$5+6&gt;=$AD11),"◆","")</f>
        <v/>
      </c>
      <c r="W11" s="23" t="str">
        <f>IF(AND(W$5&lt;=$AE11,W$5+6&gt;=$AD11),"◆","")</f>
        <v/>
      </c>
      <c r="X11" s="23" t="str">
        <f>IF(AND(X$5&lt;=$AE11,X$5+6&gt;=$AD11),"◆","")</f>
        <v/>
      </c>
      <c r="Y11" s="23" t="str">
        <f>IF(AND(Y$5&lt;=$AE11,Y$5+6&gt;=$AD11),"◆","")</f>
        <v/>
      </c>
      <c r="Z11" s="23" t="str">
        <f>IF(AND(Z$5&lt;=$AE11,Z$5+6&gt;=$AD11),"◆","")</f>
        <v/>
      </c>
      <c r="AA11" s="23" t="str">
        <f>IF(AND(AA$5&lt;=$AE11,AA$5+6&gt;=$AD11),"◆","")</f>
        <v/>
      </c>
      <c r="AD11" s="22">
        <v>46419</v>
      </c>
      <c r="AE11" s="22">
        <v>46419</v>
      </c>
    </row>
    <row r="12">
      <c r="A12" s="21"/>
      <c r="B12" s="20" t="inlineStr">
        <is>
          <t>Asueto (Natalicio de Benito Juárez)</t>
        </is>
      </c>
      <c r="C12" s="21"/>
      <c r="D12" s="23" t="str">
        <f>IF(AND(D$5&lt;=$AE12,D$5+6&gt;=$AD12),"◆","")</f>
        <v/>
      </c>
      <c r="E12" s="23" t="str">
        <f>IF(AND(E$5&lt;=$AE12,E$5+6&gt;=$AD12),"◆","")</f>
        <v/>
      </c>
      <c r="F12" s="23" t="str">
        <f>IF(AND(F$5&lt;=$AE12,F$5+6&gt;=$AD12),"◆","")</f>
        <v/>
      </c>
      <c r="G12" s="23" t="str">
        <f>IF(AND(G$5&lt;=$AE12,G$5+6&gt;=$AD12),"◆","")</f>
        <v/>
      </c>
      <c r="H12" s="23" t="str">
        <f>IF(AND(H$5&lt;=$AE12,H$5+6&gt;=$AD12),"◆","")</f>
        <v/>
      </c>
      <c r="I12" s="23" t="str">
        <f>IF(AND(I$5&lt;=$AE12,I$5+6&gt;=$AD12),"◆","")</f>
        <v/>
      </c>
      <c r="J12" s="23" t="str">
        <f>IF(AND(J$5&lt;=$AE12,J$5+6&gt;=$AD12),"◆","")</f>
        <v/>
      </c>
      <c r="K12" s="23" t="str">
        <f>IF(AND(K$5&lt;=$AE12,K$5+6&gt;=$AD12),"◆","")</f>
        <v/>
      </c>
      <c r="L12" s="23" t="str">
        <f>IF(AND(L$5&lt;=$AE12,L$5+6&gt;=$AD12),"◆","")</f>
        <v/>
      </c>
      <c r="M12" s="23" t="str">
        <f>IF(AND(M$5&lt;=$AE12,M$5+6&gt;=$AD12),"◆","")</f>
        <v/>
      </c>
      <c r="N12" s="23" t="str">
        <f>IF(AND(N$5&lt;=$AE12,N$5+6&gt;=$AD12),"◆","")</f>
        <v/>
      </c>
      <c r="O12" s="23" t="str">
        <f>IF(AND(O$5&lt;=$AE12,O$5+6&gt;=$AD12),"◆","")</f>
        <v/>
      </c>
      <c r="P12" s="23" t="str">
        <f>IF(AND(P$5&lt;=$AE12,P$5+6&gt;=$AD12),"◆","")</f>
        <v/>
      </c>
      <c r="Q12" s="23" t="str">
        <f>IF(AND(Q$5&lt;=$AE12,Q$5+6&gt;=$AD12),"◆","")</f>
        <v/>
      </c>
      <c r="R12" s="23" t="str">
        <f>IF(AND(R$5&lt;=$AE12,R$5+6&gt;=$AD12),"◆","")</f>
        <v/>
      </c>
      <c r="S12" s="23" t="str">
        <f>IF(AND(S$5&lt;=$AE12,S$5+6&gt;=$AD12),"◆","")</f>
        <v/>
      </c>
      <c r="T12" s="23" t="str">
        <f>IF(AND(T$5&lt;=$AE12,T$5+6&gt;=$AD12),"◆","")</f>
        <v/>
      </c>
      <c r="U12" s="23" t="str">
        <f>IF(AND(U$5&lt;=$AE12,U$5+6&gt;=$AD12),"◆","")</f>
        <v/>
      </c>
      <c r="V12" s="23" t="str">
        <f>IF(AND(V$5&lt;=$AE12,V$5+6&gt;=$AD12),"◆","")</f>
        <v/>
      </c>
      <c r="W12" s="23" t="str">
        <f>IF(AND(W$5&lt;=$AE12,W$5+6&gt;=$AD12),"◆","")</f>
        <v/>
      </c>
      <c r="X12" s="23" t="str">
        <f>IF(AND(X$5&lt;=$AE12,X$5+6&gt;=$AD12),"◆","")</f>
        <v/>
      </c>
      <c r="Y12" s="23" t="str">
        <f>IF(AND(Y$5&lt;=$AE12,Y$5+6&gt;=$AD12),"◆","")</f>
        <v>◆</v>
      </c>
      <c r="Z12" s="23" t="str">
        <f>IF(AND(Z$5&lt;=$AE12,Z$5+6&gt;=$AD12),"◆","")</f>
        <v/>
      </c>
      <c r="AA12" s="23" t="str">
        <f>IF(AND(AA$5&lt;=$AE12,AA$5+6&gt;=$AD12),"◆","")</f>
        <v/>
      </c>
      <c r="AD12" s="22">
        <v>46461</v>
      </c>
      <c r="AE12" s="22">
        <v>46461</v>
      </c>
    </row>
    <row r="13">
      <c r="A13" s="21"/>
      <c r="B13" s="20" t="inlineStr">
        <is>
          <t>Vacaciones SEP de Semana Santa</t>
        </is>
      </c>
      <c r="C13" s="21"/>
      <c r="D13" s="23" t="str">
        <f>IF(AND(D$5&lt;=$AE13,D$5+6&gt;=$AD13),"◆","")</f>
        <v/>
      </c>
      <c r="E13" s="23" t="str">
        <f>IF(AND(E$5&lt;=$AE13,E$5+6&gt;=$AD13),"◆","")</f>
        <v/>
      </c>
      <c r="F13" s="23" t="str">
        <f>IF(AND(F$5&lt;=$AE13,F$5+6&gt;=$AD13),"◆","")</f>
        <v/>
      </c>
      <c r="G13" s="23" t="str">
        <f>IF(AND(G$5&lt;=$AE13,G$5+6&gt;=$AD13),"◆","")</f>
        <v/>
      </c>
      <c r="H13" s="23" t="str">
        <f>IF(AND(H$5&lt;=$AE13,H$5+6&gt;=$AD13),"◆","")</f>
        <v/>
      </c>
      <c r="I13" s="23" t="str">
        <f>IF(AND(I$5&lt;=$AE13,I$5+6&gt;=$AD13),"◆","")</f>
        <v/>
      </c>
      <c r="J13" s="23" t="str">
        <f>IF(AND(J$5&lt;=$AE13,J$5+6&gt;=$AD13),"◆","")</f>
        <v/>
      </c>
      <c r="K13" s="23" t="str">
        <f>IF(AND(K$5&lt;=$AE13,K$5+6&gt;=$AD13),"◆","")</f>
        <v/>
      </c>
      <c r="L13" s="23" t="str">
        <f>IF(AND(L$5&lt;=$AE13,L$5+6&gt;=$AD13),"◆","")</f>
        <v/>
      </c>
      <c r="M13" s="23" t="str">
        <f>IF(AND(M$5&lt;=$AE13,M$5+6&gt;=$AD13),"◆","")</f>
        <v/>
      </c>
      <c r="N13" s="23" t="str">
        <f>IF(AND(N$5&lt;=$AE13,N$5+6&gt;=$AD13),"◆","")</f>
        <v/>
      </c>
      <c r="O13" s="23" t="str">
        <f>IF(AND(O$5&lt;=$AE13,O$5+6&gt;=$AD13),"◆","")</f>
        <v/>
      </c>
      <c r="P13" s="23" t="str">
        <f>IF(AND(P$5&lt;=$AE13,P$5+6&gt;=$AD13),"◆","")</f>
        <v/>
      </c>
      <c r="Q13" s="23" t="str">
        <f>IF(AND(Q$5&lt;=$AE13,Q$5+6&gt;=$AD13),"◆","")</f>
        <v/>
      </c>
      <c r="R13" s="23" t="str">
        <f>IF(AND(R$5&lt;=$AE13,R$5+6&gt;=$AD13),"◆","")</f>
        <v/>
      </c>
      <c r="S13" s="23" t="str">
        <f>IF(AND(S$5&lt;=$AE13,S$5+6&gt;=$AD13),"◆","")</f>
        <v/>
      </c>
      <c r="T13" s="23" t="str">
        <f>IF(AND(T$5&lt;=$AE13,T$5+6&gt;=$AD13),"◆","")</f>
        <v/>
      </c>
      <c r="U13" s="23" t="str">
        <f>IF(AND(U$5&lt;=$AE13,U$5+6&gt;=$AD13),"◆","")</f>
        <v/>
      </c>
      <c r="V13" s="23" t="str">
        <f>IF(AND(V$5&lt;=$AE13,V$5+6&gt;=$AD13),"◆","")</f>
        <v/>
      </c>
      <c r="W13" s="23" t="str">
        <f>IF(AND(W$5&lt;=$AE13,W$5+6&gt;=$AD13),"◆","")</f>
        <v/>
      </c>
      <c r="X13" s="23" t="str">
        <f>IF(AND(X$5&lt;=$AE13,X$5+6&gt;=$AD13),"◆","")</f>
        <v/>
      </c>
      <c r="Y13" s="23" t="str">
        <f>IF(AND(Y$5&lt;=$AE13,Y$5+6&gt;=$AD13),"◆","")</f>
        <v/>
      </c>
      <c r="Z13" s="23" t="str">
        <f>IF(AND(Z$5&lt;=$AE13,Z$5+6&gt;=$AD13),"◆","")</f>
        <v>◆</v>
      </c>
      <c r="AA13" s="23" t="str">
        <f>IF(AND(AA$5&lt;=$AE13,AA$5+6&gt;=$AD13),"◆","")</f>
        <v>◆</v>
      </c>
      <c r="AD13" s="22">
        <v>46468</v>
      </c>
      <c r="AE13" s="22">
        <v>46479</v>
      </c>
    </row>
    <row r="14"/>
    <row r="15">
      <c r="B15" s="24" t="inlineStr">
        <is>
          <t>Estrategias</t>
        </is>
      </c>
    </row>
    <row r="16" ht="26" customHeight="1">
      <c r="A16" s="25" t="str">
        <f>Estrategias!A5</f>
        <v>E1</v>
      </c>
      <c r="B16" s="26" t="str">
        <f>Estrategias!C5</f>
        <v>Recuperar prospectos que ya asistieron o ya escribieron</v>
      </c>
      <c r="C16" s="27" t="str">
        <f>Estrategias!B5</f>
        <v>Alta</v>
      </c>
      <c r="D16" s="27" t="str">
        <f>IF(COUNTIFS(Eventos!$A$5:$A$154,$A16,Eventos!$B$5:$B$154,"&gt;="&amp;D$5,Eventos!$B$5:$B$154,"&lt;="&amp;D$5+6)&gt;0,"●",IF(AND(D$5&lt;=Estrategias!$I$5,D$5+6&gt;=Estrategias!$H$5),"■",""))</f>
        <v>●</v>
      </c>
      <c r="E16" s="27" t="str">
        <f>IF(COUNTIFS(Eventos!$A$5:$A$154,$A16,Eventos!$B$5:$B$154,"&gt;="&amp;E$5,Eventos!$B$5:$B$154,"&lt;="&amp;E$5+6)&gt;0,"●",IF(AND(E$5&lt;=Estrategias!$I$5,E$5+6&gt;=Estrategias!$H$5),"■",""))</f>
        <v>●</v>
      </c>
      <c r="F16" s="27" t="str">
        <f>IF(COUNTIFS(Eventos!$A$5:$A$154,$A16,Eventos!$B$5:$B$154,"&gt;="&amp;F$5,Eventos!$B$5:$B$154,"&lt;="&amp;F$5+6)&gt;0,"●",IF(AND(F$5&lt;=Estrategias!$I$5,F$5+6&gt;=Estrategias!$H$5),"■",""))</f>
        <v>■</v>
      </c>
      <c r="G16" s="27" t="str">
        <f>IF(COUNTIFS(Eventos!$A$5:$A$154,$A16,Eventos!$B$5:$B$154,"&gt;="&amp;G$5,Eventos!$B$5:$B$154,"&lt;="&amp;G$5+6)&gt;0,"●",IF(AND(G$5&lt;=Estrategias!$I$5,G$5+6&gt;=Estrategias!$H$5),"■",""))</f>
        <v/>
      </c>
      <c r="H16" s="27" t="str">
        <f>IF(COUNTIFS(Eventos!$A$5:$A$154,$A16,Eventos!$B$5:$B$154,"&gt;="&amp;H$5,Eventos!$B$5:$B$154,"&lt;="&amp;H$5+6)&gt;0,"●",IF(AND(H$5&lt;=Estrategias!$I$5,H$5+6&gt;=Estrategias!$H$5),"■",""))</f>
        <v/>
      </c>
      <c r="I16" s="27" t="str">
        <f>IF(COUNTIFS(Eventos!$A$5:$A$154,$A16,Eventos!$B$5:$B$154,"&gt;="&amp;I$5,Eventos!$B$5:$B$154,"&lt;="&amp;I$5+6)&gt;0,"●",IF(AND(I$5&lt;=Estrategias!$I$5,I$5+6&gt;=Estrategias!$H$5),"■",""))</f>
        <v/>
      </c>
      <c r="J16" s="27" t="str">
        <f>IF(COUNTIFS(Eventos!$A$5:$A$154,$A16,Eventos!$B$5:$B$154,"&gt;="&amp;J$5,Eventos!$B$5:$B$154,"&lt;="&amp;J$5+6)&gt;0,"●",IF(AND(J$5&lt;=Estrategias!$I$5,J$5+6&gt;=Estrategias!$H$5),"■",""))</f>
        <v/>
      </c>
      <c r="K16" s="27" t="str">
        <f>IF(COUNTIFS(Eventos!$A$5:$A$154,$A16,Eventos!$B$5:$B$154,"&gt;="&amp;K$5,Eventos!$B$5:$B$154,"&lt;="&amp;K$5+6)&gt;0,"●",IF(AND(K$5&lt;=Estrategias!$I$5,K$5+6&gt;=Estrategias!$H$5),"■",""))</f>
        <v/>
      </c>
      <c r="L16" s="27" t="str">
        <f>IF(COUNTIFS(Eventos!$A$5:$A$154,$A16,Eventos!$B$5:$B$154,"&gt;="&amp;L$5,Eventos!$B$5:$B$154,"&lt;="&amp;L$5+6)&gt;0,"●",IF(AND(L$5&lt;=Estrategias!$I$5,L$5+6&gt;=Estrategias!$H$5),"■",""))</f>
        <v/>
      </c>
      <c r="M16" s="27" t="str">
        <f>IF(COUNTIFS(Eventos!$A$5:$A$154,$A16,Eventos!$B$5:$B$154,"&gt;="&amp;M$5,Eventos!$B$5:$B$154,"&lt;="&amp;M$5+6)&gt;0,"●",IF(AND(M$5&lt;=Estrategias!$I$5,M$5+6&gt;=Estrategias!$H$5),"■",""))</f>
        <v/>
      </c>
      <c r="N16" s="27" t="str">
        <f>IF(COUNTIFS(Eventos!$A$5:$A$154,$A16,Eventos!$B$5:$B$154,"&gt;="&amp;N$5,Eventos!$B$5:$B$154,"&lt;="&amp;N$5+6)&gt;0,"●",IF(AND(N$5&lt;=Estrategias!$I$5,N$5+6&gt;=Estrategias!$H$5),"■",""))</f>
        <v/>
      </c>
      <c r="O16" s="27" t="str">
        <f>IF(COUNTIFS(Eventos!$A$5:$A$154,$A16,Eventos!$B$5:$B$154,"&gt;="&amp;O$5,Eventos!$B$5:$B$154,"&lt;="&amp;O$5+6)&gt;0,"●",IF(AND(O$5&lt;=Estrategias!$I$5,O$5+6&gt;=Estrategias!$H$5),"■",""))</f>
        <v/>
      </c>
      <c r="P16" s="27" t="str">
        <f>IF(COUNTIFS(Eventos!$A$5:$A$154,$A16,Eventos!$B$5:$B$154,"&gt;="&amp;P$5,Eventos!$B$5:$B$154,"&lt;="&amp;P$5+6)&gt;0,"●",IF(AND(P$5&lt;=Estrategias!$I$5,P$5+6&gt;=Estrategias!$H$5),"■",""))</f>
        <v/>
      </c>
      <c r="Q16" s="27" t="str">
        <f>IF(COUNTIFS(Eventos!$A$5:$A$154,$A16,Eventos!$B$5:$B$154,"&gt;="&amp;Q$5,Eventos!$B$5:$B$154,"&lt;="&amp;Q$5+6)&gt;0,"●",IF(AND(Q$5&lt;=Estrategias!$I$5,Q$5+6&gt;=Estrategias!$H$5),"■",""))</f>
        <v/>
      </c>
      <c r="R16" s="27" t="str">
        <f>IF(COUNTIFS(Eventos!$A$5:$A$154,$A16,Eventos!$B$5:$B$154,"&gt;="&amp;R$5,Eventos!$B$5:$B$154,"&lt;="&amp;R$5+6)&gt;0,"●",IF(AND(R$5&lt;=Estrategias!$I$5,R$5+6&gt;=Estrategias!$H$5),"■",""))</f>
        <v/>
      </c>
      <c r="S16" s="27" t="str">
        <f>IF(COUNTIFS(Eventos!$A$5:$A$154,$A16,Eventos!$B$5:$B$154,"&gt;="&amp;S$5,Eventos!$B$5:$B$154,"&lt;="&amp;S$5+6)&gt;0,"●",IF(AND(S$5&lt;=Estrategias!$I$5,S$5+6&gt;=Estrategias!$H$5),"■",""))</f>
        <v/>
      </c>
      <c r="T16" s="27" t="str">
        <f>IF(COUNTIFS(Eventos!$A$5:$A$154,$A16,Eventos!$B$5:$B$154,"&gt;="&amp;T$5,Eventos!$B$5:$B$154,"&lt;="&amp;T$5+6)&gt;0,"●",IF(AND(T$5&lt;=Estrategias!$I$5,T$5+6&gt;=Estrategias!$H$5),"■",""))</f>
        <v/>
      </c>
      <c r="U16" s="27" t="str">
        <f>IF(COUNTIFS(Eventos!$A$5:$A$154,$A16,Eventos!$B$5:$B$154,"&gt;="&amp;U$5,Eventos!$B$5:$B$154,"&lt;="&amp;U$5+6)&gt;0,"●",IF(AND(U$5&lt;=Estrategias!$I$5,U$5+6&gt;=Estrategias!$H$5),"■",""))</f>
        <v/>
      </c>
      <c r="V16" s="27" t="str">
        <f>IF(COUNTIFS(Eventos!$A$5:$A$154,$A16,Eventos!$B$5:$B$154,"&gt;="&amp;V$5,Eventos!$B$5:$B$154,"&lt;="&amp;V$5+6)&gt;0,"●",IF(AND(V$5&lt;=Estrategias!$I$5,V$5+6&gt;=Estrategias!$H$5),"■",""))</f>
        <v/>
      </c>
      <c r="W16" s="27" t="str">
        <f>IF(COUNTIFS(Eventos!$A$5:$A$154,$A16,Eventos!$B$5:$B$154,"&gt;="&amp;W$5,Eventos!$B$5:$B$154,"&lt;="&amp;W$5+6)&gt;0,"●",IF(AND(W$5&lt;=Estrategias!$I$5,W$5+6&gt;=Estrategias!$H$5),"■",""))</f>
        <v/>
      </c>
      <c r="X16" s="27" t="str">
        <f>IF(COUNTIFS(Eventos!$A$5:$A$154,$A16,Eventos!$B$5:$B$154,"&gt;="&amp;X$5,Eventos!$B$5:$B$154,"&lt;="&amp;X$5+6)&gt;0,"●",IF(AND(X$5&lt;=Estrategias!$I$5,X$5+6&gt;=Estrategias!$H$5),"■",""))</f>
        <v/>
      </c>
      <c r="Y16" s="27" t="str">
        <f>IF(COUNTIFS(Eventos!$A$5:$A$154,$A16,Eventos!$B$5:$B$154,"&gt;="&amp;Y$5,Eventos!$B$5:$B$154,"&lt;="&amp;Y$5+6)&gt;0,"●",IF(AND(Y$5&lt;=Estrategias!$I$5,Y$5+6&gt;=Estrategias!$H$5),"■",""))</f>
        <v/>
      </c>
      <c r="Z16" s="27" t="str">
        <f>IF(COUNTIFS(Eventos!$A$5:$A$154,$A16,Eventos!$B$5:$B$154,"&gt;="&amp;Z$5,Eventos!$B$5:$B$154,"&lt;="&amp;Z$5+6)&gt;0,"●",IF(AND(Z$5&lt;=Estrategias!$I$5,Z$5+6&gt;=Estrategias!$H$5),"■",""))</f>
        <v/>
      </c>
      <c r="AA16" s="27" t="str">
        <f>IF(COUNTIFS(Eventos!$A$5:$A$154,$A16,Eventos!$B$5:$B$154,"&gt;="&amp;AA$5,Eventos!$B$5:$B$154,"&lt;="&amp;AA$5+6)&gt;0,"●",IF(AND(AA$5&lt;=Estrategias!$I$5,AA$5+6&gt;=Estrategias!$H$5),"■",""))</f>
        <v/>
      </c>
    </row>
    <row r="17" ht="26" customHeight="1">
      <c r="A17" s="25" t="str">
        <f>Estrategias!A6</f>
        <v>E2</v>
      </c>
      <c r="B17" s="26" t="str">
        <f>Estrategias!C6</f>
        <v>Programa de recomendación de alumnos y padres</v>
      </c>
      <c r="C17" s="27" t="str">
        <f>Estrategias!B6</f>
        <v>Alta</v>
      </c>
      <c r="D17" s="27" t="str">
        <f>IF(COUNTIFS(Eventos!$A$5:$A$154,$A17,Eventos!$B$5:$B$154,"&gt;="&amp;D$5,Eventos!$B$5:$B$154,"&lt;="&amp;D$5+6)&gt;0,"●",IF(AND(D$5&lt;=Estrategias!$I$6,D$5+6&gt;=Estrategias!$H$6),"■",""))</f>
        <v/>
      </c>
      <c r="E17" s="27" t="str">
        <f>IF(COUNTIFS(Eventos!$A$5:$A$154,$A17,Eventos!$B$5:$B$154,"&gt;="&amp;E$5,Eventos!$B$5:$B$154,"&lt;="&amp;E$5+6)&gt;0,"●",IF(AND(E$5&lt;=Estrategias!$I$6,E$5+6&gt;=Estrategias!$H$6),"■",""))</f>
        <v/>
      </c>
      <c r="F17" s="27" t="str">
        <f>IF(COUNTIFS(Eventos!$A$5:$A$154,$A17,Eventos!$B$5:$B$154,"&gt;="&amp;F$5,Eventos!$B$5:$B$154,"&lt;="&amp;F$5+6)&gt;0,"●",IF(AND(F$5&lt;=Estrategias!$I$6,F$5+6&gt;=Estrategias!$H$6),"■",""))</f>
        <v/>
      </c>
      <c r="G17" s="27" t="str">
        <f>IF(COUNTIFS(Eventos!$A$5:$A$154,$A17,Eventos!$B$5:$B$154,"&gt;="&amp;G$5,Eventos!$B$5:$B$154,"&lt;="&amp;G$5+6)&gt;0,"●",IF(AND(G$5&lt;=Estrategias!$I$6,G$5+6&gt;=Estrategias!$H$6),"■",""))</f>
        <v>●</v>
      </c>
      <c r="H17" s="27" t="str">
        <f>IF(COUNTIFS(Eventos!$A$5:$A$154,$A17,Eventos!$B$5:$B$154,"&gt;="&amp;H$5,Eventos!$B$5:$B$154,"&lt;="&amp;H$5+6)&gt;0,"●",IF(AND(H$5&lt;=Estrategias!$I$6,H$5+6&gt;=Estrategias!$H$6),"■",""))</f>
        <v>■</v>
      </c>
      <c r="I17" s="27" t="str">
        <f>IF(COUNTIFS(Eventos!$A$5:$A$154,$A17,Eventos!$B$5:$B$154,"&gt;="&amp;I$5,Eventos!$B$5:$B$154,"&lt;="&amp;I$5+6)&gt;0,"●",IF(AND(I$5&lt;=Estrategias!$I$6,I$5+6&gt;=Estrategias!$H$6),"■",""))</f>
        <v>■</v>
      </c>
      <c r="J17" s="27" t="str">
        <f>IF(COUNTIFS(Eventos!$A$5:$A$154,$A17,Eventos!$B$5:$B$154,"&gt;="&amp;J$5,Eventos!$B$5:$B$154,"&lt;="&amp;J$5+6)&gt;0,"●",IF(AND(J$5&lt;=Estrategias!$I$6,J$5+6&gt;=Estrategias!$H$6),"■",""))</f>
        <v>■</v>
      </c>
      <c r="K17" s="27" t="str">
        <f>IF(COUNTIFS(Eventos!$A$5:$A$154,$A17,Eventos!$B$5:$B$154,"&gt;="&amp;K$5,Eventos!$B$5:$B$154,"&lt;="&amp;K$5+6)&gt;0,"●",IF(AND(K$5&lt;=Estrategias!$I$6,K$5+6&gt;=Estrategias!$H$6),"■",""))</f>
        <v>■</v>
      </c>
      <c r="L17" s="27" t="str">
        <f>IF(COUNTIFS(Eventos!$A$5:$A$154,$A17,Eventos!$B$5:$B$154,"&gt;="&amp;L$5,Eventos!$B$5:$B$154,"&lt;="&amp;L$5+6)&gt;0,"●",IF(AND(L$5&lt;=Estrategias!$I$6,L$5+6&gt;=Estrategias!$H$6),"■",""))</f>
        <v>■</v>
      </c>
      <c r="M17" s="27" t="str">
        <f>IF(COUNTIFS(Eventos!$A$5:$A$154,$A17,Eventos!$B$5:$B$154,"&gt;="&amp;M$5,Eventos!$B$5:$B$154,"&lt;="&amp;M$5+6)&gt;0,"●",IF(AND(M$5&lt;=Estrategias!$I$6,M$5+6&gt;=Estrategias!$H$6),"■",""))</f>
        <v>■</v>
      </c>
      <c r="N17" s="27" t="str">
        <f>IF(COUNTIFS(Eventos!$A$5:$A$154,$A17,Eventos!$B$5:$B$154,"&gt;="&amp;N$5,Eventos!$B$5:$B$154,"&lt;="&amp;N$5+6)&gt;0,"●",IF(AND(N$5&lt;=Estrategias!$I$6,N$5+6&gt;=Estrategias!$H$6),"■",""))</f>
        <v>■</v>
      </c>
      <c r="O17" s="27" t="str">
        <f>IF(COUNTIFS(Eventos!$A$5:$A$154,$A17,Eventos!$B$5:$B$154,"&gt;="&amp;O$5,Eventos!$B$5:$B$154,"&lt;="&amp;O$5+6)&gt;0,"●",IF(AND(O$5&lt;=Estrategias!$I$6,O$5+6&gt;=Estrategias!$H$6),"■",""))</f>
        <v>■</v>
      </c>
      <c r="P17" s="27" t="str">
        <f>IF(COUNTIFS(Eventos!$A$5:$A$154,$A17,Eventos!$B$5:$B$154,"&gt;="&amp;P$5,Eventos!$B$5:$B$154,"&lt;="&amp;P$5+6)&gt;0,"●",IF(AND(P$5&lt;=Estrategias!$I$6,P$5+6&gt;=Estrategias!$H$6),"■",""))</f>
        <v>■</v>
      </c>
      <c r="Q17" s="27" t="str">
        <f>IF(COUNTIFS(Eventos!$A$5:$A$154,$A17,Eventos!$B$5:$B$154,"&gt;="&amp;Q$5,Eventos!$B$5:$B$154,"&lt;="&amp;Q$5+6)&gt;0,"●",IF(AND(Q$5&lt;=Estrategias!$I$6,Q$5+6&gt;=Estrategias!$H$6),"■",""))</f>
        <v>■</v>
      </c>
      <c r="R17" s="27" t="str">
        <f>IF(COUNTIFS(Eventos!$A$5:$A$154,$A17,Eventos!$B$5:$B$154,"&gt;="&amp;R$5,Eventos!$B$5:$B$154,"&lt;="&amp;R$5+6)&gt;0,"●",IF(AND(R$5&lt;=Estrategias!$I$6,R$5+6&gt;=Estrategias!$H$6),"■",""))</f>
        <v>■</v>
      </c>
      <c r="S17" s="27" t="str">
        <f>IF(COUNTIFS(Eventos!$A$5:$A$154,$A17,Eventos!$B$5:$B$154,"&gt;="&amp;S$5,Eventos!$B$5:$B$154,"&lt;="&amp;S$5+6)&gt;0,"●",IF(AND(S$5&lt;=Estrategias!$I$6,S$5+6&gt;=Estrategias!$H$6),"■",""))</f>
        <v>■</v>
      </c>
      <c r="T17" s="27" t="str">
        <f>IF(COUNTIFS(Eventos!$A$5:$A$154,$A17,Eventos!$B$5:$B$154,"&gt;="&amp;T$5,Eventos!$B$5:$B$154,"&lt;="&amp;T$5+6)&gt;0,"●",IF(AND(T$5&lt;=Estrategias!$I$6,T$5+6&gt;=Estrategias!$H$6),"■",""))</f>
        <v>■</v>
      </c>
      <c r="U17" s="27" t="str">
        <f>IF(COUNTIFS(Eventos!$A$5:$A$154,$A17,Eventos!$B$5:$B$154,"&gt;="&amp;U$5,Eventos!$B$5:$B$154,"&lt;="&amp;U$5+6)&gt;0,"●",IF(AND(U$5&lt;=Estrategias!$I$6,U$5+6&gt;=Estrategias!$H$6),"■",""))</f>
        <v>■</v>
      </c>
      <c r="V17" s="27" t="str">
        <f>IF(COUNTIFS(Eventos!$A$5:$A$154,$A17,Eventos!$B$5:$B$154,"&gt;="&amp;V$5,Eventos!$B$5:$B$154,"&lt;="&amp;V$5+6)&gt;0,"●",IF(AND(V$5&lt;=Estrategias!$I$6,V$5+6&gt;=Estrategias!$H$6),"■",""))</f>
        <v>■</v>
      </c>
      <c r="W17" s="27" t="str">
        <f>IF(COUNTIFS(Eventos!$A$5:$A$154,$A17,Eventos!$B$5:$B$154,"&gt;="&amp;W$5,Eventos!$B$5:$B$154,"&lt;="&amp;W$5+6)&gt;0,"●",IF(AND(W$5&lt;=Estrategias!$I$6,W$5+6&gt;=Estrategias!$H$6),"■",""))</f>
        <v>■</v>
      </c>
      <c r="X17" s="27" t="str">
        <f>IF(COUNTIFS(Eventos!$A$5:$A$154,$A17,Eventos!$B$5:$B$154,"&gt;="&amp;X$5,Eventos!$B$5:$B$154,"&lt;="&amp;X$5+6)&gt;0,"●",IF(AND(X$5&lt;=Estrategias!$I$6,X$5+6&gt;=Estrategias!$H$6),"■",""))</f>
        <v>■</v>
      </c>
      <c r="Y17" s="27" t="str">
        <f>IF(COUNTIFS(Eventos!$A$5:$A$154,$A17,Eventos!$B$5:$B$154,"&gt;="&amp;Y$5,Eventos!$B$5:$B$154,"&lt;="&amp;Y$5+6)&gt;0,"●",IF(AND(Y$5&lt;=Estrategias!$I$6,Y$5+6&gt;=Estrategias!$H$6),"■",""))</f>
        <v>■</v>
      </c>
      <c r="Z17" s="27" t="str">
        <f>IF(COUNTIFS(Eventos!$A$5:$A$154,$A17,Eventos!$B$5:$B$154,"&gt;="&amp;Z$5,Eventos!$B$5:$B$154,"&lt;="&amp;Z$5+6)&gt;0,"●",IF(AND(Z$5&lt;=Estrategias!$I$6,Z$5+6&gt;=Estrategias!$H$6),"■",""))</f>
        <v/>
      </c>
      <c r="AA17" s="27" t="str">
        <f>IF(COUNTIFS(Eventos!$A$5:$A$154,$A17,Eventos!$B$5:$B$154,"&gt;="&amp;AA$5,Eventos!$B$5:$B$154,"&lt;="&amp;AA$5+6)&gt;0,"●",IF(AND(AA$5&lt;=Estrategias!$I$6,AA$5+6&gt;=Estrategias!$H$6),"■",""))</f>
        <v/>
      </c>
    </row>
    <row r="18" ht="26" customHeight="1">
      <c r="A18" s="25" t="str">
        <f>Estrategias!A7</f>
        <v>E3</v>
      </c>
      <c r="B18" s="26" t="str">
        <f>Estrategias!C7</f>
        <v>Alianzas con escuelas cercanas: taller de inglés y beneficio para familias</v>
      </c>
      <c r="C18" s="27" t="str">
        <f>Estrategias!B7</f>
        <v>Alta</v>
      </c>
      <c r="D18" s="27" t="str">
        <f>IF(COUNTIFS(Eventos!$A$5:$A$154,$A18,Eventos!$B$5:$B$154,"&gt;="&amp;D$5,Eventos!$B$5:$B$154,"&lt;="&amp;D$5+6)&gt;0,"●",IF(AND(D$5&lt;=Estrategias!$I$7,D$5+6&gt;=Estrategias!$H$7),"■",""))</f>
        <v/>
      </c>
      <c r="E18" s="27" t="str">
        <f>IF(COUNTIFS(Eventos!$A$5:$A$154,$A18,Eventos!$B$5:$B$154,"&gt;="&amp;E$5,Eventos!$B$5:$B$154,"&lt;="&amp;E$5+6)&gt;0,"●",IF(AND(E$5&lt;=Estrategias!$I$7,E$5+6&gt;=Estrategias!$H$7),"■",""))</f>
        <v>●</v>
      </c>
      <c r="F18" s="27" t="str">
        <f>IF(COUNTIFS(Eventos!$A$5:$A$154,$A18,Eventos!$B$5:$B$154,"&gt;="&amp;F$5,Eventos!$B$5:$B$154,"&lt;="&amp;F$5+6)&gt;0,"●",IF(AND(F$5&lt;=Estrategias!$I$7,F$5+6&gt;=Estrategias!$H$7),"■",""))</f>
        <v>■</v>
      </c>
      <c r="G18" s="27" t="str">
        <f>IF(COUNTIFS(Eventos!$A$5:$A$154,$A18,Eventos!$B$5:$B$154,"&gt;="&amp;G$5,Eventos!$B$5:$B$154,"&lt;="&amp;G$5+6)&gt;0,"●",IF(AND(G$5&lt;=Estrategias!$I$7,G$5+6&gt;=Estrategias!$H$7),"■",""))</f>
        <v>■</v>
      </c>
      <c r="H18" s="27" t="str">
        <f>IF(COUNTIFS(Eventos!$A$5:$A$154,$A18,Eventos!$B$5:$B$154,"&gt;="&amp;H$5,Eventos!$B$5:$B$154,"&lt;="&amp;H$5+6)&gt;0,"●",IF(AND(H$5&lt;=Estrategias!$I$7,H$5+6&gt;=Estrategias!$H$7),"■",""))</f>
        <v>●</v>
      </c>
      <c r="I18" s="27" t="str">
        <f>IF(COUNTIFS(Eventos!$A$5:$A$154,$A18,Eventos!$B$5:$B$154,"&gt;="&amp;I$5,Eventos!$B$5:$B$154,"&lt;="&amp;I$5+6)&gt;0,"●",IF(AND(I$5&lt;=Estrategias!$I$7,I$5+6&gt;=Estrategias!$H$7),"■",""))</f>
        <v>■</v>
      </c>
      <c r="J18" s="27" t="str">
        <f>IF(COUNTIFS(Eventos!$A$5:$A$154,$A18,Eventos!$B$5:$B$154,"&gt;="&amp;J$5,Eventos!$B$5:$B$154,"&lt;="&amp;J$5+6)&gt;0,"●",IF(AND(J$5&lt;=Estrategias!$I$7,J$5+6&gt;=Estrategias!$H$7),"■",""))</f>
        <v>■</v>
      </c>
      <c r="K18" s="27" t="str">
        <f>IF(COUNTIFS(Eventos!$A$5:$A$154,$A18,Eventos!$B$5:$B$154,"&gt;="&amp;K$5,Eventos!$B$5:$B$154,"&lt;="&amp;K$5+6)&gt;0,"●",IF(AND(K$5&lt;=Estrategias!$I$7,K$5+6&gt;=Estrategias!$H$7),"■",""))</f>
        <v>●</v>
      </c>
      <c r="L18" s="27" t="str">
        <f>IF(COUNTIFS(Eventos!$A$5:$A$154,$A18,Eventos!$B$5:$B$154,"&gt;="&amp;L$5,Eventos!$B$5:$B$154,"&lt;="&amp;L$5+6)&gt;0,"●",IF(AND(L$5&lt;=Estrategias!$I$7,L$5+6&gt;=Estrategias!$H$7),"■",""))</f>
        <v>■</v>
      </c>
      <c r="M18" s="27" t="str">
        <f>IF(COUNTIFS(Eventos!$A$5:$A$154,$A18,Eventos!$B$5:$B$154,"&gt;="&amp;M$5,Eventos!$B$5:$B$154,"&lt;="&amp;M$5+6)&gt;0,"●",IF(AND(M$5&lt;=Estrategias!$I$7,M$5+6&gt;=Estrategias!$H$7),"■",""))</f>
        <v>■</v>
      </c>
      <c r="N18" s="27" t="str">
        <f>IF(COUNTIFS(Eventos!$A$5:$A$154,$A18,Eventos!$B$5:$B$154,"&gt;="&amp;N$5,Eventos!$B$5:$B$154,"&lt;="&amp;N$5+6)&gt;0,"●",IF(AND(N$5&lt;=Estrategias!$I$7,N$5+6&gt;=Estrategias!$H$7),"■",""))</f>
        <v>■</v>
      </c>
      <c r="O18" s="27" t="str">
        <f>IF(COUNTIFS(Eventos!$A$5:$A$154,$A18,Eventos!$B$5:$B$154,"&gt;="&amp;O$5,Eventos!$B$5:$B$154,"&lt;="&amp;O$5+6)&gt;0,"●",IF(AND(O$5&lt;=Estrategias!$I$7,O$5+6&gt;=Estrategias!$H$7),"■",""))</f>
        <v>■</v>
      </c>
      <c r="P18" s="27" t="str">
        <f>IF(COUNTIFS(Eventos!$A$5:$A$154,$A18,Eventos!$B$5:$B$154,"&gt;="&amp;P$5,Eventos!$B$5:$B$154,"&lt;="&amp;P$5+6)&gt;0,"●",IF(AND(P$5&lt;=Estrategias!$I$7,P$5+6&gt;=Estrategias!$H$7),"■",""))</f>
        <v>■</v>
      </c>
      <c r="Q18" s="27" t="str">
        <f>IF(COUNTIFS(Eventos!$A$5:$A$154,$A18,Eventos!$B$5:$B$154,"&gt;="&amp;Q$5,Eventos!$B$5:$B$154,"&lt;="&amp;Q$5+6)&gt;0,"●",IF(AND(Q$5&lt;=Estrategias!$I$7,Q$5+6&gt;=Estrategias!$H$7),"■",""))</f>
        <v>■</v>
      </c>
      <c r="R18" s="27" t="str">
        <f>IF(COUNTIFS(Eventos!$A$5:$A$154,$A18,Eventos!$B$5:$B$154,"&gt;="&amp;R$5,Eventos!$B$5:$B$154,"&lt;="&amp;R$5+6)&gt;0,"●",IF(AND(R$5&lt;=Estrategias!$I$7,R$5+6&gt;=Estrategias!$H$7),"■",""))</f>
        <v>●</v>
      </c>
      <c r="S18" s="27" t="str">
        <f>IF(COUNTIFS(Eventos!$A$5:$A$154,$A18,Eventos!$B$5:$B$154,"&gt;="&amp;S$5,Eventos!$B$5:$B$154,"&lt;="&amp;S$5+6)&gt;0,"●",IF(AND(S$5&lt;=Estrategias!$I$7,S$5+6&gt;=Estrategias!$H$7),"■",""))</f>
        <v>■</v>
      </c>
      <c r="T18" s="27" t="str">
        <f>IF(COUNTIFS(Eventos!$A$5:$A$154,$A18,Eventos!$B$5:$B$154,"&gt;="&amp;T$5,Eventos!$B$5:$B$154,"&lt;="&amp;T$5+6)&gt;0,"●",IF(AND(T$5&lt;=Estrategias!$I$7,T$5+6&gt;=Estrategias!$H$7),"■",""))</f>
        <v>■</v>
      </c>
      <c r="U18" s="27" t="str">
        <f>IF(COUNTIFS(Eventos!$A$5:$A$154,$A18,Eventos!$B$5:$B$154,"&gt;="&amp;U$5,Eventos!$B$5:$B$154,"&lt;="&amp;U$5+6)&gt;0,"●",IF(AND(U$5&lt;=Estrategias!$I$7,U$5+6&gt;=Estrategias!$H$7),"■",""))</f>
        <v>■</v>
      </c>
      <c r="V18" s="27" t="str">
        <f>IF(COUNTIFS(Eventos!$A$5:$A$154,$A18,Eventos!$B$5:$B$154,"&gt;="&amp;V$5,Eventos!$B$5:$B$154,"&lt;="&amp;V$5+6)&gt;0,"●",IF(AND(V$5&lt;=Estrategias!$I$7,V$5+6&gt;=Estrategias!$H$7),"■",""))</f>
        <v>●</v>
      </c>
      <c r="W18" s="27" t="str">
        <f>IF(COUNTIFS(Eventos!$A$5:$A$154,$A18,Eventos!$B$5:$B$154,"&gt;="&amp;W$5,Eventos!$B$5:$B$154,"&lt;="&amp;W$5+6)&gt;0,"●",IF(AND(W$5&lt;=Estrategias!$I$7,W$5+6&gt;=Estrategias!$H$7),"■",""))</f>
        <v/>
      </c>
      <c r="X18" s="27" t="str">
        <f>IF(COUNTIFS(Eventos!$A$5:$A$154,$A18,Eventos!$B$5:$B$154,"&gt;="&amp;X$5,Eventos!$B$5:$B$154,"&lt;="&amp;X$5+6)&gt;0,"●",IF(AND(X$5&lt;=Estrategias!$I$7,X$5+6&gt;=Estrategias!$H$7),"■",""))</f>
        <v/>
      </c>
      <c r="Y18" s="27" t="str">
        <f>IF(COUNTIFS(Eventos!$A$5:$A$154,$A18,Eventos!$B$5:$B$154,"&gt;="&amp;Y$5,Eventos!$B$5:$B$154,"&lt;="&amp;Y$5+6)&gt;0,"●",IF(AND(Y$5&lt;=Estrategias!$I$7,Y$5+6&gt;=Estrategias!$H$7),"■",""))</f>
        <v/>
      </c>
      <c r="Z18" s="27" t="str">
        <f>IF(COUNTIFS(Eventos!$A$5:$A$154,$A18,Eventos!$B$5:$B$154,"&gt;="&amp;Z$5,Eventos!$B$5:$B$154,"&lt;="&amp;Z$5+6)&gt;0,"●",IF(AND(Z$5&lt;=Estrategias!$I$7,Z$5+6&gt;=Estrategias!$H$7),"■",""))</f>
        <v/>
      </c>
      <c r="AA18" s="27" t="str">
        <f>IF(COUNTIFS(Eventos!$A$5:$A$154,$A18,Eventos!$B$5:$B$154,"&gt;="&amp;AA$5,Eventos!$B$5:$B$154,"&lt;="&amp;AA$5+6)&gt;0,"●",IF(AND(AA$5&lt;=Estrategias!$I$7,AA$5+6&gt;=Estrategias!$H$7),"■",""))</f>
        <v/>
      </c>
    </row>
    <row r="19" ht="26" customHeight="1">
      <c r="A19" s="25" t="str">
        <f>Estrategias!A8</f>
        <v>E4</v>
      </c>
      <c r="B19" s="26" t="str">
        <f>Estrategias!C8</f>
        <v>Recuperar bajas temporales y exalumnos para enero</v>
      </c>
      <c r="C19" s="27" t="str">
        <f>Estrategias!B8</f>
        <v>Alta</v>
      </c>
      <c r="D19" s="27" t="str">
        <f>IF(COUNTIFS(Eventos!$A$5:$A$154,$A19,Eventos!$B$5:$B$154,"&gt;="&amp;D$5,Eventos!$B$5:$B$154,"&lt;="&amp;D$5+6)&gt;0,"●",IF(AND(D$5&lt;=Estrategias!$I$8,D$5+6&gt;=Estrategias!$H$8),"■",""))</f>
        <v/>
      </c>
      <c r="E19" s="27" t="str">
        <f>IF(COUNTIFS(Eventos!$A$5:$A$154,$A19,Eventos!$B$5:$B$154,"&gt;="&amp;E$5,Eventos!$B$5:$B$154,"&lt;="&amp;E$5+6)&gt;0,"●",IF(AND(E$5&lt;=Estrategias!$I$8,E$5+6&gt;=Estrategias!$H$8),"■",""))</f>
        <v/>
      </c>
      <c r="F19" s="27" t="str">
        <f>IF(COUNTIFS(Eventos!$A$5:$A$154,$A19,Eventos!$B$5:$B$154,"&gt;="&amp;F$5,Eventos!$B$5:$B$154,"&lt;="&amp;F$5+6)&gt;0,"●",IF(AND(F$5&lt;=Estrategias!$I$8,F$5+6&gt;=Estrategias!$H$8),"■",""))</f>
        <v/>
      </c>
      <c r="G19" s="27" t="str">
        <f>IF(COUNTIFS(Eventos!$A$5:$A$154,$A19,Eventos!$B$5:$B$154,"&gt;="&amp;G$5,Eventos!$B$5:$B$154,"&lt;="&amp;G$5+6)&gt;0,"●",IF(AND(G$5&lt;=Estrategias!$I$8,G$5+6&gt;=Estrategias!$H$8),"■",""))</f>
        <v/>
      </c>
      <c r="H19" s="27" t="str">
        <f>IF(COUNTIFS(Eventos!$A$5:$A$154,$A19,Eventos!$B$5:$B$154,"&gt;="&amp;H$5,Eventos!$B$5:$B$154,"&lt;="&amp;H$5+6)&gt;0,"●",IF(AND(H$5&lt;=Estrategias!$I$8,H$5+6&gt;=Estrategias!$H$8),"■",""))</f>
        <v/>
      </c>
      <c r="I19" s="27" t="str">
        <f>IF(COUNTIFS(Eventos!$A$5:$A$154,$A19,Eventos!$B$5:$B$154,"&gt;="&amp;I$5,Eventos!$B$5:$B$154,"&lt;="&amp;I$5+6)&gt;0,"●",IF(AND(I$5&lt;=Estrategias!$I$8,I$5+6&gt;=Estrategias!$H$8),"■",""))</f>
        <v/>
      </c>
      <c r="J19" s="27" t="str">
        <f>IF(COUNTIFS(Eventos!$A$5:$A$154,$A19,Eventos!$B$5:$B$154,"&gt;="&amp;J$5,Eventos!$B$5:$B$154,"&lt;="&amp;J$5+6)&gt;0,"●",IF(AND(J$5&lt;=Estrategias!$I$8,J$5+6&gt;=Estrategias!$H$8),"■",""))</f>
        <v>●</v>
      </c>
      <c r="K19" s="27" t="str">
        <f>IF(COUNTIFS(Eventos!$A$5:$A$154,$A19,Eventos!$B$5:$B$154,"&gt;="&amp;K$5,Eventos!$B$5:$B$154,"&lt;="&amp;K$5+6)&gt;0,"●",IF(AND(K$5&lt;=Estrategias!$I$8,K$5+6&gt;=Estrategias!$H$8),"■",""))</f>
        <v>■</v>
      </c>
      <c r="L19" s="27" t="str">
        <f>IF(COUNTIFS(Eventos!$A$5:$A$154,$A19,Eventos!$B$5:$B$154,"&gt;="&amp;L$5,Eventos!$B$5:$B$154,"&lt;="&amp;L$5+6)&gt;0,"●",IF(AND(L$5&lt;=Estrategias!$I$8,L$5+6&gt;=Estrategias!$H$8),"■",""))</f>
        <v>■</v>
      </c>
      <c r="M19" s="27" t="str">
        <f>IF(COUNTIFS(Eventos!$A$5:$A$154,$A19,Eventos!$B$5:$B$154,"&gt;="&amp;M$5,Eventos!$B$5:$B$154,"&lt;="&amp;M$5+6)&gt;0,"●",IF(AND(M$5&lt;=Estrategias!$I$8,M$5+6&gt;=Estrategias!$H$8),"■",""))</f>
        <v>■</v>
      </c>
      <c r="N19" s="27" t="str">
        <f>IF(COUNTIFS(Eventos!$A$5:$A$154,$A19,Eventos!$B$5:$B$154,"&gt;="&amp;N$5,Eventos!$B$5:$B$154,"&lt;="&amp;N$5+6)&gt;0,"●",IF(AND(N$5&lt;=Estrategias!$I$8,N$5+6&gt;=Estrategias!$H$8),"■",""))</f>
        <v>■</v>
      </c>
      <c r="O19" s="27" t="str">
        <f>IF(COUNTIFS(Eventos!$A$5:$A$154,$A19,Eventos!$B$5:$B$154,"&gt;="&amp;O$5,Eventos!$B$5:$B$154,"&lt;="&amp;O$5+6)&gt;0,"●",IF(AND(O$5&lt;=Estrategias!$I$8,O$5+6&gt;=Estrategias!$H$8),"■",""))</f>
        <v>■</v>
      </c>
      <c r="P19" s="27" t="str">
        <f>IF(COUNTIFS(Eventos!$A$5:$A$154,$A19,Eventos!$B$5:$B$154,"&gt;="&amp;P$5,Eventos!$B$5:$B$154,"&lt;="&amp;P$5+6)&gt;0,"●",IF(AND(P$5&lt;=Estrategias!$I$8,P$5+6&gt;=Estrategias!$H$8),"■",""))</f>
        <v>■</v>
      </c>
      <c r="Q19" s="27" t="str">
        <f>IF(COUNTIFS(Eventos!$A$5:$A$154,$A19,Eventos!$B$5:$B$154,"&gt;="&amp;Q$5,Eventos!$B$5:$B$154,"&lt;="&amp;Q$5+6)&gt;0,"●",IF(AND(Q$5&lt;=Estrategias!$I$8,Q$5+6&gt;=Estrategias!$H$8),"■",""))</f>
        <v/>
      </c>
      <c r="R19" s="27" t="str">
        <f>IF(COUNTIFS(Eventos!$A$5:$A$154,$A19,Eventos!$B$5:$B$154,"&gt;="&amp;R$5,Eventos!$B$5:$B$154,"&lt;="&amp;R$5+6)&gt;0,"●",IF(AND(R$5&lt;=Estrategias!$I$8,R$5+6&gt;=Estrategias!$H$8),"■",""))</f>
        <v/>
      </c>
      <c r="S19" s="27" t="str">
        <f>IF(COUNTIFS(Eventos!$A$5:$A$154,$A19,Eventos!$B$5:$B$154,"&gt;="&amp;S$5,Eventos!$B$5:$B$154,"&lt;="&amp;S$5+6)&gt;0,"●",IF(AND(S$5&lt;=Estrategias!$I$8,S$5+6&gt;=Estrategias!$H$8),"■",""))</f>
        <v/>
      </c>
      <c r="T19" s="27" t="str">
        <f>IF(COUNTIFS(Eventos!$A$5:$A$154,$A19,Eventos!$B$5:$B$154,"&gt;="&amp;T$5,Eventos!$B$5:$B$154,"&lt;="&amp;T$5+6)&gt;0,"●",IF(AND(T$5&lt;=Estrategias!$I$8,T$5+6&gt;=Estrategias!$H$8),"■",""))</f>
        <v/>
      </c>
      <c r="U19" s="27" t="str">
        <f>IF(COUNTIFS(Eventos!$A$5:$A$154,$A19,Eventos!$B$5:$B$154,"&gt;="&amp;U$5,Eventos!$B$5:$B$154,"&lt;="&amp;U$5+6)&gt;0,"●",IF(AND(U$5&lt;=Estrategias!$I$8,U$5+6&gt;=Estrategias!$H$8),"■",""))</f>
        <v/>
      </c>
      <c r="V19" s="27" t="str">
        <f>IF(COUNTIFS(Eventos!$A$5:$A$154,$A19,Eventos!$B$5:$B$154,"&gt;="&amp;V$5,Eventos!$B$5:$B$154,"&lt;="&amp;V$5+6)&gt;0,"●",IF(AND(V$5&lt;=Estrategias!$I$8,V$5+6&gt;=Estrategias!$H$8),"■",""))</f>
        <v/>
      </c>
      <c r="W19" s="27" t="str">
        <f>IF(COUNTIFS(Eventos!$A$5:$A$154,$A19,Eventos!$B$5:$B$154,"&gt;="&amp;W$5,Eventos!$B$5:$B$154,"&lt;="&amp;W$5+6)&gt;0,"●",IF(AND(W$5&lt;=Estrategias!$I$8,W$5+6&gt;=Estrategias!$H$8),"■",""))</f>
        <v/>
      </c>
      <c r="X19" s="27" t="str">
        <f>IF(COUNTIFS(Eventos!$A$5:$A$154,$A19,Eventos!$B$5:$B$154,"&gt;="&amp;X$5,Eventos!$B$5:$B$154,"&lt;="&amp;X$5+6)&gt;0,"●",IF(AND(X$5&lt;=Estrategias!$I$8,X$5+6&gt;=Estrategias!$H$8),"■",""))</f>
        <v/>
      </c>
      <c r="Y19" s="27" t="str">
        <f>IF(COUNTIFS(Eventos!$A$5:$A$154,$A19,Eventos!$B$5:$B$154,"&gt;="&amp;Y$5,Eventos!$B$5:$B$154,"&lt;="&amp;Y$5+6)&gt;0,"●",IF(AND(Y$5&lt;=Estrategias!$I$8,Y$5+6&gt;=Estrategias!$H$8),"■",""))</f>
        <v/>
      </c>
      <c r="Z19" s="27" t="str">
        <f>IF(COUNTIFS(Eventos!$A$5:$A$154,$A19,Eventos!$B$5:$B$154,"&gt;="&amp;Z$5,Eventos!$B$5:$B$154,"&lt;="&amp;Z$5+6)&gt;0,"●",IF(AND(Z$5&lt;=Estrategias!$I$8,Z$5+6&gt;=Estrategias!$H$8),"■",""))</f>
        <v/>
      </c>
      <c r="AA19" s="27" t="str">
        <f>IF(COUNTIFS(Eventos!$A$5:$A$154,$A19,Eventos!$B$5:$B$154,"&gt;="&amp;AA$5,Eventos!$B$5:$B$154,"&lt;="&amp;AA$5+6)&gt;0,"●",IF(AND(AA$5&lt;=Estrategias!$I$8,AA$5+6&gt;=Estrategias!$H$8),"■",""))</f>
        <v/>
      </c>
    </row>
    <row r="20" ht="26" customHeight="1">
      <c r="A20" s="25" t="str">
        <f>Estrategias!A9</f>
        <v>E5</v>
      </c>
      <c r="B20" s="26" t="str">
        <f>Estrategias!C9</f>
        <v>Clase abierta de sábado para familias y recomendados</v>
      </c>
      <c r="C20" s="27" t="str">
        <f>Estrategias!B9</f>
        <v>Media</v>
      </c>
      <c r="D20" s="27" t="str">
        <f>IF(COUNTIFS(Eventos!$A$5:$A$154,$A20,Eventos!$B$5:$B$154,"&gt;="&amp;D$5,Eventos!$B$5:$B$154,"&lt;="&amp;D$5+6)&gt;0,"●",IF(AND(D$5&lt;=Estrategias!$I$9,D$5+6&gt;=Estrategias!$H$9),"■",""))</f>
        <v/>
      </c>
      <c r="E20" s="27" t="str">
        <f>IF(COUNTIFS(Eventos!$A$5:$A$154,$A20,Eventos!$B$5:$B$154,"&gt;="&amp;E$5,Eventos!$B$5:$B$154,"&lt;="&amp;E$5+6)&gt;0,"●",IF(AND(E$5&lt;=Estrategias!$I$9,E$5+6&gt;=Estrategias!$H$9),"■",""))</f>
        <v/>
      </c>
      <c r="F20" s="27" t="str">
        <f>IF(COUNTIFS(Eventos!$A$5:$A$154,$A20,Eventos!$B$5:$B$154,"&gt;="&amp;F$5,Eventos!$B$5:$B$154,"&lt;="&amp;F$5+6)&gt;0,"●",IF(AND(F$5&lt;=Estrategias!$I$9,F$5+6&gt;=Estrategias!$H$9),"■",""))</f>
        <v/>
      </c>
      <c r="G20" s="27" t="str">
        <f>IF(COUNTIFS(Eventos!$A$5:$A$154,$A20,Eventos!$B$5:$B$154,"&gt;="&amp;G$5,Eventos!$B$5:$B$154,"&lt;="&amp;G$5+6)&gt;0,"●",IF(AND(G$5&lt;=Estrategias!$I$9,G$5+6&gt;=Estrategias!$H$9),"■",""))</f>
        <v/>
      </c>
      <c r="H20" s="27" t="str">
        <f>IF(COUNTIFS(Eventos!$A$5:$A$154,$A20,Eventos!$B$5:$B$154,"&gt;="&amp;H$5,Eventos!$B$5:$B$154,"&lt;="&amp;H$5+6)&gt;0,"●",IF(AND(H$5&lt;=Estrategias!$I$9,H$5+6&gt;=Estrategias!$H$9),"■",""))</f>
        <v>●</v>
      </c>
      <c r="I20" s="27" t="str">
        <f>IF(COUNTIFS(Eventos!$A$5:$A$154,$A20,Eventos!$B$5:$B$154,"&gt;="&amp;I$5,Eventos!$B$5:$B$154,"&lt;="&amp;I$5+6)&gt;0,"●",IF(AND(I$5&lt;=Estrategias!$I$9,I$5+6&gt;=Estrategias!$H$9),"■",""))</f>
        <v>■</v>
      </c>
      <c r="J20" s="27" t="str">
        <f>IF(COUNTIFS(Eventos!$A$5:$A$154,$A20,Eventos!$B$5:$B$154,"&gt;="&amp;J$5,Eventos!$B$5:$B$154,"&lt;="&amp;J$5+6)&gt;0,"●",IF(AND(J$5&lt;=Estrategias!$I$9,J$5+6&gt;=Estrategias!$H$9),"■",""))</f>
        <v>●</v>
      </c>
      <c r="K20" s="27" t="str">
        <f>IF(COUNTIFS(Eventos!$A$5:$A$154,$A20,Eventos!$B$5:$B$154,"&gt;="&amp;K$5,Eventos!$B$5:$B$154,"&lt;="&amp;K$5+6)&gt;0,"●",IF(AND(K$5&lt;=Estrategias!$I$9,K$5+6&gt;=Estrategias!$H$9),"■",""))</f>
        <v>■</v>
      </c>
      <c r="L20" s="27" t="str">
        <f>IF(COUNTIFS(Eventos!$A$5:$A$154,$A20,Eventos!$B$5:$B$154,"&gt;="&amp;L$5,Eventos!$B$5:$B$154,"&lt;="&amp;L$5+6)&gt;0,"●",IF(AND(L$5&lt;=Estrategias!$I$9,L$5+6&gt;=Estrategias!$H$9),"■",""))</f>
        <v>■</v>
      </c>
      <c r="M20" s="27" t="str">
        <f>IF(COUNTIFS(Eventos!$A$5:$A$154,$A20,Eventos!$B$5:$B$154,"&gt;="&amp;M$5,Eventos!$B$5:$B$154,"&lt;="&amp;M$5+6)&gt;0,"●",IF(AND(M$5&lt;=Estrategias!$I$9,M$5+6&gt;=Estrategias!$H$9),"■",""))</f>
        <v>■</v>
      </c>
      <c r="N20" s="27" t="str">
        <f>IF(COUNTIFS(Eventos!$A$5:$A$154,$A20,Eventos!$B$5:$B$154,"&gt;="&amp;N$5,Eventos!$B$5:$B$154,"&lt;="&amp;N$5+6)&gt;0,"●",IF(AND(N$5&lt;=Estrategias!$I$9,N$5+6&gt;=Estrategias!$H$9),"■",""))</f>
        <v>■</v>
      </c>
      <c r="O20" s="27" t="str">
        <f>IF(COUNTIFS(Eventos!$A$5:$A$154,$A20,Eventos!$B$5:$B$154,"&gt;="&amp;O$5,Eventos!$B$5:$B$154,"&lt;="&amp;O$5+6)&gt;0,"●",IF(AND(O$5&lt;=Estrategias!$I$9,O$5+6&gt;=Estrategias!$H$9),"■",""))</f>
        <v>■</v>
      </c>
      <c r="P20" s="27" t="str">
        <f>IF(COUNTIFS(Eventos!$A$5:$A$154,$A20,Eventos!$B$5:$B$154,"&gt;="&amp;P$5,Eventos!$B$5:$B$154,"&lt;="&amp;P$5+6)&gt;0,"●",IF(AND(P$5&lt;=Estrategias!$I$9,P$5+6&gt;=Estrategias!$H$9),"■",""))</f>
        <v>●</v>
      </c>
      <c r="Q20" s="27" t="str">
        <f>IF(COUNTIFS(Eventos!$A$5:$A$154,$A20,Eventos!$B$5:$B$154,"&gt;="&amp;Q$5,Eventos!$B$5:$B$154,"&lt;="&amp;Q$5+6)&gt;0,"●",IF(AND(Q$5&lt;=Estrategias!$I$9,Q$5+6&gt;=Estrategias!$H$9),"■",""))</f>
        <v>■</v>
      </c>
      <c r="R20" s="27" t="str">
        <f>IF(COUNTIFS(Eventos!$A$5:$A$154,$A20,Eventos!$B$5:$B$154,"&gt;="&amp;R$5,Eventos!$B$5:$B$154,"&lt;="&amp;R$5+6)&gt;0,"●",IF(AND(R$5&lt;=Estrategias!$I$9,R$5+6&gt;=Estrategias!$H$9),"■",""))</f>
        <v>■</v>
      </c>
      <c r="S20" s="27" t="str">
        <f>IF(COUNTIFS(Eventos!$A$5:$A$154,$A20,Eventos!$B$5:$B$154,"&gt;="&amp;S$5,Eventos!$B$5:$B$154,"&lt;="&amp;S$5+6)&gt;0,"●",IF(AND(S$5&lt;=Estrategias!$I$9,S$5+6&gt;=Estrategias!$H$9),"■",""))</f>
        <v>■</v>
      </c>
      <c r="T20" s="27" t="str">
        <f>IF(COUNTIFS(Eventos!$A$5:$A$154,$A20,Eventos!$B$5:$B$154,"&gt;="&amp;T$5,Eventos!$B$5:$B$154,"&lt;="&amp;T$5+6)&gt;0,"●",IF(AND(T$5&lt;=Estrategias!$I$9,T$5+6&gt;=Estrategias!$H$9),"■",""))</f>
        <v>■</v>
      </c>
      <c r="U20" s="27" t="str">
        <f>IF(COUNTIFS(Eventos!$A$5:$A$154,$A20,Eventos!$B$5:$B$154,"&gt;="&amp;U$5,Eventos!$B$5:$B$154,"&lt;="&amp;U$5+6)&gt;0,"●",IF(AND(U$5&lt;=Estrategias!$I$9,U$5+6&gt;=Estrategias!$H$9),"■",""))</f>
        <v>●</v>
      </c>
      <c r="V20" s="27" t="str">
        <f>IF(COUNTIFS(Eventos!$A$5:$A$154,$A20,Eventos!$B$5:$B$154,"&gt;="&amp;V$5,Eventos!$B$5:$B$154,"&lt;="&amp;V$5+6)&gt;0,"●",IF(AND(V$5&lt;=Estrategias!$I$9,V$5+6&gt;=Estrategias!$H$9),"■",""))</f>
        <v>■</v>
      </c>
      <c r="W20" s="27" t="str">
        <f>IF(COUNTIFS(Eventos!$A$5:$A$154,$A20,Eventos!$B$5:$B$154,"&gt;="&amp;W$5,Eventos!$B$5:$B$154,"&lt;="&amp;W$5+6)&gt;0,"●",IF(AND(W$5&lt;=Estrategias!$I$9,W$5+6&gt;=Estrategias!$H$9),"■",""))</f>
        <v>■</v>
      </c>
      <c r="X20" s="27" t="str">
        <f>IF(COUNTIFS(Eventos!$A$5:$A$154,$A20,Eventos!$B$5:$B$154,"&gt;="&amp;X$5,Eventos!$B$5:$B$154,"&lt;="&amp;X$5+6)&gt;0,"●",IF(AND(X$5&lt;=Estrategias!$I$9,X$5+6&gt;=Estrategias!$H$9),"■",""))</f>
        <v>●</v>
      </c>
      <c r="Y20" s="27" t="str">
        <f>IF(COUNTIFS(Eventos!$A$5:$A$154,$A20,Eventos!$B$5:$B$154,"&gt;="&amp;Y$5,Eventos!$B$5:$B$154,"&lt;="&amp;Y$5+6)&gt;0,"●",IF(AND(Y$5&lt;=Estrategias!$I$9,Y$5+6&gt;=Estrategias!$H$9),"■",""))</f>
        <v/>
      </c>
      <c r="Z20" s="27" t="str">
        <f>IF(COUNTIFS(Eventos!$A$5:$A$154,$A20,Eventos!$B$5:$B$154,"&gt;="&amp;Z$5,Eventos!$B$5:$B$154,"&lt;="&amp;Z$5+6)&gt;0,"●",IF(AND(Z$5&lt;=Estrategias!$I$9,Z$5+6&gt;=Estrategias!$H$9),"■",""))</f>
        <v/>
      </c>
      <c r="AA20" s="27" t="str">
        <f>IF(COUNTIFS(Eventos!$A$5:$A$154,$A20,Eventos!$B$5:$B$154,"&gt;="&amp;AA$5,Eventos!$B$5:$B$154,"&lt;="&amp;AA$5+6)&gt;0,"●",IF(AND(AA$5&lt;=Estrategias!$I$9,AA$5+6&gt;=Estrategias!$H$9),"■",""))</f>
        <v/>
      </c>
    </row>
    <row r="21" ht="26" customHeight="1">
      <c r="A21" s="25" t="str">
        <f>Estrategias!A10</f>
        <v>E6</v>
      </c>
      <c r="B21" s="26" t="str">
        <f>Estrategias!C10</f>
        <v>Visibilidad física de la academia (tránsito)</v>
      </c>
      <c r="C21" s="27" t="str">
        <f>Estrategias!B10</f>
        <v>Media</v>
      </c>
      <c r="D21" s="27" t="str">
        <f>IF(COUNTIFS(Eventos!$A$5:$A$154,$A21,Eventos!$B$5:$B$154,"&gt;="&amp;D$5,Eventos!$B$5:$B$154,"&lt;="&amp;D$5+6)&gt;0,"●",IF(AND(D$5&lt;=Estrategias!$I$10,D$5+6&gt;=Estrategias!$H$10),"■",""))</f>
        <v/>
      </c>
      <c r="E21" s="27" t="str">
        <f>IF(COUNTIFS(Eventos!$A$5:$A$154,$A21,Eventos!$B$5:$B$154,"&gt;="&amp;E$5,Eventos!$B$5:$B$154,"&lt;="&amp;E$5+6)&gt;0,"●",IF(AND(E$5&lt;=Estrategias!$I$10,E$5+6&gt;=Estrategias!$H$10),"■",""))</f>
        <v/>
      </c>
      <c r="F21" s="27" t="str">
        <f>IF(COUNTIFS(Eventos!$A$5:$A$154,$A21,Eventos!$B$5:$B$154,"&gt;="&amp;F$5,Eventos!$B$5:$B$154,"&lt;="&amp;F$5+6)&gt;0,"●",IF(AND(F$5&lt;=Estrategias!$I$10,F$5+6&gt;=Estrategias!$H$10),"■",""))</f>
        <v>●</v>
      </c>
      <c r="G21" s="27" t="str">
        <f>IF(COUNTIFS(Eventos!$A$5:$A$154,$A21,Eventos!$B$5:$B$154,"&gt;="&amp;G$5,Eventos!$B$5:$B$154,"&lt;="&amp;G$5+6)&gt;0,"●",IF(AND(G$5&lt;=Estrategias!$I$10,G$5+6&gt;=Estrategias!$H$10),"■",""))</f>
        <v>■</v>
      </c>
      <c r="H21" s="27" t="str">
        <f>IF(COUNTIFS(Eventos!$A$5:$A$154,$A21,Eventos!$B$5:$B$154,"&gt;="&amp;H$5,Eventos!$B$5:$B$154,"&lt;="&amp;H$5+6)&gt;0,"●",IF(AND(H$5&lt;=Estrategias!$I$10,H$5+6&gt;=Estrategias!$H$10),"■",""))</f>
        <v>■</v>
      </c>
      <c r="I21" s="27" t="str">
        <f>IF(COUNTIFS(Eventos!$A$5:$A$154,$A21,Eventos!$B$5:$B$154,"&gt;="&amp;I$5,Eventos!$B$5:$B$154,"&lt;="&amp;I$5+6)&gt;0,"●",IF(AND(I$5&lt;=Estrategias!$I$10,I$5+6&gt;=Estrategias!$H$10),"■",""))</f>
        <v/>
      </c>
      <c r="J21" s="27" t="str">
        <f>IF(COUNTIFS(Eventos!$A$5:$A$154,$A21,Eventos!$B$5:$B$154,"&gt;="&amp;J$5,Eventos!$B$5:$B$154,"&lt;="&amp;J$5+6)&gt;0,"●",IF(AND(J$5&lt;=Estrategias!$I$10,J$5+6&gt;=Estrategias!$H$10),"■",""))</f>
        <v/>
      </c>
      <c r="K21" s="27" t="str">
        <f>IF(COUNTIFS(Eventos!$A$5:$A$154,$A21,Eventos!$B$5:$B$154,"&gt;="&amp;K$5,Eventos!$B$5:$B$154,"&lt;="&amp;K$5+6)&gt;0,"●",IF(AND(K$5&lt;=Estrategias!$I$10,K$5+6&gt;=Estrategias!$H$10),"■",""))</f>
        <v/>
      </c>
      <c r="L21" s="27" t="str">
        <f>IF(COUNTIFS(Eventos!$A$5:$A$154,$A21,Eventos!$B$5:$B$154,"&gt;="&amp;L$5,Eventos!$B$5:$B$154,"&lt;="&amp;L$5+6)&gt;0,"●",IF(AND(L$5&lt;=Estrategias!$I$10,L$5+6&gt;=Estrategias!$H$10),"■",""))</f>
        <v/>
      </c>
      <c r="M21" s="27" t="str">
        <f>IF(COUNTIFS(Eventos!$A$5:$A$154,$A21,Eventos!$B$5:$B$154,"&gt;="&amp;M$5,Eventos!$B$5:$B$154,"&lt;="&amp;M$5+6)&gt;0,"●",IF(AND(M$5&lt;=Estrategias!$I$10,M$5+6&gt;=Estrategias!$H$10),"■",""))</f>
        <v/>
      </c>
      <c r="N21" s="27" t="str">
        <f>IF(COUNTIFS(Eventos!$A$5:$A$154,$A21,Eventos!$B$5:$B$154,"&gt;="&amp;N$5,Eventos!$B$5:$B$154,"&lt;="&amp;N$5+6)&gt;0,"●",IF(AND(N$5&lt;=Estrategias!$I$10,N$5+6&gt;=Estrategias!$H$10),"■",""))</f>
        <v/>
      </c>
      <c r="O21" s="27" t="str">
        <f>IF(COUNTIFS(Eventos!$A$5:$A$154,$A21,Eventos!$B$5:$B$154,"&gt;="&amp;O$5,Eventos!$B$5:$B$154,"&lt;="&amp;O$5+6)&gt;0,"●",IF(AND(O$5&lt;=Estrategias!$I$10,O$5+6&gt;=Estrategias!$H$10),"■",""))</f>
        <v/>
      </c>
      <c r="P21" s="27" t="str">
        <f>IF(COUNTIFS(Eventos!$A$5:$A$154,$A21,Eventos!$B$5:$B$154,"&gt;="&amp;P$5,Eventos!$B$5:$B$154,"&lt;="&amp;P$5+6)&gt;0,"●",IF(AND(P$5&lt;=Estrategias!$I$10,P$5+6&gt;=Estrategias!$H$10),"■",""))</f>
        <v/>
      </c>
      <c r="Q21" s="27" t="str">
        <f>IF(COUNTIFS(Eventos!$A$5:$A$154,$A21,Eventos!$B$5:$B$154,"&gt;="&amp;Q$5,Eventos!$B$5:$B$154,"&lt;="&amp;Q$5+6)&gt;0,"●",IF(AND(Q$5&lt;=Estrategias!$I$10,Q$5+6&gt;=Estrategias!$H$10),"■",""))</f>
        <v/>
      </c>
      <c r="R21" s="27" t="str">
        <f>IF(COUNTIFS(Eventos!$A$5:$A$154,$A21,Eventos!$B$5:$B$154,"&gt;="&amp;R$5,Eventos!$B$5:$B$154,"&lt;="&amp;R$5+6)&gt;0,"●",IF(AND(R$5&lt;=Estrategias!$I$10,R$5+6&gt;=Estrategias!$H$10),"■",""))</f>
        <v/>
      </c>
      <c r="S21" s="27" t="str">
        <f>IF(COUNTIFS(Eventos!$A$5:$A$154,$A21,Eventos!$B$5:$B$154,"&gt;="&amp;S$5,Eventos!$B$5:$B$154,"&lt;="&amp;S$5+6)&gt;0,"●",IF(AND(S$5&lt;=Estrategias!$I$10,S$5+6&gt;=Estrategias!$H$10),"■",""))</f>
        <v/>
      </c>
      <c r="T21" s="27" t="str">
        <f>IF(COUNTIFS(Eventos!$A$5:$A$154,$A21,Eventos!$B$5:$B$154,"&gt;="&amp;T$5,Eventos!$B$5:$B$154,"&lt;="&amp;T$5+6)&gt;0,"●",IF(AND(T$5&lt;=Estrategias!$I$10,T$5+6&gt;=Estrategias!$H$10),"■",""))</f>
        <v/>
      </c>
      <c r="U21" s="27" t="str">
        <f>IF(COUNTIFS(Eventos!$A$5:$A$154,$A21,Eventos!$B$5:$B$154,"&gt;="&amp;U$5,Eventos!$B$5:$B$154,"&lt;="&amp;U$5+6)&gt;0,"●",IF(AND(U$5&lt;=Estrategias!$I$10,U$5+6&gt;=Estrategias!$H$10),"■",""))</f>
        <v/>
      </c>
      <c r="V21" s="27" t="str">
        <f>IF(COUNTIFS(Eventos!$A$5:$A$154,$A21,Eventos!$B$5:$B$154,"&gt;="&amp;V$5,Eventos!$B$5:$B$154,"&lt;="&amp;V$5+6)&gt;0,"●",IF(AND(V$5&lt;=Estrategias!$I$10,V$5+6&gt;=Estrategias!$H$10),"■",""))</f>
        <v/>
      </c>
      <c r="W21" s="27" t="str">
        <f>IF(COUNTIFS(Eventos!$A$5:$A$154,$A21,Eventos!$B$5:$B$154,"&gt;="&amp;W$5,Eventos!$B$5:$B$154,"&lt;="&amp;W$5+6)&gt;0,"●",IF(AND(W$5&lt;=Estrategias!$I$10,W$5+6&gt;=Estrategias!$H$10),"■",""))</f>
        <v/>
      </c>
      <c r="X21" s="27" t="str">
        <f>IF(COUNTIFS(Eventos!$A$5:$A$154,$A21,Eventos!$B$5:$B$154,"&gt;="&amp;X$5,Eventos!$B$5:$B$154,"&lt;="&amp;X$5+6)&gt;0,"●",IF(AND(X$5&lt;=Estrategias!$I$10,X$5+6&gt;=Estrategias!$H$10),"■",""))</f>
        <v/>
      </c>
      <c r="Y21" s="27" t="str">
        <f>IF(COUNTIFS(Eventos!$A$5:$A$154,$A21,Eventos!$B$5:$B$154,"&gt;="&amp;Y$5,Eventos!$B$5:$B$154,"&lt;="&amp;Y$5+6)&gt;0,"●",IF(AND(Y$5&lt;=Estrategias!$I$10,Y$5+6&gt;=Estrategias!$H$10),"■",""))</f>
        <v/>
      </c>
      <c r="Z21" s="27" t="str">
        <f>IF(COUNTIFS(Eventos!$A$5:$A$154,$A21,Eventos!$B$5:$B$154,"&gt;="&amp;Z$5,Eventos!$B$5:$B$154,"&lt;="&amp;Z$5+6)&gt;0,"●",IF(AND(Z$5&lt;=Estrategias!$I$10,Z$5+6&gt;=Estrategias!$H$10),"■",""))</f>
        <v/>
      </c>
      <c r="AA21" s="27" t="str">
        <f>IF(COUNTIFS(Eventos!$A$5:$A$154,$A21,Eventos!$B$5:$B$154,"&gt;="&amp;AA$5,Eventos!$B$5:$B$154,"&lt;="&amp;AA$5+6)&gt;0,"●",IF(AND(AA$5&lt;=Estrategias!$I$10,AA$5+6&gt;=Estrategias!$H$10),"■",""))</f>
        <v/>
      </c>
    </row>
    <row r="22" ht="26" customHeight="1">
      <c r="A22" s="25" t="str">
        <f>Estrategias!A11</f>
        <v>E7</v>
      </c>
      <c r="B22" s="26" t="str">
        <f>Estrategias!C11</f>
        <v>Promoción en calle con registro de contactos</v>
      </c>
      <c r="C22" s="27" t="str">
        <f>Estrategias!B11</f>
        <v>Media</v>
      </c>
      <c r="D22" s="27" t="str">
        <f>IF(COUNTIFS(Eventos!$A$5:$A$154,$A22,Eventos!$B$5:$B$154,"&gt;="&amp;D$5,Eventos!$B$5:$B$154,"&lt;="&amp;D$5+6)&gt;0,"●",IF(AND(D$5&lt;=Estrategias!$I$11,D$5+6&gt;=Estrategias!$H$11),"■",""))</f>
        <v/>
      </c>
      <c r="E22" s="27" t="str">
        <f>IF(COUNTIFS(Eventos!$A$5:$A$154,$A22,Eventos!$B$5:$B$154,"&gt;="&amp;E$5,Eventos!$B$5:$B$154,"&lt;="&amp;E$5+6)&gt;0,"●",IF(AND(E$5&lt;=Estrategias!$I$11,E$5+6&gt;=Estrategias!$H$11),"■",""))</f>
        <v/>
      </c>
      <c r="F22" s="27" t="str">
        <f>IF(COUNTIFS(Eventos!$A$5:$A$154,$A22,Eventos!$B$5:$B$154,"&gt;="&amp;F$5,Eventos!$B$5:$B$154,"&lt;="&amp;F$5+6)&gt;0,"●",IF(AND(F$5&lt;=Estrategias!$I$11,F$5+6&gt;=Estrategias!$H$11),"■",""))</f>
        <v>●</v>
      </c>
      <c r="G22" s="27" t="str">
        <f>IF(COUNTIFS(Eventos!$A$5:$A$154,$A22,Eventos!$B$5:$B$154,"&gt;="&amp;G$5,Eventos!$B$5:$B$154,"&lt;="&amp;G$5+6)&gt;0,"●",IF(AND(G$5&lt;=Estrategias!$I$11,G$5+6&gt;=Estrategias!$H$11),"■",""))</f>
        <v>■</v>
      </c>
      <c r="H22" s="27" t="str">
        <f>IF(COUNTIFS(Eventos!$A$5:$A$154,$A22,Eventos!$B$5:$B$154,"&gt;="&amp;H$5,Eventos!$B$5:$B$154,"&lt;="&amp;H$5+6)&gt;0,"●",IF(AND(H$5&lt;=Estrategias!$I$11,H$5+6&gt;=Estrategias!$H$11),"■",""))</f>
        <v>■</v>
      </c>
      <c r="I22" s="27" t="str">
        <f>IF(COUNTIFS(Eventos!$A$5:$A$154,$A22,Eventos!$B$5:$B$154,"&gt;="&amp;I$5,Eventos!$B$5:$B$154,"&lt;="&amp;I$5+6)&gt;0,"●",IF(AND(I$5&lt;=Estrategias!$I$11,I$5+6&gt;=Estrategias!$H$11),"■",""))</f>
        <v>■</v>
      </c>
      <c r="J22" s="27" t="str">
        <f>IF(COUNTIFS(Eventos!$A$5:$A$154,$A22,Eventos!$B$5:$B$154,"&gt;="&amp;J$5,Eventos!$B$5:$B$154,"&lt;="&amp;J$5+6)&gt;0,"●",IF(AND(J$5&lt;=Estrategias!$I$11,J$5+6&gt;=Estrategias!$H$11),"■",""))</f>
        <v>■</v>
      </c>
      <c r="K22" s="27" t="str">
        <f>IF(COUNTIFS(Eventos!$A$5:$A$154,$A22,Eventos!$B$5:$B$154,"&gt;="&amp;K$5,Eventos!$B$5:$B$154,"&lt;="&amp;K$5+6)&gt;0,"●",IF(AND(K$5&lt;=Estrategias!$I$11,K$5+6&gt;=Estrategias!$H$11),"■",""))</f>
        <v>■</v>
      </c>
      <c r="L22" s="27" t="str">
        <f>IF(COUNTIFS(Eventos!$A$5:$A$154,$A22,Eventos!$B$5:$B$154,"&gt;="&amp;L$5,Eventos!$B$5:$B$154,"&lt;="&amp;L$5+6)&gt;0,"●",IF(AND(L$5&lt;=Estrategias!$I$11,L$5+6&gt;=Estrategias!$H$11),"■",""))</f>
        <v>■</v>
      </c>
      <c r="M22" s="27" t="str">
        <f>IF(COUNTIFS(Eventos!$A$5:$A$154,$A22,Eventos!$B$5:$B$154,"&gt;="&amp;M$5,Eventos!$B$5:$B$154,"&lt;="&amp;M$5+6)&gt;0,"●",IF(AND(M$5&lt;=Estrategias!$I$11,M$5+6&gt;=Estrategias!$H$11),"■",""))</f>
        <v>■</v>
      </c>
      <c r="N22" s="27" t="str">
        <f>IF(COUNTIFS(Eventos!$A$5:$A$154,$A22,Eventos!$B$5:$B$154,"&gt;="&amp;N$5,Eventos!$B$5:$B$154,"&lt;="&amp;N$5+6)&gt;0,"●",IF(AND(N$5&lt;=Estrategias!$I$11,N$5+6&gt;=Estrategias!$H$11),"■",""))</f>
        <v>■</v>
      </c>
      <c r="O22" s="27" t="str">
        <f>IF(COUNTIFS(Eventos!$A$5:$A$154,$A22,Eventos!$B$5:$B$154,"&gt;="&amp;O$5,Eventos!$B$5:$B$154,"&lt;="&amp;O$5+6)&gt;0,"●",IF(AND(O$5&lt;=Estrategias!$I$11,O$5+6&gt;=Estrategias!$H$11),"■",""))</f>
        <v>■</v>
      </c>
      <c r="P22" s="27" t="str">
        <f>IF(COUNTIFS(Eventos!$A$5:$A$154,$A22,Eventos!$B$5:$B$154,"&gt;="&amp;P$5,Eventos!$B$5:$B$154,"&lt;="&amp;P$5+6)&gt;0,"●",IF(AND(P$5&lt;=Estrategias!$I$11,P$5+6&gt;=Estrategias!$H$11),"■",""))</f>
        <v>■</v>
      </c>
      <c r="Q22" s="27" t="str">
        <f>IF(COUNTIFS(Eventos!$A$5:$A$154,$A22,Eventos!$B$5:$B$154,"&gt;="&amp;Q$5,Eventos!$B$5:$B$154,"&lt;="&amp;Q$5+6)&gt;0,"●",IF(AND(Q$5&lt;=Estrategias!$I$11,Q$5+6&gt;=Estrategias!$H$11),"■",""))</f>
        <v>■</v>
      </c>
      <c r="R22" s="27" t="str">
        <f>IF(COUNTIFS(Eventos!$A$5:$A$154,$A22,Eventos!$B$5:$B$154,"&gt;="&amp;R$5,Eventos!$B$5:$B$154,"&lt;="&amp;R$5+6)&gt;0,"●",IF(AND(R$5&lt;=Estrategias!$I$11,R$5+6&gt;=Estrategias!$H$11),"■",""))</f>
        <v>■</v>
      </c>
      <c r="S22" s="27" t="str">
        <f>IF(COUNTIFS(Eventos!$A$5:$A$154,$A22,Eventos!$B$5:$B$154,"&gt;="&amp;S$5,Eventos!$B$5:$B$154,"&lt;="&amp;S$5+6)&gt;0,"●",IF(AND(S$5&lt;=Estrategias!$I$11,S$5+6&gt;=Estrategias!$H$11),"■",""))</f>
        <v>■</v>
      </c>
      <c r="T22" s="27" t="str">
        <f>IF(COUNTIFS(Eventos!$A$5:$A$154,$A22,Eventos!$B$5:$B$154,"&gt;="&amp;T$5,Eventos!$B$5:$B$154,"&lt;="&amp;T$5+6)&gt;0,"●",IF(AND(T$5&lt;=Estrategias!$I$11,T$5+6&gt;=Estrategias!$H$11),"■",""))</f>
        <v>■</v>
      </c>
      <c r="U22" s="27" t="str">
        <f>IF(COUNTIFS(Eventos!$A$5:$A$154,$A22,Eventos!$B$5:$B$154,"&gt;="&amp;U$5,Eventos!$B$5:$B$154,"&lt;="&amp;U$5+6)&gt;0,"●",IF(AND(U$5&lt;=Estrategias!$I$11,U$5+6&gt;=Estrategias!$H$11),"■",""))</f>
        <v>■</v>
      </c>
      <c r="V22" s="27" t="str">
        <f>IF(COUNTIFS(Eventos!$A$5:$A$154,$A22,Eventos!$B$5:$B$154,"&gt;="&amp;V$5,Eventos!$B$5:$B$154,"&lt;="&amp;V$5+6)&gt;0,"●",IF(AND(V$5&lt;=Estrategias!$I$11,V$5+6&gt;=Estrategias!$H$11),"■",""))</f>
        <v>■</v>
      </c>
      <c r="W22" s="27" t="str">
        <f>IF(COUNTIFS(Eventos!$A$5:$A$154,$A22,Eventos!$B$5:$B$154,"&gt;="&amp;W$5,Eventos!$B$5:$B$154,"&lt;="&amp;W$5+6)&gt;0,"●",IF(AND(W$5&lt;=Estrategias!$I$11,W$5+6&gt;=Estrategias!$H$11),"■",""))</f>
        <v>■</v>
      </c>
      <c r="X22" s="27" t="str">
        <f>IF(COUNTIFS(Eventos!$A$5:$A$154,$A22,Eventos!$B$5:$B$154,"&gt;="&amp;X$5,Eventos!$B$5:$B$154,"&lt;="&amp;X$5+6)&gt;0,"●",IF(AND(X$5&lt;=Estrategias!$I$11,X$5+6&gt;=Estrategias!$H$11),"■",""))</f>
        <v>■</v>
      </c>
      <c r="Y22" s="27" t="str">
        <f>IF(COUNTIFS(Eventos!$A$5:$A$154,$A22,Eventos!$B$5:$B$154,"&gt;="&amp;Y$5,Eventos!$B$5:$B$154,"&lt;="&amp;Y$5+6)&gt;0,"●",IF(AND(Y$5&lt;=Estrategias!$I$11,Y$5+6&gt;=Estrategias!$H$11),"■",""))</f>
        <v>■</v>
      </c>
      <c r="Z22" s="27" t="str">
        <f>IF(COUNTIFS(Eventos!$A$5:$A$154,$A22,Eventos!$B$5:$B$154,"&gt;="&amp;Z$5,Eventos!$B$5:$B$154,"&lt;="&amp;Z$5+6)&gt;0,"●",IF(AND(Z$5&lt;=Estrategias!$I$11,Z$5+6&gt;=Estrategias!$H$11),"■",""))</f>
        <v/>
      </c>
      <c r="AA22" s="27" t="str">
        <f>IF(COUNTIFS(Eventos!$A$5:$A$154,$A22,Eventos!$B$5:$B$154,"&gt;="&amp;AA$5,Eventos!$B$5:$B$154,"&lt;="&amp;AA$5+6)&gt;0,"●",IF(AND(AA$5&lt;=Estrategias!$I$11,AA$5+6&gt;=Estrategias!$H$11),"■",""))</f>
        <v/>
      </c>
    </row>
    <row r="23" ht="26" customHeight="1">
      <c r="A23" s="25" t="str">
        <f>Estrategias!A12</f>
        <v>E8</v>
      </c>
      <c r="B23" s="26" t="str">
        <f>Estrategias!C12</f>
        <v>Curso intensivo de invierno (evaluar)</v>
      </c>
      <c r="C23" s="27" t="str">
        <f>Estrategias!B12</f>
        <v>Media</v>
      </c>
      <c r="D23" s="27" t="str">
        <f>IF(COUNTIFS(Eventos!$A$5:$A$154,$A23,Eventos!$B$5:$B$154,"&gt;="&amp;D$5,Eventos!$B$5:$B$154,"&lt;="&amp;D$5+6)&gt;0,"●",IF(AND(D$5&lt;=Estrategias!$I$12,D$5+6&gt;=Estrategias!$H$12),"■",""))</f>
        <v/>
      </c>
      <c r="E23" s="27" t="str">
        <f>IF(COUNTIFS(Eventos!$A$5:$A$154,$A23,Eventos!$B$5:$B$154,"&gt;="&amp;E$5,Eventos!$B$5:$B$154,"&lt;="&amp;E$5+6)&gt;0,"●",IF(AND(E$5&lt;=Estrategias!$I$12,E$5+6&gt;=Estrategias!$H$12),"■",""))</f>
        <v/>
      </c>
      <c r="F23" s="27" t="str">
        <f>IF(COUNTIFS(Eventos!$A$5:$A$154,$A23,Eventos!$B$5:$B$154,"&gt;="&amp;F$5,Eventos!$B$5:$B$154,"&lt;="&amp;F$5+6)&gt;0,"●",IF(AND(F$5&lt;=Estrategias!$I$12,F$5+6&gt;=Estrategias!$H$12),"■",""))</f>
        <v/>
      </c>
      <c r="G23" s="27" t="str">
        <f>IF(COUNTIFS(Eventos!$A$5:$A$154,$A23,Eventos!$B$5:$B$154,"&gt;="&amp;G$5,Eventos!$B$5:$B$154,"&lt;="&amp;G$5+6)&gt;0,"●",IF(AND(G$5&lt;=Estrategias!$I$12,G$5+6&gt;=Estrategias!$H$12),"■",""))</f>
        <v/>
      </c>
      <c r="H23" s="27" t="str">
        <f>IF(COUNTIFS(Eventos!$A$5:$A$154,$A23,Eventos!$B$5:$B$154,"&gt;="&amp;H$5,Eventos!$B$5:$B$154,"&lt;="&amp;H$5+6)&gt;0,"●",IF(AND(H$5&lt;=Estrategias!$I$12,H$5+6&gt;=Estrategias!$H$12),"■",""))</f>
        <v>●</v>
      </c>
      <c r="I23" s="27" t="str">
        <f>IF(COUNTIFS(Eventos!$A$5:$A$154,$A23,Eventos!$B$5:$B$154,"&gt;="&amp;I$5,Eventos!$B$5:$B$154,"&lt;="&amp;I$5+6)&gt;0,"●",IF(AND(I$5&lt;=Estrategias!$I$12,I$5+6&gt;=Estrategias!$H$12),"■",""))</f>
        <v/>
      </c>
      <c r="J23" s="27" t="str">
        <f>IF(COUNTIFS(Eventos!$A$5:$A$154,$A23,Eventos!$B$5:$B$154,"&gt;="&amp;J$5,Eventos!$B$5:$B$154,"&lt;="&amp;J$5+6)&gt;0,"●",IF(AND(J$5&lt;=Estrategias!$I$12,J$5+6&gt;=Estrategias!$H$12),"■",""))</f>
        <v/>
      </c>
      <c r="K23" s="27" t="str">
        <f>IF(COUNTIFS(Eventos!$A$5:$A$154,$A23,Eventos!$B$5:$B$154,"&gt;="&amp;K$5,Eventos!$B$5:$B$154,"&lt;="&amp;K$5+6)&gt;0,"●",IF(AND(K$5&lt;=Estrategias!$I$12,K$5+6&gt;=Estrategias!$H$12),"■",""))</f>
        <v/>
      </c>
      <c r="L23" s="27" t="str">
        <f>IF(COUNTIFS(Eventos!$A$5:$A$154,$A23,Eventos!$B$5:$B$154,"&gt;="&amp;L$5,Eventos!$B$5:$B$154,"&lt;="&amp;L$5+6)&gt;0,"●",IF(AND(L$5&lt;=Estrategias!$I$12,L$5+6&gt;=Estrategias!$H$12),"■",""))</f>
        <v/>
      </c>
      <c r="M23" s="27" t="str">
        <f>IF(COUNTIFS(Eventos!$A$5:$A$154,$A23,Eventos!$B$5:$B$154,"&gt;="&amp;M$5,Eventos!$B$5:$B$154,"&lt;="&amp;M$5+6)&gt;0,"●",IF(AND(M$5&lt;=Estrategias!$I$12,M$5+6&gt;=Estrategias!$H$12),"■",""))</f>
        <v>●</v>
      </c>
      <c r="N23" s="27" t="str">
        <f>IF(COUNTIFS(Eventos!$A$5:$A$154,$A23,Eventos!$B$5:$B$154,"&gt;="&amp;N$5,Eventos!$B$5:$B$154,"&lt;="&amp;N$5+6)&gt;0,"●",IF(AND(N$5&lt;=Estrategias!$I$12,N$5+6&gt;=Estrategias!$H$12),"■",""))</f>
        <v>■</v>
      </c>
      <c r="O23" s="27" t="str">
        <f>IF(COUNTIFS(Eventos!$A$5:$A$154,$A23,Eventos!$B$5:$B$154,"&gt;="&amp;O$5,Eventos!$B$5:$B$154,"&lt;="&amp;O$5+6)&gt;0,"●",IF(AND(O$5&lt;=Estrategias!$I$12,O$5+6&gt;=Estrategias!$H$12),"■",""))</f>
        <v>■</v>
      </c>
      <c r="P23" s="27" t="str">
        <f>IF(COUNTIFS(Eventos!$A$5:$A$154,$A23,Eventos!$B$5:$B$154,"&gt;="&amp;P$5,Eventos!$B$5:$B$154,"&lt;="&amp;P$5+6)&gt;0,"●",IF(AND(P$5&lt;=Estrategias!$I$12,P$5+6&gt;=Estrategias!$H$12),"■",""))</f>
        <v/>
      </c>
      <c r="Q23" s="27" t="str">
        <f>IF(COUNTIFS(Eventos!$A$5:$A$154,$A23,Eventos!$B$5:$B$154,"&gt;="&amp;Q$5,Eventos!$B$5:$B$154,"&lt;="&amp;Q$5+6)&gt;0,"●",IF(AND(Q$5&lt;=Estrategias!$I$12,Q$5+6&gt;=Estrategias!$H$12),"■",""))</f>
        <v/>
      </c>
      <c r="R23" s="27" t="str">
        <f>IF(COUNTIFS(Eventos!$A$5:$A$154,$A23,Eventos!$B$5:$B$154,"&gt;="&amp;R$5,Eventos!$B$5:$B$154,"&lt;="&amp;R$5+6)&gt;0,"●",IF(AND(R$5&lt;=Estrategias!$I$12,R$5+6&gt;=Estrategias!$H$12),"■",""))</f>
        <v/>
      </c>
      <c r="S23" s="27" t="str">
        <f>IF(COUNTIFS(Eventos!$A$5:$A$154,$A23,Eventos!$B$5:$B$154,"&gt;="&amp;S$5,Eventos!$B$5:$B$154,"&lt;="&amp;S$5+6)&gt;0,"●",IF(AND(S$5&lt;=Estrategias!$I$12,S$5+6&gt;=Estrategias!$H$12),"■",""))</f>
        <v/>
      </c>
      <c r="T23" s="27" t="str">
        <f>IF(COUNTIFS(Eventos!$A$5:$A$154,$A23,Eventos!$B$5:$B$154,"&gt;="&amp;T$5,Eventos!$B$5:$B$154,"&lt;="&amp;T$5+6)&gt;0,"●",IF(AND(T$5&lt;=Estrategias!$I$12,T$5+6&gt;=Estrategias!$H$12),"■",""))</f>
        <v/>
      </c>
      <c r="U23" s="27" t="str">
        <f>IF(COUNTIFS(Eventos!$A$5:$A$154,$A23,Eventos!$B$5:$B$154,"&gt;="&amp;U$5,Eventos!$B$5:$B$154,"&lt;="&amp;U$5+6)&gt;0,"●",IF(AND(U$5&lt;=Estrategias!$I$12,U$5+6&gt;=Estrategias!$H$12),"■",""))</f>
        <v/>
      </c>
      <c r="V23" s="27" t="str">
        <f>IF(COUNTIFS(Eventos!$A$5:$A$154,$A23,Eventos!$B$5:$B$154,"&gt;="&amp;V$5,Eventos!$B$5:$B$154,"&lt;="&amp;V$5+6)&gt;0,"●",IF(AND(V$5&lt;=Estrategias!$I$12,V$5+6&gt;=Estrategias!$H$12),"■",""))</f>
        <v/>
      </c>
      <c r="W23" s="27" t="str">
        <f>IF(COUNTIFS(Eventos!$A$5:$A$154,$A23,Eventos!$B$5:$B$154,"&gt;="&amp;W$5,Eventos!$B$5:$B$154,"&lt;="&amp;W$5+6)&gt;0,"●",IF(AND(W$5&lt;=Estrategias!$I$12,W$5+6&gt;=Estrategias!$H$12),"■",""))</f>
        <v/>
      </c>
      <c r="X23" s="27" t="str">
        <f>IF(COUNTIFS(Eventos!$A$5:$A$154,$A23,Eventos!$B$5:$B$154,"&gt;="&amp;X$5,Eventos!$B$5:$B$154,"&lt;="&amp;X$5+6)&gt;0,"●",IF(AND(X$5&lt;=Estrategias!$I$12,X$5+6&gt;=Estrategias!$H$12),"■",""))</f>
        <v/>
      </c>
      <c r="Y23" s="27" t="str">
        <f>IF(COUNTIFS(Eventos!$A$5:$A$154,$A23,Eventos!$B$5:$B$154,"&gt;="&amp;Y$5,Eventos!$B$5:$B$154,"&lt;="&amp;Y$5+6)&gt;0,"●",IF(AND(Y$5&lt;=Estrategias!$I$12,Y$5+6&gt;=Estrategias!$H$12),"■",""))</f>
        <v/>
      </c>
      <c r="Z23" s="27" t="str">
        <f>IF(COUNTIFS(Eventos!$A$5:$A$154,$A23,Eventos!$B$5:$B$154,"&gt;="&amp;Z$5,Eventos!$B$5:$B$154,"&lt;="&amp;Z$5+6)&gt;0,"●",IF(AND(Z$5&lt;=Estrategias!$I$12,Z$5+6&gt;=Estrategias!$H$12),"■",""))</f>
        <v/>
      </c>
      <c r="AA23" s="27" t="str">
        <f>IF(COUNTIFS(Eventos!$A$5:$A$154,$A23,Eventos!$B$5:$B$154,"&gt;="&amp;AA$5,Eventos!$B$5:$B$154,"&lt;="&amp;AA$5+6)&gt;0,"●",IF(AND(AA$5&lt;=Estrategias!$I$12,AA$5+6&gt;=Estrategias!$H$12),"■",""))</f>
        <v/>
      </c>
    </row>
    <row r="24" ht="26" customHeight="1">
      <c r="A24" s="25" t="str">
        <f>Estrategias!A13</f>
        <v>E9</v>
      </c>
      <c r="B24" s="26" t="str">
        <f>Estrategias!C13</f>
        <v>Convenios con empresas e instituciones cercanas</v>
      </c>
      <c r="C24" s="27" t="str">
        <f>Estrategias!B13</f>
        <v>Baja</v>
      </c>
      <c r="D24" s="27" t="str">
        <f>IF(COUNTIFS(Eventos!$A$5:$A$154,$A24,Eventos!$B$5:$B$154,"&gt;="&amp;D$5,Eventos!$B$5:$B$154,"&lt;="&amp;D$5+6)&gt;0,"●",IF(AND(D$5&lt;=Estrategias!$I$13,D$5+6&gt;=Estrategias!$H$13),"■",""))</f>
        <v/>
      </c>
      <c r="E24" s="27" t="str">
        <f>IF(COUNTIFS(Eventos!$A$5:$A$154,$A24,Eventos!$B$5:$B$154,"&gt;="&amp;E$5,Eventos!$B$5:$B$154,"&lt;="&amp;E$5+6)&gt;0,"●",IF(AND(E$5&lt;=Estrategias!$I$13,E$5+6&gt;=Estrategias!$H$13),"■",""))</f>
        <v/>
      </c>
      <c r="F24" s="27" t="str">
        <f>IF(COUNTIFS(Eventos!$A$5:$A$154,$A24,Eventos!$B$5:$B$154,"&gt;="&amp;F$5,Eventos!$B$5:$B$154,"&lt;="&amp;F$5+6)&gt;0,"●",IF(AND(F$5&lt;=Estrategias!$I$13,F$5+6&gt;=Estrategias!$H$13),"■",""))</f>
        <v/>
      </c>
      <c r="G24" s="27" t="str">
        <f>IF(COUNTIFS(Eventos!$A$5:$A$154,$A24,Eventos!$B$5:$B$154,"&gt;="&amp;G$5,Eventos!$B$5:$B$154,"&lt;="&amp;G$5+6)&gt;0,"●",IF(AND(G$5&lt;=Estrategias!$I$13,G$5+6&gt;=Estrategias!$H$13),"■",""))</f>
        <v/>
      </c>
      <c r="H24" s="27" t="str">
        <f>IF(COUNTIFS(Eventos!$A$5:$A$154,$A24,Eventos!$B$5:$B$154,"&gt;="&amp;H$5,Eventos!$B$5:$B$154,"&lt;="&amp;H$5+6)&gt;0,"●",IF(AND(H$5&lt;=Estrategias!$I$13,H$5+6&gt;=Estrategias!$H$13),"■",""))</f>
        <v/>
      </c>
      <c r="I24" s="27" t="str">
        <f>IF(COUNTIFS(Eventos!$A$5:$A$154,$A24,Eventos!$B$5:$B$154,"&gt;="&amp;I$5,Eventos!$B$5:$B$154,"&lt;="&amp;I$5+6)&gt;0,"●",IF(AND(I$5&lt;=Estrategias!$I$13,I$5+6&gt;=Estrategias!$H$13),"■",""))</f>
        <v/>
      </c>
      <c r="J24" s="27" t="str">
        <f>IF(COUNTIFS(Eventos!$A$5:$A$154,$A24,Eventos!$B$5:$B$154,"&gt;="&amp;J$5,Eventos!$B$5:$B$154,"&lt;="&amp;J$5+6)&gt;0,"●",IF(AND(J$5&lt;=Estrategias!$I$13,J$5+6&gt;=Estrategias!$H$13),"■",""))</f>
        <v/>
      </c>
      <c r="K24" s="27" t="str">
        <f>IF(COUNTIFS(Eventos!$A$5:$A$154,$A24,Eventos!$B$5:$B$154,"&gt;="&amp;K$5,Eventos!$B$5:$B$154,"&lt;="&amp;K$5+6)&gt;0,"●",IF(AND(K$5&lt;=Estrategias!$I$13,K$5+6&gt;=Estrategias!$H$13),"■",""))</f>
        <v/>
      </c>
      <c r="L24" s="27" t="str">
        <f>IF(COUNTIFS(Eventos!$A$5:$A$154,$A24,Eventos!$B$5:$B$154,"&gt;="&amp;L$5,Eventos!$B$5:$B$154,"&lt;="&amp;L$5+6)&gt;0,"●",IF(AND(L$5&lt;=Estrategias!$I$13,L$5+6&gt;=Estrategias!$H$13),"■",""))</f>
        <v/>
      </c>
      <c r="M24" s="27" t="str">
        <f>IF(COUNTIFS(Eventos!$A$5:$A$154,$A24,Eventos!$B$5:$B$154,"&gt;="&amp;M$5,Eventos!$B$5:$B$154,"&lt;="&amp;M$5+6)&gt;0,"●",IF(AND(M$5&lt;=Estrategias!$I$13,M$5+6&gt;=Estrategias!$H$13),"■",""))</f>
        <v/>
      </c>
      <c r="N24" s="27" t="str">
        <f>IF(COUNTIFS(Eventos!$A$5:$A$154,$A24,Eventos!$B$5:$B$154,"&gt;="&amp;N$5,Eventos!$B$5:$B$154,"&lt;="&amp;N$5+6)&gt;0,"●",IF(AND(N$5&lt;=Estrategias!$I$13,N$5+6&gt;=Estrategias!$H$13),"■",""))</f>
        <v/>
      </c>
      <c r="O24" s="27" t="str">
        <f>IF(COUNTIFS(Eventos!$A$5:$A$154,$A24,Eventos!$B$5:$B$154,"&gt;="&amp;O$5,Eventos!$B$5:$B$154,"&lt;="&amp;O$5+6)&gt;0,"●",IF(AND(O$5&lt;=Estrategias!$I$13,O$5+6&gt;=Estrategias!$H$13),"■",""))</f>
        <v/>
      </c>
      <c r="P24" s="27" t="str">
        <f>IF(COUNTIFS(Eventos!$A$5:$A$154,$A24,Eventos!$B$5:$B$154,"&gt;="&amp;P$5,Eventos!$B$5:$B$154,"&lt;="&amp;P$5+6)&gt;0,"●",IF(AND(P$5&lt;=Estrategias!$I$13,P$5+6&gt;=Estrategias!$H$13),"■",""))</f>
        <v>●</v>
      </c>
      <c r="Q24" s="27" t="str">
        <f>IF(COUNTIFS(Eventos!$A$5:$A$154,$A24,Eventos!$B$5:$B$154,"&gt;="&amp;Q$5,Eventos!$B$5:$B$154,"&lt;="&amp;Q$5+6)&gt;0,"●",IF(AND(Q$5&lt;=Estrategias!$I$13,Q$5+6&gt;=Estrategias!$H$13),"■",""))</f>
        <v>■</v>
      </c>
      <c r="R24" s="27" t="str">
        <f>IF(COUNTIFS(Eventos!$A$5:$A$154,$A24,Eventos!$B$5:$B$154,"&gt;="&amp;R$5,Eventos!$B$5:$B$154,"&lt;="&amp;R$5+6)&gt;0,"●",IF(AND(R$5&lt;=Estrategias!$I$13,R$5+6&gt;=Estrategias!$H$13),"■",""))</f>
        <v>■</v>
      </c>
      <c r="S24" s="27" t="str">
        <f>IF(COUNTIFS(Eventos!$A$5:$A$154,$A24,Eventos!$B$5:$B$154,"&gt;="&amp;S$5,Eventos!$B$5:$B$154,"&lt;="&amp;S$5+6)&gt;0,"●",IF(AND(S$5&lt;=Estrategias!$I$13,S$5+6&gt;=Estrategias!$H$13),"■",""))</f>
        <v>■</v>
      </c>
      <c r="T24" s="27" t="str">
        <f>IF(COUNTIFS(Eventos!$A$5:$A$154,$A24,Eventos!$B$5:$B$154,"&gt;="&amp;T$5,Eventos!$B$5:$B$154,"&lt;="&amp;T$5+6)&gt;0,"●",IF(AND(T$5&lt;=Estrategias!$I$13,T$5+6&gt;=Estrategias!$H$13),"■",""))</f>
        <v>■</v>
      </c>
      <c r="U24" s="27" t="str">
        <f>IF(COUNTIFS(Eventos!$A$5:$A$154,$A24,Eventos!$B$5:$B$154,"&gt;="&amp;U$5,Eventos!$B$5:$B$154,"&lt;="&amp;U$5+6)&gt;0,"●",IF(AND(U$5&lt;=Estrategias!$I$13,U$5+6&gt;=Estrategias!$H$13),"■",""))</f>
        <v>■</v>
      </c>
      <c r="V24" s="27" t="str">
        <f>IF(COUNTIFS(Eventos!$A$5:$A$154,$A24,Eventos!$B$5:$B$154,"&gt;="&amp;V$5,Eventos!$B$5:$B$154,"&lt;="&amp;V$5+6)&gt;0,"●",IF(AND(V$5&lt;=Estrategias!$I$13,V$5+6&gt;=Estrategias!$H$13),"■",""))</f>
        <v>■</v>
      </c>
      <c r="W24" s="27" t="str">
        <f>IF(COUNTIFS(Eventos!$A$5:$A$154,$A24,Eventos!$B$5:$B$154,"&gt;="&amp;W$5,Eventos!$B$5:$B$154,"&lt;="&amp;W$5+6)&gt;0,"●",IF(AND(W$5&lt;=Estrategias!$I$13,W$5+6&gt;=Estrategias!$H$13),"■",""))</f>
        <v>■</v>
      </c>
      <c r="X24" s="27" t="str">
        <f>IF(COUNTIFS(Eventos!$A$5:$A$154,$A24,Eventos!$B$5:$B$154,"&gt;="&amp;X$5,Eventos!$B$5:$B$154,"&lt;="&amp;X$5+6)&gt;0,"●",IF(AND(X$5&lt;=Estrategias!$I$13,X$5+6&gt;=Estrategias!$H$13),"■",""))</f>
        <v>■</v>
      </c>
      <c r="Y24" s="27" t="str">
        <f>IF(COUNTIFS(Eventos!$A$5:$A$154,$A24,Eventos!$B$5:$B$154,"&gt;="&amp;Y$5,Eventos!$B$5:$B$154,"&lt;="&amp;Y$5+6)&gt;0,"●",IF(AND(Y$5&lt;=Estrategias!$I$13,Y$5+6&gt;=Estrategias!$H$13),"■",""))</f>
        <v>■</v>
      </c>
      <c r="Z24" s="27" t="str">
        <f>IF(COUNTIFS(Eventos!$A$5:$A$154,$A24,Eventos!$B$5:$B$154,"&gt;="&amp;Z$5,Eventos!$B$5:$B$154,"&lt;="&amp;Z$5+6)&gt;0,"●",IF(AND(Z$5&lt;=Estrategias!$I$13,Z$5+6&gt;=Estrategias!$H$13),"■",""))</f>
        <v/>
      </c>
      <c r="AA24" s="27" t="str">
        <f>IF(COUNTIFS(Eventos!$A$5:$A$154,$A24,Eventos!$B$5:$B$154,"&gt;="&amp;AA$5,Eventos!$B$5:$B$154,"&lt;="&amp;AA$5+6)&gt;0,"●",IF(AND(AA$5&lt;=Estrategias!$I$13,AA$5+6&gt;=Estrategias!$H$13),"■",""))</f>
        <v/>
      </c>
    </row>
    <row r="25" ht="26" customHeight="1">
      <c r="A25" s="25" t="str">
        <f>Estrategias!A14</f>
        <v>E10</v>
      </c>
      <c r="B25" s="26" t="str">
        <f>Estrategias!C14</f>
        <v>Segundo idioma y hermanos para familias actuales</v>
      </c>
      <c r="C25" s="27" t="str">
        <f>Estrategias!B14</f>
        <v>Baja</v>
      </c>
      <c r="D25" s="27" t="str">
        <f>IF(COUNTIFS(Eventos!$A$5:$A$154,$A25,Eventos!$B$5:$B$154,"&gt;="&amp;D$5,Eventos!$B$5:$B$154,"&lt;="&amp;D$5+6)&gt;0,"●",IF(AND(D$5&lt;=Estrategias!$I$14,D$5+6&gt;=Estrategias!$H$14),"■",""))</f>
        <v/>
      </c>
      <c r="E25" s="27" t="str">
        <f>IF(COUNTIFS(Eventos!$A$5:$A$154,$A25,Eventos!$B$5:$B$154,"&gt;="&amp;E$5,Eventos!$B$5:$B$154,"&lt;="&amp;E$5+6)&gt;0,"●",IF(AND(E$5&lt;=Estrategias!$I$14,E$5+6&gt;=Estrategias!$H$14),"■",""))</f>
        <v/>
      </c>
      <c r="F25" s="27" t="str">
        <f>IF(COUNTIFS(Eventos!$A$5:$A$154,$A25,Eventos!$B$5:$B$154,"&gt;="&amp;F$5,Eventos!$B$5:$B$154,"&lt;="&amp;F$5+6)&gt;0,"●",IF(AND(F$5&lt;=Estrategias!$I$14,F$5+6&gt;=Estrategias!$H$14),"■",""))</f>
        <v/>
      </c>
      <c r="G25" s="27" t="str">
        <f>IF(COUNTIFS(Eventos!$A$5:$A$154,$A25,Eventos!$B$5:$B$154,"&gt;="&amp;G$5,Eventos!$B$5:$B$154,"&lt;="&amp;G$5+6)&gt;0,"●",IF(AND(G$5&lt;=Estrategias!$I$14,G$5+6&gt;=Estrategias!$H$14),"■",""))</f>
        <v/>
      </c>
      <c r="H25" s="27" t="str">
        <f>IF(COUNTIFS(Eventos!$A$5:$A$154,$A25,Eventos!$B$5:$B$154,"&gt;="&amp;H$5,Eventos!$B$5:$B$154,"&lt;="&amp;H$5+6)&gt;0,"●",IF(AND(H$5&lt;=Estrategias!$I$14,H$5+6&gt;=Estrategias!$H$14),"■",""))</f>
        <v/>
      </c>
      <c r="I25" s="27" t="str">
        <f>IF(COUNTIFS(Eventos!$A$5:$A$154,$A25,Eventos!$B$5:$B$154,"&gt;="&amp;I$5,Eventos!$B$5:$B$154,"&lt;="&amp;I$5+6)&gt;0,"●",IF(AND(I$5&lt;=Estrategias!$I$14,I$5+6&gt;=Estrategias!$H$14),"■",""))</f>
        <v/>
      </c>
      <c r="J25" s="27" t="str">
        <f>IF(COUNTIFS(Eventos!$A$5:$A$154,$A25,Eventos!$B$5:$B$154,"&gt;="&amp;J$5,Eventos!$B$5:$B$154,"&lt;="&amp;J$5+6)&gt;0,"●",IF(AND(J$5&lt;=Estrategias!$I$14,J$5+6&gt;=Estrategias!$H$14),"■",""))</f>
        <v/>
      </c>
      <c r="K25" s="27" t="str">
        <f>IF(COUNTIFS(Eventos!$A$5:$A$154,$A25,Eventos!$B$5:$B$154,"&gt;="&amp;K$5,Eventos!$B$5:$B$154,"&lt;="&amp;K$5+6)&gt;0,"●",IF(AND(K$5&lt;=Estrategias!$I$14,K$5+6&gt;=Estrategias!$H$14),"■",""))</f>
        <v/>
      </c>
      <c r="L25" s="27" t="str">
        <f>IF(COUNTIFS(Eventos!$A$5:$A$154,$A25,Eventos!$B$5:$B$154,"&gt;="&amp;L$5,Eventos!$B$5:$B$154,"&lt;="&amp;L$5+6)&gt;0,"●",IF(AND(L$5&lt;=Estrategias!$I$14,L$5+6&gt;=Estrategias!$H$14),"■",""))</f>
        <v/>
      </c>
      <c r="M25" s="27" t="str">
        <f>IF(COUNTIFS(Eventos!$A$5:$A$154,$A25,Eventos!$B$5:$B$154,"&gt;="&amp;M$5,Eventos!$B$5:$B$154,"&lt;="&amp;M$5+6)&gt;0,"●",IF(AND(M$5&lt;=Estrategias!$I$14,M$5+6&gt;=Estrategias!$H$14),"■",""))</f>
        <v/>
      </c>
      <c r="N25" s="27" t="str">
        <f>IF(COUNTIFS(Eventos!$A$5:$A$154,$A25,Eventos!$B$5:$B$154,"&gt;="&amp;N$5,Eventos!$B$5:$B$154,"&lt;="&amp;N$5+6)&gt;0,"●",IF(AND(N$5&lt;=Estrategias!$I$14,N$5+6&gt;=Estrategias!$H$14),"■",""))</f>
        <v/>
      </c>
      <c r="O25" s="27" t="str">
        <f>IF(COUNTIFS(Eventos!$A$5:$A$154,$A25,Eventos!$B$5:$B$154,"&gt;="&amp;O$5,Eventos!$B$5:$B$154,"&lt;="&amp;O$5+6)&gt;0,"●",IF(AND(O$5&lt;=Estrategias!$I$14,O$5+6&gt;=Estrategias!$H$14),"■",""))</f>
        <v/>
      </c>
      <c r="P25" s="27" t="str">
        <f>IF(COUNTIFS(Eventos!$A$5:$A$154,$A25,Eventos!$B$5:$B$154,"&gt;="&amp;P$5,Eventos!$B$5:$B$154,"&lt;="&amp;P$5+6)&gt;0,"●",IF(AND(P$5&lt;=Estrategias!$I$14,P$5+6&gt;=Estrategias!$H$14),"■",""))</f>
        <v>●</v>
      </c>
      <c r="Q25" s="27" t="str">
        <f>IF(COUNTIFS(Eventos!$A$5:$A$154,$A25,Eventos!$B$5:$B$154,"&gt;="&amp;Q$5,Eventos!$B$5:$B$154,"&lt;="&amp;Q$5+6)&gt;0,"●",IF(AND(Q$5&lt;=Estrategias!$I$14,Q$5+6&gt;=Estrategias!$H$14),"■",""))</f>
        <v>■</v>
      </c>
      <c r="R25" s="27" t="str">
        <f>IF(COUNTIFS(Eventos!$A$5:$A$154,$A25,Eventos!$B$5:$B$154,"&gt;="&amp;R$5,Eventos!$B$5:$B$154,"&lt;="&amp;R$5+6)&gt;0,"●",IF(AND(R$5&lt;=Estrategias!$I$14,R$5+6&gt;=Estrategias!$H$14),"■",""))</f>
        <v>■</v>
      </c>
      <c r="S25" s="27" t="str">
        <f>IF(COUNTIFS(Eventos!$A$5:$A$154,$A25,Eventos!$B$5:$B$154,"&gt;="&amp;S$5,Eventos!$B$5:$B$154,"&lt;="&amp;S$5+6)&gt;0,"●",IF(AND(S$5&lt;=Estrategias!$I$14,S$5+6&gt;=Estrategias!$H$14),"■",""))</f>
        <v>■</v>
      </c>
      <c r="T25" s="27" t="str">
        <f>IF(COUNTIFS(Eventos!$A$5:$A$154,$A25,Eventos!$B$5:$B$154,"&gt;="&amp;T$5,Eventos!$B$5:$B$154,"&lt;="&amp;T$5+6)&gt;0,"●",IF(AND(T$5&lt;=Estrategias!$I$14,T$5+6&gt;=Estrategias!$H$14),"■",""))</f>
        <v>■</v>
      </c>
      <c r="U25" s="27" t="str">
        <f>IF(COUNTIFS(Eventos!$A$5:$A$154,$A25,Eventos!$B$5:$B$154,"&gt;="&amp;U$5,Eventos!$B$5:$B$154,"&lt;="&amp;U$5+6)&gt;0,"●",IF(AND(U$5&lt;=Estrategias!$I$14,U$5+6&gt;=Estrategias!$H$14),"■",""))</f>
        <v>■</v>
      </c>
      <c r="V25" s="27" t="str">
        <f>IF(COUNTIFS(Eventos!$A$5:$A$154,$A25,Eventos!$B$5:$B$154,"&gt;="&amp;V$5,Eventos!$B$5:$B$154,"&lt;="&amp;V$5+6)&gt;0,"●",IF(AND(V$5&lt;=Estrategias!$I$14,V$5+6&gt;=Estrategias!$H$14),"■",""))</f>
        <v>■</v>
      </c>
      <c r="W25" s="27" t="str">
        <f>IF(COUNTIFS(Eventos!$A$5:$A$154,$A25,Eventos!$B$5:$B$154,"&gt;="&amp;W$5,Eventos!$B$5:$B$154,"&lt;="&amp;W$5+6)&gt;0,"●",IF(AND(W$5&lt;=Estrategias!$I$14,W$5+6&gt;=Estrategias!$H$14),"■",""))</f>
        <v>■</v>
      </c>
      <c r="X25" s="27" t="str">
        <f>IF(COUNTIFS(Eventos!$A$5:$A$154,$A25,Eventos!$B$5:$B$154,"&gt;="&amp;X$5,Eventos!$B$5:$B$154,"&lt;="&amp;X$5+6)&gt;0,"●",IF(AND(X$5&lt;=Estrategias!$I$14,X$5+6&gt;=Estrategias!$H$14),"■",""))</f>
        <v>■</v>
      </c>
      <c r="Y25" s="27" t="str">
        <f>IF(COUNTIFS(Eventos!$A$5:$A$154,$A25,Eventos!$B$5:$B$154,"&gt;="&amp;Y$5,Eventos!$B$5:$B$154,"&lt;="&amp;Y$5+6)&gt;0,"●",IF(AND(Y$5&lt;=Estrategias!$I$14,Y$5+6&gt;=Estrategias!$H$14),"■",""))</f>
        <v>■</v>
      </c>
      <c r="Z25" s="27" t="str">
        <f>IF(COUNTIFS(Eventos!$A$5:$A$154,$A25,Eventos!$B$5:$B$154,"&gt;="&amp;Z$5,Eventos!$B$5:$B$154,"&lt;="&amp;Z$5+6)&gt;0,"●",IF(AND(Z$5&lt;=Estrategias!$I$14,Z$5+6&gt;=Estrategias!$H$14),"■",""))</f>
        <v/>
      </c>
      <c r="AA25" s="27" t="str">
        <f>IF(COUNTIFS(Eventos!$A$5:$A$154,$A25,Eventos!$B$5:$B$154,"&gt;="&amp;AA$5,Eventos!$B$5:$B$154,"&lt;="&amp;AA$5+6)&gt;0,"●",IF(AND(AA$5&lt;=Estrategias!$I$14,AA$5+6&gt;=Estrategias!$H$14),"■",""))</f>
        <v/>
      </c>
    </row>
    <row r="27">
      <c r="B27" s="28" t="inlineStr">
        <is>
          <t>Fuentes de fechas: calendario escolar SEP 2026-2027 publicado en el DOF (vacaciones de invierno 21-dic a 6-ene; Semana Santa 22-mar a 2-abr) y fechas del Buen Fin 2026 (13 al 17 de noviembre) reportadas por prensa nacional. Columnas AD y AE: fechas de inicio y fin de cada fecha clave.</t>
        </is>
      </c>
    </row>
  </sheetData>
  <conditionalFormatting sqref="D16:AA25">
    <cfRule type="expression" dxfId="4" priority="1">
      <formula>D16="●"</formula>
    </cfRule>
  </conditionalFormatting>
  <conditionalFormatting sqref="D16:AA25">
    <cfRule type="expression" dxfId="3" priority="2">
      <formula>D16="■"</formula>
    </cfRule>
  </conditionalFormatting>
  <conditionalFormatting sqref="D7:AA13">
    <cfRule type="expression" dxfId="5" priority="3">
      <formula>D7="◆"</formula>
    </cfRule>
  </conditionalFormatting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7F7F"/>
  </sheetPr>
  <dimension ref="A1:M14"/>
  <sheetViews>
    <sheetView workbookViewId="0" zoomScale="100"/>
  </sheetViews>
  <sheetFormatPr defaultRowHeight="15"/>
  <cols>
    <col min="1" max="1" width="6" customWidth="1"/>
    <col min="2" max="2" width="40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9" customWidth="1"/>
    <col min="10" max="10" width="11" customWidth="1"/>
    <col min="11" max="11" width="11" customWidth="1"/>
    <col min="12" max="12" width="11" customWidth="1"/>
    <col min="13" max="13" width="10" customWidth="1"/>
  </cols>
  <sheetData>
    <row r="1">
      <c r="A1" s="1" t="inlineStr">
        <is>
          <t>Resultados por estrategia (se alimenta de la hoja Eventos)</t>
        </is>
      </c>
    </row>
    <row r="2">
      <c r="A2" s="2" t="inlineStr">
        <is>
          <t>Para las estrategias sin eventos (E1, E2, E4), capturar los totales mensuales como una fila en Eventos con la fecha de corte.</t>
        </is>
      </c>
    </row>
    <row r="4" ht="32" customHeight="1">
      <c r="A4" s="3" t="inlineStr">
        <is>
          <t>ID</t>
        </is>
      </c>
      <c r="B4" s="3" t="inlineStr">
        <is>
          <t>Estrategia</t>
        </is>
      </c>
      <c r="C4" s="3" t="inlineStr">
        <is>
          <t>Estatus</t>
        </is>
      </c>
      <c r="D4" s="3" t="inlineStr">
        <is>
          <t>Eventos realizados</t>
        </is>
      </c>
      <c r="E4" s="3" t="inlineStr">
        <is>
          <t>Contactos</t>
        </is>
      </c>
      <c r="F4" s="3" t="inlineStr">
        <is>
          <t>Con teléfono</t>
        </is>
      </c>
      <c r="G4" s="3" t="inlineStr">
        <is>
          <t>CM agendadas</t>
        </is>
      </c>
      <c r="H4" s="3" t="inlineStr">
        <is>
          <t>CM realizadas</t>
        </is>
      </c>
      <c r="I4" s="3" t="inlineStr">
        <is>
          <t>Inscritos</t>
        </is>
      </c>
      <c r="J4" s="3" t="inlineStr">
        <is>
          <t>Costo real</t>
        </is>
      </c>
      <c r="K4" s="3" t="inlineStr">
        <is>
          <t>Costo por inscrito</t>
        </is>
      </c>
      <c r="L4" s="3" t="inlineStr">
        <is>
          <t>% contactos con teléfono</t>
        </is>
      </c>
      <c r="M4" s="3" t="inlineStr">
        <is>
          <t>Cierre tras CM</t>
        </is>
      </c>
    </row>
    <row r="5" ht="26" customHeight="1">
      <c r="A5" s="31" t="str">
        <f>Estrategias!A5</f>
        <v>E1</v>
      </c>
      <c r="B5" s="32" t="str">
        <f>Estrategias!C5</f>
        <v>Recuperar prospectos que ya asistieron o ya escribieron</v>
      </c>
      <c r="C5" s="33" t="str">
        <f>Estrategias!S5</f>
        <v>Propuesta</v>
      </c>
      <c r="D5" s="29">
        <f>COUNTIFS(Eventos!$A$5:$A$154,A5,Eventos!$F$5:$F$154,"Realizada")</f>
        <v>0</v>
      </c>
      <c r="E5" s="29">
        <f>SUMIFS(Eventos!$G$5:$G$154,Eventos!$A$5:$A$154,A5)</f>
        <v>0</v>
      </c>
      <c r="F5" s="29">
        <f>SUMIFS(Eventos!$H$5:$H$154,Eventos!$A$5:$A$154,A5)</f>
        <v>0</v>
      </c>
      <c r="G5" s="29">
        <f>SUMIFS(Eventos!$I$5:$I$154,Eventos!$A$5:$A$154,A5)</f>
        <v>0</v>
      </c>
      <c r="H5" s="29">
        <f>SUMIFS(Eventos!$J$5:$J$154,Eventos!$A$5:$A$154,A5)</f>
        <v>0</v>
      </c>
      <c r="I5" s="29">
        <f>SUMIFS(Eventos!$K$5:$K$154,Eventos!$A$5:$A$154,A5)</f>
        <v>0</v>
      </c>
      <c r="J5" s="15">
        <f>SUMIFS(Eventos!$L$5:$L$154,Eventos!$A$5:$A$154,A5)</f>
        <v>0</v>
      </c>
      <c r="K5" s="15" t="str">
        <f>IF(I5=0,"",J5/I5)</f>
        <v/>
      </c>
      <c r="L5" s="30" t="str">
        <f>IF(E5=0,"",F5/E5)</f>
        <v/>
      </c>
      <c r="M5" s="30" t="str">
        <f>IF(H5=0,"",I5/H5)</f>
        <v/>
      </c>
    </row>
    <row r="6" ht="26" customHeight="1">
      <c r="A6" s="31" t="str">
        <f>Estrategias!A6</f>
        <v>E2</v>
      </c>
      <c r="B6" s="32" t="str">
        <f>Estrategias!C6</f>
        <v>Programa de recomendación de alumnos y padres</v>
      </c>
      <c r="C6" s="33" t="str">
        <f>Estrategias!S6</f>
        <v>Propuesta</v>
      </c>
      <c r="D6" s="29">
        <f>COUNTIFS(Eventos!$A$5:$A$154,A6,Eventos!$F$5:$F$154,"Realizada")</f>
        <v>0</v>
      </c>
      <c r="E6" s="29">
        <f>SUMIFS(Eventos!$G$5:$G$154,Eventos!$A$5:$A$154,A6)</f>
        <v>0</v>
      </c>
      <c r="F6" s="29">
        <f>SUMIFS(Eventos!$H$5:$H$154,Eventos!$A$5:$A$154,A6)</f>
        <v>0</v>
      </c>
      <c r="G6" s="29">
        <f>SUMIFS(Eventos!$I$5:$I$154,Eventos!$A$5:$A$154,A6)</f>
        <v>0</v>
      </c>
      <c r="H6" s="29">
        <f>SUMIFS(Eventos!$J$5:$J$154,Eventos!$A$5:$A$154,A6)</f>
        <v>0</v>
      </c>
      <c r="I6" s="29">
        <f>SUMIFS(Eventos!$K$5:$K$154,Eventos!$A$5:$A$154,A6)</f>
        <v>0</v>
      </c>
      <c r="J6" s="15">
        <f>SUMIFS(Eventos!$L$5:$L$154,Eventos!$A$5:$A$154,A6)</f>
        <v>0</v>
      </c>
      <c r="K6" s="15" t="str">
        <f>IF(I6=0,"",J6/I6)</f>
        <v/>
      </c>
      <c r="L6" s="30" t="str">
        <f>IF(E6=0,"",F6/E6)</f>
        <v/>
      </c>
      <c r="M6" s="30" t="str">
        <f>IF(H6=0,"",I6/H6)</f>
        <v/>
      </c>
    </row>
    <row r="7" ht="26" customHeight="1">
      <c r="A7" s="31" t="str">
        <f>Estrategias!A7</f>
        <v>E3</v>
      </c>
      <c r="B7" s="32" t="str">
        <f>Estrategias!C7</f>
        <v>Alianzas con escuelas cercanas: taller de inglés y beneficio para familias</v>
      </c>
      <c r="C7" s="33" t="str">
        <f>Estrategias!S7</f>
        <v>Propuesta</v>
      </c>
      <c r="D7" s="29">
        <f>COUNTIFS(Eventos!$A$5:$A$154,A7,Eventos!$F$5:$F$154,"Realizada")</f>
        <v>0</v>
      </c>
      <c r="E7" s="29">
        <f>SUMIFS(Eventos!$G$5:$G$154,Eventos!$A$5:$A$154,A7)</f>
        <v>0</v>
      </c>
      <c r="F7" s="29">
        <f>SUMIFS(Eventos!$H$5:$H$154,Eventos!$A$5:$A$154,A7)</f>
        <v>0</v>
      </c>
      <c r="G7" s="29">
        <f>SUMIFS(Eventos!$I$5:$I$154,Eventos!$A$5:$A$154,A7)</f>
        <v>0</v>
      </c>
      <c r="H7" s="29">
        <f>SUMIFS(Eventos!$J$5:$J$154,Eventos!$A$5:$A$154,A7)</f>
        <v>0</v>
      </c>
      <c r="I7" s="29">
        <f>SUMIFS(Eventos!$K$5:$K$154,Eventos!$A$5:$A$154,A7)</f>
        <v>0</v>
      </c>
      <c r="J7" s="15">
        <f>SUMIFS(Eventos!$L$5:$L$154,Eventos!$A$5:$A$154,A7)</f>
        <v>0</v>
      </c>
      <c r="K7" s="15" t="str">
        <f>IF(I7=0,"",J7/I7)</f>
        <v/>
      </c>
      <c r="L7" s="30" t="str">
        <f>IF(E7=0,"",F7/E7)</f>
        <v/>
      </c>
      <c r="M7" s="30" t="str">
        <f>IF(H7=0,"",I7/H7)</f>
        <v/>
      </c>
    </row>
    <row r="8" ht="26" customHeight="1">
      <c r="A8" s="31" t="str">
        <f>Estrategias!A8</f>
        <v>E4</v>
      </c>
      <c r="B8" s="32" t="str">
        <f>Estrategias!C8</f>
        <v>Recuperar bajas temporales y exalumnos para enero</v>
      </c>
      <c r="C8" s="33" t="str">
        <f>Estrategias!S8</f>
        <v>Propuesta</v>
      </c>
      <c r="D8" s="29">
        <f>COUNTIFS(Eventos!$A$5:$A$154,A8,Eventos!$F$5:$F$154,"Realizada")</f>
        <v>0</v>
      </c>
      <c r="E8" s="29">
        <f>SUMIFS(Eventos!$G$5:$G$154,Eventos!$A$5:$A$154,A8)</f>
        <v>0</v>
      </c>
      <c r="F8" s="29">
        <f>SUMIFS(Eventos!$H$5:$H$154,Eventos!$A$5:$A$154,A8)</f>
        <v>0</v>
      </c>
      <c r="G8" s="29">
        <f>SUMIFS(Eventos!$I$5:$I$154,Eventos!$A$5:$A$154,A8)</f>
        <v>0</v>
      </c>
      <c r="H8" s="29">
        <f>SUMIFS(Eventos!$J$5:$J$154,Eventos!$A$5:$A$154,A8)</f>
        <v>0</v>
      </c>
      <c r="I8" s="29">
        <f>SUMIFS(Eventos!$K$5:$K$154,Eventos!$A$5:$A$154,A8)</f>
        <v>0</v>
      </c>
      <c r="J8" s="15">
        <f>SUMIFS(Eventos!$L$5:$L$154,Eventos!$A$5:$A$154,A8)</f>
        <v>0</v>
      </c>
      <c r="K8" s="15" t="str">
        <f>IF(I8=0,"",J8/I8)</f>
        <v/>
      </c>
      <c r="L8" s="30" t="str">
        <f>IF(E8=0,"",F8/E8)</f>
        <v/>
      </c>
      <c r="M8" s="30" t="str">
        <f>IF(H8=0,"",I8/H8)</f>
        <v/>
      </c>
    </row>
    <row r="9" ht="26" customHeight="1">
      <c r="A9" s="31" t="str">
        <f>Estrategias!A9</f>
        <v>E5</v>
      </c>
      <c r="B9" s="32" t="str">
        <f>Estrategias!C9</f>
        <v>Clase abierta de sábado para familias y recomendados</v>
      </c>
      <c r="C9" s="33" t="str">
        <f>Estrategias!S9</f>
        <v>Propuesta</v>
      </c>
      <c r="D9" s="29">
        <f>COUNTIFS(Eventos!$A$5:$A$154,A9,Eventos!$F$5:$F$154,"Realizada")</f>
        <v>0</v>
      </c>
      <c r="E9" s="29">
        <f>SUMIFS(Eventos!$G$5:$G$154,Eventos!$A$5:$A$154,A9)</f>
        <v>0</v>
      </c>
      <c r="F9" s="29">
        <f>SUMIFS(Eventos!$H$5:$H$154,Eventos!$A$5:$A$154,A9)</f>
        <v>0</v>
      </c>
      <c r="G9" s="29">
        <f>SUMIFS(Eventos!$I$5:$I$154,Eventos!$A$5:$A$154,A9)</f>
        <v>0</v>
      </c>
      <c r="H9" s="29">
        <f>SUMIFS(Eventos!$J$5:$J$154,Eventos!$A$5:$A$154,A9)</f>
        <v>0</v>
      </c>
      <c r="I9" s="29">
        <f>SUMIFS(Eventos!$K$5:$K$154,Eventos!$A$5:$A$154,A9)</f>
        <v>0</v>
      </c>
      <c r="J9" s="15">
        <f>SUMIFS(Eventos!$L$5:$L$154,Eventos!$A$5:$A$154,A9)</f>
        <v>0</v>
      </c>
      <c r="K9" s="15" t="str">
        <f>IF(I9=0,"",J9/I9)</f>
        <v/>
      </c>
      <c r="L9" s="30" t="str">
        <f>IF(E9=0,"",F9/E9)</f>
        <v/>
      </c>
      <c r="M9" s="30" t="str">
        <f>IF(H9=0,"",I9/H9)</f>
        <v/>
      </c>
    </row>
    <row r="10" ht="26" customHeight="1">
      <c r="A10" s="31" t="str">
        <f>Estrategias!A10</f>
        <v>E6</v>
      </c>
      <c r="B10" s="32" t="str">
        <f>Estrategias!C10</f>
        <v>Visibilidad física de la academia (tránsito)</v>
      </c>
      <c r="C10" s="33" t="str">
        <f>Estrategias!S10</f>
        <v>Propuesta</v>
      </c>
      <c r="D10" s="29">
        <f>COUNTIFS(Eventos!$A$5:$A$154,A10,Eventos!$F$5:$F$154,"Realizada")</f>
        <v>0</v>
      </c>
      <c r="E10" s="29">
        <f>SUMIFS(Eventos!$G$5:$G$154,Eventos!$A$5:$A$154,A10)</f>
        <v>0</v>
      </c>
      <c r="F10" s="29">
        <f>SUMIFS(Eventos!$H$5:$H$154,Eventos!$A$5:$A$154,A10)</f>
        <v>0</v>
      </c>
      <c r="G10" s="29">
        <f>SUMIFS(Eventos!$I$5:$I$154,Eventos!$A$5:$A$154,A10)</f>
        <v>0</v>
      </c>
      <c r="H10" s="29">
        <f>SUMIFS(Eventos!$J$5:$J$154,Eventos!$A$5:$A$154,A10)</f>
        <v>0</v>
      </c>
      <c r="I10" s="29">
        <f>SUMIFS(Eventos!$K$5:$K$154,Eventos!$A$5:$A$154,A10)</f>
        <v>0</v>
      </c>
      <c r="J10" s="15">
        <f>SUMIFS(Eventos!$L$5:$L$154,Eventos!$A$5:$A$154,A10)</f>
        <v>0</v>
      </c>
      <c r="K10" s="15" t="str">
        <f>IF(I10=0,"",J10/I10)</f>
        <v/>
      </c>
      <c r="L10" s="30" t="str">
        <f>IF(E10=0,"",F10/E10)</f>
        <v/>
      </c>
      <c r="M10" s="30" t="str">
        <f>IF(H10=0,"",I10/H10)</f>
        <v/>
      </c>
    </row>
    <row r="11" ht="26" customHeight="1">
      <c r="A11" s="31" t="str">
        <f>Estrategias!A11</f>
        <v>E7</v>
      </c>
      <c r="B11" s="32" t="str">
        <f>Estrategias!C11</f>
        <v>Promoción en calle con registro de contactos</v>
      </c>
      <c r="C11" s="33" t="str">
        <f>Estrategias!S11</f>
        <v>Propuesta</v>
      </c>
      <c r="D11" s="29">
        <f>COUNTIFS(Eventos!$A$5:$A$154,A11,Eventos!$F$5:$F$154,"Realizada")</f>
        <v>0</v>
      </c>
      <c r="E11" s="29">
        <f>SUMIFS(Eventos!$G$5:$G$154,Eventos!$A$5:$A$154,A11)</f>
        <v>0</v>
      </c>
      <c r="F11" s="29">
        <f>SUMIFS(Eventos!$H$5:$H$154,Eventos!$A$5:$A$154,A11)</f>
        <v>0</v>
      </c>
      <c r="G11" s="29">
        <f>SUMIFS(Eventos!$I$5:$I$154,Eventos!$A$5:$A$154,A11)</f>
        <v>0</v>
      </c>
      <c r="H11" s="29">
        <f>SUMIFS(Eventos!$J$5:$J$154,Eventos!$A$5:$A$154,A11)</f>
        <v>0</v>
      </c>
      <c r="I11" s="29">
        <f>SUMIFS(Eventos!$K$5:$K$154,Eventos!$A$5:$A$154,A11)</f>
        <v>0</v>
      </c>
      <c r="J11" s="15">
        <f>SUMIFS(Eventos!$L$5:$L$154,Eventos!$A$5:$A$154,A11)</f>
        <v>0</v>
      </c>
      <c r="K11" s="15" t="str">
        <f>IF(I11=0,"",J11/I11)</f>
        <v/>
      </c>
      <c r="L11" s="30" t="str">
        <f>IF(E11=0,"",F11/E11)</f>
        <v/>
      </c>
      <c r="M11" s="30" t="str">
        <f>IF(H11=0,"",I11/H11)</f>
        <v/>
      </c>
    </row>
    <row r="12" ht="26" customHeight="1">
      <c r="A12" s="31" t="str">
        <f>Estrategias!A12</f>
        <v>E8</v>
      </c>
      <c r="B12" s="32" t="str">
        <f>Estrategias!C12</f>
        <v>Curso intensivo de invierno (evaluar)</v>
      </c>
      <c r="C12" s="33" t="str">
        <f>Estrategias!S12</f>
        <v>Propuesta</v>
      </c>
      <c r="D12" s="29">
        <f>COUNTIFS(Eventos!$A$5:$A$154,A12,Eventos!$F$5:$F$154,"Realizada")</f>
        <v>0</v>
      </c>
      <c r="E12" s="29">
        <f>SUMIFS(Eventos!$G$5:$G$154,Eventos!$A$5:$A$154,A12)</f>
        <v>0</v>
      </c>
      <c r="F12" s="29">
        <f>SUMIFS(Eventos!$H$5:$H$154,Eventos!$A$5:$A$154,A12)</f>
        <v>0</v>
      </c>
      <c r="G12" s="29">
        <f>SUMIFS(Eventos!$I$5:$I$154,Eventos!$A$5:$A$154,A12)</f>
        <v>0</v>
      </c>
      <c r="H12" s="29">
        <f>SUMIFS(Eventos!$J$5:$J$154,Eventos!$A$5:$A$154,A12)</f>
        <v>0</v>
      </c>
      <c r="I12" s="29">
        <f>SUMIFS(Eventos!$K$5:$K$154,Eventos!$A$5:$A$154,A12)</f>
        <v>0</v>
      </c>
      <c r="J12" s="15">
        <f>SUMIFS(Eventos!$L$5:$L$154,Eventos!$A$5:$A$154,A12)</f>
        <v>0</v>
      </c>
      <c r="K12" s="15" t="str">
        <f>IF(I12=0,"",J12/I12)</f>
        <v/>
      </c>
      <c r="L12" s="30" t="str">
        <f>IF(E12=0,"",F12/E12)</f>
        <v/>
      </c>
      <c r="M12" s="30" t="str">
        <f>IF(H12=0,"",I12/H12)</f>
        <v/>
      </c>
    </row>
    <row r="13" ht="26" customHeight="1">
      <c r="A13" s="31" t="str">
        <f>Estrategias!A13</f>
        <v>E9</v>
      </c>
      <c r="B13" s="32" t="str">
        <f>Estrategias!C13</f>
        <v>Convenios con empresas e instituciones cercanas</v>
      </c>
      <c r="C13" s="33" t="str">
        <f>Estrategias!S13</f>
        <v>Propuesta</v>
      </c>
      <c r="D13" s="29">
        <f>COUNTIFS(Eventos!$A$5:$A$154,A13,Eventos!$F$5:$F$154,"Realizada")</f>
        <v>0</v>
      </c>
      <c r="E13" s="29">
        <f>SUMIFS(Eventos!$G$5:$G$154,Eventos!$A$5:$A$154,A13)</f>
        <v>0</v>
      </c>
      <c r="F13" s="29">
        <f>SUMIFS(Eventos!$H$5:$H$154,Eventos!$A$5:$A$154,A13)</f>
        <v>0</v>
      </c>
      <c r="G13" s="29">
        <f>SUMIFS(Eventos!$I$5:$I$154,Eventos!$A$5:$A$154,A13)</f>
        <v>0</v>
      </c>
      <c r="H13" s="29">
        <f>SUMIFS(Eventos!$J$5:$J$154,Eventos!$A$5:$A$154,A13)</f>
        <v>0</v>
      </c>
      <c r="I13" s="29">
        <f>SUMIFS(Eventos!$K$5:$K$154,Eventos!$A$5:$A$154,A13)</f>
        <v>0</v>
      </c>
      <c r="J13" s="15">
        <f>SUMIFS(Eventos!$L$5:$L$154,Eventos!$A$5:$A$154,A13)</f>
        <v>0</v>
      </c>
      <c r="K13" s="15" t="str">
        <f>IF(I13=0,"",J13/I13)</f>
        <v/>
      </c>
      <c r="L13" s="30" t="str">
        <f>IF(E13=0,"",F13/E13)</f>
        <v/>
      </c>
      <c r="M13" s="30" t="str">
        <f>IF(H13=0,"",I13/H13)</f>
        <v/>
      </c>
    </row>
    <row r="14" ht="26" customHeight="1">
      <c r="A14" s="31" t="str">
        <f>Estrategias!A14</f>
        <v>E10</v>
      </c>
      <c r="B14" s="32" t="str">
        <f>Estrategias!C14</f>
        <v>Segundo idioma y hermanos para familias actuales</v>
      </c>
      <c r="C14" s="33" t="str">
        <f>Estrategias!S14</f>
        <v>Propuesta</v>
      </c>
      <c r="D14" s="29">
        <f>COUNTIFS(Eventos!$A$5:$A$154,A14,Eventos!$F$5:$F$154,"Realizada")</f>
        <v>0</v>
      </c>
      <c r="E14" s="29">
        <f>SUMIFS(Eventos!$G$5:$G$154,Eventos!$A$5:$A$154,A14)</f>
        <v>0</v>
      </c>
      <c r="F14" s="29">
        <f>SUMIFS(Eventos!$H$5:$H$154,Eventos!$A$5:$A$154,A14)</f>
        <v>0</v>
      </c>
      <c r="G14" s="29">
        <f>SUMIFS(Eventos!$I$5:$I$154,Eventos!$A$5:$A$154,A14)</f>
        <v>0</v>
      </c>
      <c r="H14" s="29">
        <f>SUMIFS(Eventos!$J$5:$J$154,Eventos!$A$5:$A$154,A14)</f>
        <v>0</v>
      </c>
      <c r="I14" s="29">
        <f>SUMIFS(Eventos!$K$5:$K$154,Eventos!$A$5:$A$154,A14)</f>
        <v>0</v>
      </c>
      <c r="J14" s="15">
        <f>SUMIFS(Eventos!$L$5:$L$154,Eventos!$A$5:$A$154,A14)</f>
        <v>0</v>
      </c>
      <c r="K14" s="15" t="str">
        <f>IF(I14=0,"",J14/I14)</f>
        <v/>
      </c>
      <c r="L14" s="30" t="str">
        <f>IF(E14=0,"",F14/E14)</f>
        <v/>
      </c>
      <c r="M14" s="30" t="str">
        <f>IF(H14=0,"",I14/H14)</f>
        <v/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Kugelman Academy</dc:title>
  <dc:creator>Marketing y Comercial - Kugelman Academy</dc:creator>
  <dcterms:created xsi:type="dcterms:W3CDTF">2026-10-19T18:00:00Z</dcterms:created>
  <dcterms:modified xsi:type="dcterms:W3CDTF">2026-10-19T18:00:00Z</dcterms:modified>
</cp:coreProperties>
</file>