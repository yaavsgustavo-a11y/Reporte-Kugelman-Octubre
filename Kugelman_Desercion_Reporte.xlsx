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en semanal" sheetId="1" r:id="rId5"/>
    <sheet state="visible" name="Registro" sheetId="2" r:id="rId6"/>
    <sheet state="visible" name="Catálogos" sheetId="3" r:id="rId7"/>
  </sheets>
  <definedNames/>
  <calcPr/>
</workbook>
</file>

<file path=xl/sharedStrings.xml><?xml version="1.0" encoding="utf-8"?>
<sst xmlns="http://schemas.openxmlformats.org/spreadsheetml/2006/main" count="146" uniqueCount="85">
  <si>
    <t>KUGELMAN  ACADEMY| REPORTE DE DESERCIÓN</t>
  </si>
  <si>
    <t>Inicio de mes</t>
  </si>
  <si>
    <t>Fin de mes</t>
  </si>
  <si>
    <t>INDICADORES ACUMULADOS (histórico del registro)</t>
  </si>
  <si>
    <t>Bajas definitivas</t>
  </si>
  <si>
    <t>Bajas temporales</t>
  </si>
  <si>
    <t>Retenidos</t>
  </si>
  <si>
    <t>Reinscritos</t>
  </si>
  <si>
    <t>MOTIVOS DE BAJA DEL MES SELECCIONADO</t>
  </si>
  <si>
    <t>Motivo</t>
  </si>
  <si>
    <t>Casos</t>
  </si>
  <si>
    <t>HALLAZGOS Y ACCIONES DEL MES</t>
  </si>
  <si>
    <t>Falta de tiempo</t>
  </si>
  <si>
    <t>Campos de trabajo/estudios</t>
  </si>
  <si>
    <t>Hallazgo principal</t>
  </si>
  <si>
    <t>Económicos</t>
  </si>
  <si>
    <t>Cambio de grupo</t>
  </si>
  <si>
    <t>Problemas de transporte/distancia</t>
  </si>
  <si>
    <t>Acción recomendada</t>
  </si>
  <si>
    <t>No cumplió mis expectativas</t>
  </si>
  <si>
    <t>Dar seguimiento a los alumnos de baja temporal</t>
  </si>
  <si>
    <t>Dificultad para adaptarme al método</t>
  </si>
  <si>
    <t>Avance más lento de lo que esperaba</t>
  </si>
  <si>
    <t>Responsable y fecha compromiso</t>
  </si>
  <si>
    <t>Preferí otra escuela</t>
  </si>
  <si>
    <t>Problemas de comunicación o atención</t>
  </si>
  <si>
    <t>Temas personales o familiares</t>
  </si>
  <si>
    <t>Horarios</t>
  </si>
  <si>
    <t>TOTAL DE BAJAS DEL MES</t>
  </si>
  <si>
    <t>DESERCIÓN DE ALUMNOS</t>
  </si>
  <si>
    <t>Captura un caso por fila. Utiliza los menús desplegables y actualiza fechas y seguimiento.</t>
  </si>
  <si>
    <t>ID</t>
  </si>
  <si>
    <t>Fecha de baja</t>
  </si>
  <si>
    <t>Nombre / ID alumno</t>
  </si>
  <si>
    <t>Categoría</t>
  </si>
  <si>
    <t>Fecha de ingreso</t>
  </si>
  <si>
    <t>Motivo de baja</t>
  </si>
  <si>
    <t>Estatus de baja</t>
  </si>
  <si>
    <t>Último contacto</t>
  </si>
  <si>
    <t>Posibilidad de retorno</t>
  </si>
  <si>
    <t>Próximo seguimiento</t>
  </si>
  <si>
    <t>Responsable</t>
  </si>
  <si>
    <t>Acción / comentarios</t>
  </si>
  <si>
    <t>Fecha de regreso</t>
  </si>
  <si>
    <t>KSO60</t>
  </si>
  <si>
    <t>Kevin Noé Chavez Salguero</t>
  </si>
  <si>
    <t>Kids</t>
  </si>
  <si>
    <t>Baja definitiva</t>
  </si>
  <si>
    <t>Baja</t>
  </si>
  <si>
    <t>KATH</t>
  </si>
  <si>
    <t>Mensaje: Recordatorio para volver a ser parte de la comunidad</t>
  </si>
  <si>
    <t>ALV104</t>
  </si>
  <si>
    <t>Arantza Sofía Vargas Lara</t>
  </si>
  <si>
    <t>Alta</t>
  </si>
  <si>
    <t>Mensaje: Retomar sus clases.</t>
  </si>
  <si>
    <t>LFL191</t>
  </si>
  <si>
    <t>Lianne Osmara Flores Lopez</t>
  </si>
  <si>
    <t>College</t>
  </si>
  <si>
    <t>Baja temporal</t>
  </si>
  <si>
    <t>Mensaje:Retomar sus clases y horarios disponibles.</t>
  </si>
  <si>
    <t>LVA131</t>
  </si>
  <si>
    <t>Luisa Fernanda Villareal Andrade</t>
  </si>
  <si>
    <t>Mensaje: Retomar sus clases con alguna promocion y propuesta de horarios.</t>
  </si>
  <si>
    <t>JCO188</t>
  </si>
  <si>
    <t>José Luis Campa Ortíz</t>
  </si>
  <si>
    <t>-</t>
  </si>
  <si>
    <t>PRJ196</t>
  </si>
  <si>
    <t xml:space="preserve">Paula Rodriguez </t>
  </si>
  <si>
    <t>Media</t>
  </si>
  <si>
    <t>MLH133</t>
  </si>
  <si>
    <t>Montserrat Lugo</t>
  </si>
  <si>
    <t>Certifications</t>
  </si>
  <si>
    <t>MCC079</t>
  </si>
  <si>
    <t>María Cristina Carrillo</t>
  </si>
  <si>
    <t>ILL1</t>
  </si>
  <si>
    <t>Irma Imelda Luna Lira</t>
  </si>
  <si>
    <t>Nivel</t>
  </si>
  <si>
    <t>Estatus</t>
  </si>
  <si>
    <t>Retorno</t>
  </si>
  <si>
    <t>Parenthood</t>
  </si>
  <si>
    <t>Junior</t>
  </si>
  <si>
    <t>Retenido</t>
  </si>
  <si>
    <t>Reinscrito</t>
  </si>
  <si>
    <t>No determinada</t>
  </si>
  <si>
    <t>En seguimiento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</si>
</sst>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M/yyyy"/>
  </numFmts>
  <fonts count="13">
    <font>
      <sz val="11.0"/>
      <color rgb="FF000000"/>
      <name val="Carlito"/>
      <scheme val="minor"/>
    </font>
    <font>
      <b/>
      <sz val="16.0"/>
      <color rgb="FFFFFFFF"/>
      <name val="Carlito"/>
    </font>
    <font>
      <color theme="1"/>
      <name val="Carlito"/>
    </font>
    <font>
      <sz val="11.0"/>
      <color theme="1"/>
      <name val="Carlito"/>
    </font>
    <font>
      <b/>
      <sz val="11.0"/>
      <color rgb="FFFFFFFF"/>
      <name val="Carlito"/>
    </font>
    <font>
      <b/>
      <sz val="22.0"/>
      <color rgb="FF18304C"/>
      <name val="Carlito"/>
    </font>
    <font>
      <b/>
      <sz val="11.0"/>
      <color rgb="FF18304C"/>
      <name val="Carlito"/>
    </font>
    <font>
      <color theme="1"/>
      <name val="Carlito"/>
      <scheme val="minor"/>
    </font>
    <font>
      <sz val="11.0"/>
      <color rgb="FFFFFFFF"/>
      <name val="Carlito"/>
    </font>
    <font>
      <b/>
      <sz val="17.0"/>
      <color rgb="FFFFFFFF"/>
      <name val="Carlito"/>
    </font>
    <font>
      <sz val="11.0"/>
      <color rgb="FF18304C"/>
      <name val="Carlito"/>
    </font>
    <font>
      <color theme="1"/>
      <name val="Arial"/>
    </font>
    <font>
      <sz val="11.0"/>
      <color rgb="FF444444"/>
      <name val="Roboto"/>
    </font>
  </fonts>
  <fills count="15">
    <fill>
      <patternFill patternType="none"/>
    </fill>
    <fill>
      <patternFill patternType="lightGray"/>
    </fill>
    <fill>
      <patternFill patternType="solid">
        <fgColor rgb="FF1155CC"/>
        <bgColor rgb="FF1155CC"/>
      </patternFill>
    </fill>
    <fill>
      <patternFill patternType="solid">
        <fgColor theme="9"/>
        <bgColor theme="9"/>
      </patternFill>
    </fill>
    <fill>
      <patternFill patternType="solid">
        <fgColor rgb="FFF4F7FA"/>
        <bgColor rgb="FFF4F7FA"/>
      </patternFill>
    </fill>
    <fill>
      <patternFill patternType="solid">
        <fgColor rgb="FFB83D45"/>
        <bgColor rgb="FFB83D45"/>
      </patternFill>
    </fill>
    <fill>
      <patternFill patternType="solid">
        <fgColor rgb="FF6FA8DC"/>
        <bgColor rgb="FF6FA8DC"/>
      </patternFill>
    </fill>
    <fill>
      <patternFill patternType="solid">
        <fgColor rgb="FF674EA7"/>
        <bgColor rgb="FF674EA7"/>
      </patternFill>
    </fill>
    <fill>
      <patternFill patternType="solid">
        <fgColor rgb="FFA64D79"/>
        <bgColor rgb="FFA64D79"/>
      </patternFill>
    </fill>
    <fill>
      <patternFill patternType="solid">
        <fgColor rgb="FF93C47D"/>
        <bgColor rgb="FF93C47D"/>
      </patternFill>
    </fill>
    <fill>
      <patternFill patternType="solid">
        <fgColor rgb="FF6D9EEB"/>
        <bgColor rgb="FF6D9EEB"/>
      </patternFill>
    </fill>
    <fill>
      <patternFill patternType="solid">
        <fgColor rgb="FF8E7CC3"/>
        <bgColor rgb="FF8E7CC3"/>
      </patternFill>
    </fill>
    <fill>
      <patternFill patternType="solid">
        <fgColor rgb="FF990000"/>
        <bgColor rgb="FF990000"/>
      </patternFill>
    </fill>
    <fill>
      <patternFill patternType="solid">
        <fgColor rgb="FF18304C"/>
        <bgColor rgb="FF18304C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Font="1"/>
    <xf borderId="0" fillId="0" fontId="3" numFmtId="164" xfId="0" applyAlignment="1" applyFont="1" applyNumberFormat="1">
      <alignment readingOrder="0"/>
    </xf>
    <xf borderId="0" fillId="0" fontId="2" numFmtId="164" xfId="0" applyFont="1" applyNumberFormat="1"/>
    <xf borderId="0" fillId="3" fontId="4" numFmtId="0" xfId="0" applyFill="1" applyFont="1"/>
    <xf borderId="0" fillId="4" fontId="5" numFmtId="0" xfId="0" applyFill="1" applyFont="1"/>
    <xf borderId="0" fillId="5" fontId="4" numFmtId="0" xfId="0" applyFill="1" applyFont="1"/>
    <xf borderId="0" fillId="6" fontId="4" numFmtId="0" xfId="0" applyFill="1" applyFont="1"/>
    <xf borderId="0" fillId="7" fontId="4" numFmtId="0" xfId="0" applyFill="1" applyFont="1"/>
    <xf borderId="0" fillId="8" fontId="4" numFmtId="0" xfId="0" applyFill="1" applyFont="1"/>
    <xf borderId="0" fillId="9" fontId="6" numFmtId="0" xfId="0" applyFill="1" applyFont="1"/>
    <xf borderId="0" fillId="0" fontId="3" numFmtId="0" xfId="0" applyAlignment="1" applyFont="1">
      <alignment shrinkToFit="0" wrapText="1"/>
    </xf>
    <xf borderId="0" fillId="10" fontId="6" numFmtId="0" xfId="0" applyFill="1" applyFont="1"/>
    <xf borderId="0" fillId="0" fontId="3" numFmtId="0" xfId="0" applyAlignment="1" applyFont="1">
      <alignment readingOrder="0" shrinkToFit="0" wrapText="1"/>
    </xf>
    <xf borderId="0" fillId="11" fontId="6" numFmtId="0" xfId="0" applyFill="1" applyFont="1"/>
    <xf borderId="0" fillId="0" fontId="7" numFmtId="0" xfId="0" applyFont="1"/>
    <xf borderId="0" fillId="12" fontId="8" numFmtId="0" xfId="0" applyAlignment="1" applyFill="1" applyFont="1">
      <alignment shrinkToFit="0" vertical="bottom" wrapText="0"/>
    </xf>
    <xf borderId="0" fillId="13" fontId="9" numFmtId="0" xfId="0" applyFill="1" applyFont="1"/>
    <xf borderId="0" fillId="4" fontId="10" numFmtId="0" xfId="0" applyFill="1" applyFont="1"/>
    <xf borderId="0" fillId="5" fontId="4" numFmtId="0" xfId="0" applyAlignment="1" applyFill="1" applyFont="1">
      <alignment shrinkToFit="0" wrapText="1"/>
    </xf>
    <xf borderId="0" fillId="0" fontId="11" numFmtId="165" xfId="0" applyAlignment="1" applyFont="1" applyNumberFormat="1">
      <alignment horizontal="right" vertical="bottom"/>
    </xf>
    <xf borderId="0" fillId="0" fontId="11" numFmtId="0" xfId="0" applyAlignment="1" applyFont="1">
      <alignment vertical="bottom"/>
    </xf>
    <xf borderId="0" fillId="0" fontId="3" numFmtId="164" xfId="0" applyFont="1" applyNumberFormat="1"/>
    <xf borderId="0" fillId="14" fontId="12" numFmtId="0" xfId="0" applyAlignment="1" applyFill="1" applyFont="1">
      <alignment horizontal="left"/>
    </xf>
    <xf borderId="0" fillId="13" fontId="4" numFmtId="0" xfId="0" applyFill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674EA7"/>
                </a:solidFill>
                <a:latin typeface="+mn-lt"/>
              </a:defRPr>
            </a:pPr>
            <a:r>
              <a:rPr b="1">
                <a:solidFill>
                  <a:srgbClr val="674EA7"/>
                </a:solidFill>
                <a:latin typeface="+mn-lt"/>
              </a:rPr>
              <a:t>Motivo de deserción</a:t>
            </a:r>
          </a:p>
        </c:rich>
      </c:tx>
      <c:overlay val="0"/>
    </c:title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'Resumen semanal'!$B$14</c:f>
            </c:strRef>
          </c:tx>
          <c:spPr>
            <a:solidFill>
              <a:srgbClr val="1C4587"/>
            </a:solidFill>
            <a:ln cmpd="sng">
              <a:noFill/>
            </a:ln>
          </c:spPr>
          <c:invertIfNegative val="0"/>
          <c:dPt>
            <c:idx val="0"/>
            <c:spPr>
              <a:solidFill>
                <a:srgbClr val="E69138"/>
              </a:solidFill>
              <a:ln cmpd="sng">
                <a:noFill/>
              </a:ln>
            </c:spPr>
          </c:dPt>
          <c:dPt>
            <c:idx val="2"/>
            <c:spPr>
              <a:solidFill>
                <a:srgbClr val="6AA84F"/>
              </a:solidFill>
              <a:ln cmpd="sng">
                <a:noFill/>
              </a:ln>
            </c:spPr>
          </c:dPt>
          <c:dPt>
            <c:idx val="4"/>
            <c:spPr>
              <a:solidFill>
                <a:srgbClr val="C27BA0"/>
              </a:solidFill>
              <a:ln cmpd="sng">
                <a:noFill/>
              </a:ln>
            </c:spPr>
          </c:dPt>
          <c:dPt>
            <c:idx val="8"/>
            <c:spPr>
              <a:solidFill>
                <a:srgbClr val="980000"/>
              </a:solidFill>
              <a:ln cmpd="sng">
                <a:noFill/>
              </a:ln>
            </c:spPr>
          </c:dPt>
          <c:dPt>
            <c:idx val="10"/>
            <c:spPr>
              <a:solidFill>
                <a:srgbClr val="76A5AF"/>
              </a:solidFill>
              <a:ln cmpd="sng">
                <a:noFill/>
              </a:ln>
            </c:spPr>
          </c:dPt>
          <c:dPt>
            <c:idx val="11"/>
            <c:spPr>
              <a:solidFill>
                <a:srgbClr val="3D85C6"/>
              </a:solidFill>
              <a:ln cmpd="sng">
                <a:noFill/>
              </a:ln>
            </c:spPr>
          </c:dPt>
          <c:cat>
            <c:strRef>
              <c:f>'Resumen semanal'!$A$15:$A$26</c:f>
            </c:strRef>
          </c:cat>
          <c:val>
            <c:numRef>
              <c:f>'Resumen semanal'!$B$15:$B$26</c:f>
              <c:numCache/>
            </c:numRef>
          </c:val>
        </c:ser>
        <c:overlap val="100"/>
        <c:axId val="641069890"/>
        <c:axId val="767354702"/>
      </c:barChart>
      <c:catAx>
        <c:axId val="6410698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67354702"/>
      </c:catAx>
      <c:valAx>
        <c:axId val="76735470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4106989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30</xdr:row>
      <xdr:rowOff>171450</xdr:rowOff>
    </xdr:from>
    <xdr:ext cx="10401300" cy="4781550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9.0"/>
    <col customWidth="1" min="2" max="3" width="20.0"/>
    <col customWidth="1" min="4" max="4" width="25.0"/>
    <col customWidth="1" min="5" max="7" width="20.0"/>
  </cols>
  <sheetData>
    <row r="1" ht="24.75" customHeight="1">
      <c r="A1" s="1" t="s">
        <v>0</v>
      </c>
    </row>
    <row r="2" ht="24.75" customHeight="1"/>
    <row r="4">
      <c r="A4" s="2" t="s">
        <v>1</v>
      </c>
      <c r="B4" s="3">
        <v>46307.0</v>
      </c>
      <c r="C4" s="4" t="s">
        <v>2</v>
      </c>
      <c r="D4" s="3">
        <v>46312.0</v>
      </c>
    </row>
    <row r="6">
      <c r="A6" s="5" t="s">
        <v>3</v>
      </c>
    </row>
    <row r="8">
      <c r="A8" s="2" t="s">
        <v>4</v>
      </c>
      <c r="C8" s="2" t="s">
        <v>5</v>
      </c>
      <c r="E8" s="2" t="s">
        <v>6</v>
      </c>
      <c r="G8" s="2" t="s">
        <v>7</v>
      </c>
    </row>
    <row r="9" ht="39.75" customHeight="1">
      <c r="A9" s="6">
        <f>COUNTIFS(Registro!B:B, "&gt;="&amp;$B$4, Registro!B:B, "&lt;="&amp;$D$4, Registro!G:G, "Baja definitiva")
</f>
        <v>1</v>
      </c>
      <c r="C9" s="6">
        <f>COUNTIFS(Registro!$G$5:$G$504,"Baja temporal",Registro!$B$5:$B$504,"&gt;="&amp;$B$4,Registro!$B$5:$B$504,"&lt;="&amp;$D$4)</f>
        <v>3</v>
      </c>
      <c r="E9" s="6">
        <f>COUNTIFS(Registro!$G$5:$G$504,"Retenido",Registro!$B$5:$B$504,"&gt;="&amp;$B$4,Registro!$B$5:$B$504,"&lt;="&amp;$D$4)</f>
        <v>0</v>
      </c>
      <c r="G9" s="6">
        <f>COUNTIFS(Registro!$G$5:$G$504,"Reinscrito",Registro!$B$5:$B$504,"&gt;="&amp;$B$4,Registro!$B$5:$B$504,"&lt;="&amp;$D$4)</f>
        <v>0</v>
      </c>
    </row>
    <row r="12">
      <c r="A12" s="7" t="s">
        <v>8</v>
      </c>
    </row>
    <row r="14">
      <c r="A14" s="8" t="s">
        <v>9</v>
      </c>
      <c r="B14" s="9" t="s">
        <v>10</v>
      </c>
      <c r="D14" s="10" t="s">
        <v>11</v>
      </c>
    </row>
    <row r="15">
      <c r="A15" s="2" t="s">
        <v>12</v>
      </c>
      <c r="B15" s="2">
        <f>COUNTIFS(Registro!$F$5:$F$504,A15,Registro!$B$5:$B$504,"&gt;="&amp;$B$4,Registro!$B$5:$B$504,"&lt;="&amp;$D$4)</f>
        <v>0</v>
      </c>
    </row>
    <row r="16">
      <c r="A16" s="2" t="s">
        <v>13</v>
      </c>
      <c r="B16" s="2">
        <f>COUNTIFS(Registro!$F$5:$F$504,A16,Registro!$B$5:$B$504,"&gt;="&amp;$B$4,Registro!$B$5:$B$504,"&lt;="&amp;$D$4)</f>
        <v>0</v>
      </c>
      <c r="D16" s="11" t="s">
        <v>14</v>
      </c>
    </row>
    <row r="17" ht="24.0" customHeight="1">
      <c r="A17" s="2" t="s">
        <v>15</v>
      </c>
      <c r="B17" s="2">
        <f>COUNTIFS(Registro!$F$5:$F$504,A17,Registro!$B$5:$B$504,"&gt;="&amp;$B$4,Registro!$B$5:$B$504,"&lt;="&amp;$D$4)</f>
        <v>1</v>
      </c>
      <c r="D17" s="12"/>
    </row>
    <row r="18" ht="24.0" customHeight="1">
      <c r="A18" s="2" t="s">
        <v>16</v>
      </c>
      <c r="B18" s="2">
        <f>COUNTIFS(Registro!$F$5:$F$504,A18,Registro!$B$5:$B$504,"&gt;="&amp;$B$4,Registro!$B$5:$B$504,"&lt;="&amp;$D$4)</f>
        <v>0</v>
      </c>
    </row>
    <row r="19">
      <c r="A19" s="2" t="s">
        <v>17</v>
      </c>
      <c r="B19" s="2">
        <f>COUNTIFS(Registro!$F$5:$F$504,A19,Registro!$B$5:$B$504,"&gt;="&amp;$B$4,Registro!$B$5:$B$504,"&lt;="&amp;$D$4)</f>
        <v>0</v>
      </c>
      <c r="D19" s="13" t="s">
        <v>18</v>
      </c>
    </row>
    <row r="20" ht="24.0" customHeight="1">
      <c r="A20" s="2" t="s">
        <v>19</v>
      </c>
      <c r="B20" s="2">
        <f>COUNTIFS(Registro!$F$5:$F$504,A20,Registro!$B$5:$B$504,"&gt;="&amp;$B$4,Registro!$B$5:$B$504,"&lt;="&amp;$D$4)</f>
        <v>0</v>
      </c>
      <c r="D20" s="14" t="s">
        <v>20</v>
      </c>
    </row>
    <row r="21" ht="24.0" customHeight="1">
      <c r="A21" s="2" t="s">
        <v>21</v>
      </c>
      <c r="B21" s="2">
        <f>COUNTIFS(Registro!$F$5:$F$504,A21,Registro!$B$5:$B$504,"&gt;="&amp;$B$4,Registro!$B$5:$B$504,"&lt;="&amp;$D$4)</f>
        <v>0</v>
      </c>
    </row>
    <row r="22" ht="15.75" customHeight="1">
      <c r="A22" s="2" t="s">
        <v>22</v>
      </c>
      <c r="B22" s="2">
        <f>COUNTIFS(Registro!$F$5:$F$504,A22,Registro!$B$5:$B$504,"&gt;="&amp;$B$4,Registro!$B$5:$B$504,"&lt;="&amp;$D$4)</f>
        <v>0</v>
      </c>
      <c r="D22" s="15" t="s">
        <v>23</v>
      </c>
    </row>
    <row r="23" ht="24.0" customHeight="1">
      <c r="A23" s="16" t="s">
        <v>24</v>
      </c>
      <c r="B23" s="16">
        <f>COUNTIFS(Registro!$F$5:$F$504,A23,Registro!$B$5:$B$504,"&gt;="&amp;$B$4,Registro!$B$5:$B$504,"&lt;="&amp;$D$4)</f>
        <v>0</v>
      </c>
      <c r="D23" s="12"/>
    </row>
    <row r="24" ht="24.0" customHeight="1">
      <c r="A24" s="16" t="s">
        <v>25</v>
      </c>
      <c r="B24" s="16">
        <f>COUNTIFS(Registro!$F$5:$F$504,A24,Registro!$B$5:$B$504,"&gt;="&amp;$B$4,Registro!$B$5:$B$504,"&lt;="&amp;$D$4)</f>
        <v>0</v>
      </c>
    </row>
    <row r="25" ht="15.75" customHeight="1">
      <c r="A25" s="16" t="s">
        <v>26</v>
      </c>
      <c r="B25" s="16">
        <f>COUNTIFS(Registro!$F$5:$F$504,A25,Registro!$B$5:$B$504,"&gt;="&amp;$B$4,Registro!$B$5:$B$504,"&lt;="&amp;$D$4)</f>
        <v>2</v>
      </c>
    </row>
    <row r="26" ht="15.75" customHeight="1">
      <c r="A26" s="2" t="s">
        <v>27</v>
      </c>
      <c r="B26" s="16">
        <f>COUNTIFS(Registro!$F$5:$F$504,A26,Registro!$B$5:$B$504,"&gt;="&amp;$B$4,Registro!$B$5:$B$504,"&lt;="&amp;$D$4)</f>
        <v>1</v>
      </c>
    </row>
    <row r="27" ht="15.75" customHeight="1"/>
    <row r="28" ht="15.75" customHeight="1">
      <c r="A28" s="17" t="s">
        <v>28</v>
      </c>
      <c r="B28" s="17">
        <f>SUM(B15:B26)</f>
        <v>4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D20:G21"/>
    <mergeCell ref="D22:G22"/>
    <mergeCell ref="D23:G24"/>
    <mergeCell ref="A1:G2"/>
    <mergeCell ref="A6:G6"/>
    <mergeCell ref="A12:G12"/>
    <mergeCell ref="D14:G14"/>
    <mergeCell ref="D16:G16"/>
    <mergeCell ref="D17:G18"/>
    <mergeCell ref="D19:G19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2" width="19.0"/>
    <col customWidth="1" min="3" max="3" width="33.0"/>
    <col customWidth="1" min="4" max="11" width="19.0"/>
    <col customWidth="1" min="12" max="12" width="33.0"/>
    <col customWidth="1" min="13" max="13" width="19.0"/>
  </cols>
  <sheetData>
    <row r="1" ht="24.75" customHeight="1">
      <c r="A1" s="18" t="s">
        <v>29</v>
      </c>
    </row>
    <row r="2" ht="24.75" customHeight="1"/>
    <row r="3">
      <c r="A3" s="19" t="s">
        <v>30</v>
      </c>
    </row>
    <row r="4" ht="31.5" customHeight="1">
      <c r="A4" s="20" t="s">
        <v>31</v>
      </c>
      <c r="B4" s="20" t="s">
        <v>32</v>
      </c>
      <c r="C4" s="20" t="s">
        <v>33</v>
      </c>
      <c r="D4" s="20" t="s">
        <v>34</v>
      </c>
      <c r="E4" s="20" t="s">
        <v>35</v>
      </c>
      <c r="F4" s="20" t="s">
        <v>36</v>
      </c>
      <c r="G4" s="20" t="s">
        <v>37</v>
      </c>
      <c r="H4" s="20" t="s">
        <v>38</v>
      </c>
      <c r="I4" s="20" t="s">
        <v>39</v>
      </c>
      <c r="J4" s="20" t="s">
        <v>40</v>
      </c>
      <c r="K4" s="20" t="s">
        <v>41</v>
      </c>
      <c r="L4" s="20" t="s">
        <v>42</v>
      </c>
      <c r="M4" s="20" t="s">
        <v>43</v>
      </c>
    </row>
    <row r="5" ht="21.75" customHeight="1">
      <c r="A5" s="2" t="s">
        <v>44</v>
      </c>
      <c r="B5" s="21">
        <v>46296.0</v>
      </c>
      <c r="C5" s="22" t="s">
        <v>45</v>
      </c>
      <c r="D5" s="2" t="s">
        <v>46</v>
      </c>
      <c r="E5" s="23">
        <v>45926.0</v>
      </c>
      <c r="F5" s="2" t="s">
        <v>12</v>
      </c>
      <c r="G5" s="2" t="s">
        <v>47</v>
      </c>
      <c r="H5" s="21">
        <v>46296.0</v>
      </c>
      <c r="I5" s="2" t="s">
        <v>48</v>
      </c>
      <c r="J5" s="23">
        <v>46327.0</v>
      </c>
      <c r="K5" s="2" t="s">
        <v>49</v>
      </c>
      <c r="L5" s="2" t="s">
        <v>50</v>
      </c>
      <c r="M5" s="23"/>
    </row>
    <row r="6" ht="21.75" customHeight="1">
      <c r="A6" s="2" t="s">
        <v>51</v>
      </c>
      <c r="B6" s="21">
        <v>46297.0</v>
      </c>
      <c r="C6" s="22" t="s">
        <v>52</v>
      </c>
      <c r="D6" s="2" t="s">
        <v>46</v>
      </c>
      <c r="E6" s="23">
        <v>46077.0</v>
      </c>
      <c r="F6" s="2" t="s">
        <v>17</v>
      </c>
      <c r="G6" s="2" t="s">
        <v>47</v>
      </c>
      <c r="H6" s="21">
        <v>46297.0</v>
      </c>
      <c r="I6" s="2" t="s">
        <v>53</v>
      </c>
      <c r="J6" s="23">
        <v>46327.0</v>
      </c>
      <c r="K6" s="2" t="s">
        <v>49</v>
      </c>
      <c r="L6" s="2" t="s">
        <v>54</v>
      </c>
      <c r="M6" s="23"/>
    </row>
    <row r="7" ht="21.75" customHeight="1">
      <c r="A7" s="2" t="s">
        <v>55</v>
      </c>
      <c r="B7" s="21">
        <v>46301.0</v>
      </c>
      <c r="C7" s="22" t="s">
        <v>56</v>
      </c>
      <c r="D7" s="2" t="s">
        <v>57</v>
      </c>
      <c r="E7" s="23">
        <v>46290.0</v>
      </c>
      <c r="F7" s="2" t="s">
        <v>26</v>
      </c>
      <c r="G7" s="2" t="s">
        <v>58</v>
      </c>
      <c r="H7" s="21">
        <v>46301.0</v>
      </c>
      <c r="I7" s="2" t="s">
        <v>53</v>
      </c>
      <c r="J7" s="23">
        <v>46327.0</v>
      </c>
      <c r="K7" s="2" t="s">
        <v>49</v>
      </c>
      <c r="L7" s="2" t="s">
        <v>59</v>
      </c>
      <c r="M7" s="23"/>
    </row>
    <row r="8" ht="21.75" customHeight="1">
      <c r="A8" s="24" t="s">
        <v>60</v>
      </c>
      <c r="B8" s="21">
        <v>46301.0</v>
      </c>
      <c r="C8" s="22" t="s">
        <v>61</v>
      </c>
      <c r="D8" s="2" t="s">
        <v>46</v>
      </c>
      <c r="E8" s="23">
        <v>46181.0</v>
      </c>
      <c r="F8" s="2" t="s">
        <v>12</v>
      </c>
      <c r="G8" s="2" t="s">
        <v>47</v>
      </c>
      <c r="H8" s="21">
        <v>46301.0</v>
      </c>
      <c r="I8" s="2" t="s">
        <v>53</v>
      </c>
      <c r="J8" s="23">
        <v>46327.0</v>
      </c>
      <c r="K8" s="2" t="s">
        <v>49</v>
      </c>
      <c r="L8" s="2" t="s">
        <v>62</v>
      </c>
      <c r="M8" s="23"/>
    </row>
    <row r="9" ht="21.75" customHeight="1">
      <c r="A9" s="24" t="s">
        <v>63</v>
      </c>
      <c r="B9" s="21">
        <v>46304.0</v>
      </c>
      <c r="C9" s="22" t="s">
        <v>64</v>
      </c>
      <c r="D9" s="2" t="s">
        <v>57</v>
      </c>
      <c r="E9" s="23">
        <v>46287.0</v>
      </c>
      <c r="F9" s="2" t="s">
        <v>24</v>
      </c>
      <c r="G9" s="2" t="s">
        <v>47</v>
      </c>
      <c r="H9" s="21">
        <v>46304.0</v>
      </c>
      <c r="I9" s="2" t="s">
        <v>48</v>
      </c>
      <c r="J9" s="23">
        <v>46327.0</v>
      </c>
      <c r="K9" s="2" t="s">
        <v>49</v>
      </c>
      <c r="L9" s="2" t="s">
        <v>65</v>
      </c>
      <c r="M9" s="23"/>
    </row>
    <row r="10" ht="21.75" customHeight="1">
      <c r="A10" s="24" t="s">
        <v>66</v>
      </c>
      <c r="B10" s="21">
        <v>46308.0</v>
      </c>
      <c r="C10" s="22" t="s">
        <v>67</v>
      </c>
      <c r="D10" s="2" t="s">
        <v>57</v>
      </c>
      <c r="E10" s="23">
        <v>46297.0</v>
      </c>
      <c r="F10" s="2" t="s">
        <v>26</v>
      </c>
      <c r="G10" s="2" t="s">
        <v>58</v>
      </c>
      <c r="H10" s="21">
        <v>46308.0</v>
      </c>
      <c r="I10" s="2" t="s">
        <v>68</v>
      </c>
      <c r="J10" s="23">
        <v>46327.0</v>
      </c>
      <c r="K10" s="2" t="s">
        <v>49</v>
      </c>
      <c r="L10" s="2" t="s">
        <v>50</v>
      </c>
      <c r="M10" s="23"/>
    </row>
    <row r="11" ht="21.75" customHeight="1">
      <c r="A11" s="24" t="s">
        <v>69</v>
      </c>
      <c r="B11" s="21">
        <v>46309.0</v>
      </c>
      <c r="C11" s="22" t="s">
        <v>70</v>
      </c>
      <c r="D11" s="2" t="s">
        <v>71</v>
      </c>
      <c r="E11" s="23">
        <v>46181.0</v>
      </c>
      <c r="F11" s="2" t="s">
        <v>15</v>
      </c>
      <c r="G11" s="2" t="s">
        <v>58</v>
      </c>
      <c r="H11" s="21">
        <v>46309.0</v>
      </c>
      <c r="I11" s="2" t="s">
        <v>53</v>
      </c>
      <c r="J11" s="23">
        <v>46327.0</v>
      </c>
      <c r="K11" s="2" t="s">
        <v>49</v>
      </c>
      <c r="L11" s="2" t="s">
        <v>54</v>
      </c>
      <c r="M11" s="23"/>
    </row>
    <row r="12" ht="21.75" customHeight="1">
      <c r="A12" s="24" t="s">
        <v>72</v>
      </c>
      <c r="B12" s="21">
        <v>46309.0</v>
      </c>
      <c r="C12" s="22" t="s">
        <v>73</v>
      </c>
      <c r="D12" s="2" t="s">
        <v>57</v>
      </c>
      <c r="E12" s="23">
        <v>45825.0</v>
      </c>
      <c r="F12" s="2" t="s">
        <v>26</v>
      </c>
      <c r="G12" s="2" t="s">
        <v>58</v>
      </c>
      <c r="H12" s="21">
        <v>46309.0</v>
      </c>
      <c r="I12" s="2" t="s">
        <v>53</v>
      </c>
      <c r="J12" s="23">
        <v>46327.0</v>
      </c>
      <c r="K12" s="2" t="s">
        <v>49</v>
      </c>
      <c r="L12" s="2" t="s">
        <v>54</v>
      </c>
      <c r="M12" s="23"/>
    </row>
    <row r="13" ht="21.75" customHeight="1">
      <c r="A13" s="2" t="s">
        <v>74</v>
      </c>
      <c r="B13" s="21">
        <v>46311.0</v>
      </c>
      <c r="C13" s="22" t="s">
        <v>75</v>
      </c>
      <c r="D13" s="2" t="s">
        <v>57</v>
      </c>
      <c r="E13" s="23">
        <v>46297.0</v>
      </c>
      <c r="F13" s="2" t="s">
        <v>27</v>
      </c>
      <c r="G13" s="2" t="s">
        <v>47</v>
      </c>
      <c r="H13" s="21">
        <v>46311.0</v>
      </c>
      <c r="I13" s="2" t="s">
        <v>48</v>
      </c>
      <c r="J13" s="23">
        <v>46327.0</v>
      </c>
      <c r="K13" s="2" t="s">
        <v>49</v>
      </c>
      <c r="L13" s="2" t="s">
        <v>59</v>
      </c>
      <c r="M13" s="23"/>
    </row>
    <row r="14" ht="21.75" customHeight="1">
      <c r="B14" s="23"/>
      <c r="D14" s="2"/>
      <c r="E14" s="23"/>
      <c r="F14" s="2"/>
      <c r="G14" s="2"/>
      <c r="H14" s="23"/>
      <c r="I14" s="2"/>
      <c r="J14" s="23"/>
      <c r="M14" s="23"/>
    </row>
    <row r="15" ht="21.75" customHeight="1">
      <c r="B15" s="23"/>
      <c r="D15" s="2"/>
      <c r="E15" s="23"/>
      <c r="F15" s="2"/>
      <c r="G15" s="2"/>
      <c r="H15" s="23"/>
      <c r="I15" s="2"/>
      <c r="J15" s="23"/>
      <c r="M15" s="23"/>
    </row>
    <row r="16" ht="21.75" customHeight="1">
      <c r="B16" s="23"/>
      <c r="D16" s="2"/>
      <c r="E16" s="23"/>
      <c r="F16" s="2"/>
      <c r="G16" s="2"/>
      <c r="H16" s="23"/>
      <c r="I16" s="2"/>
      <c r="J16" s="23"/>
      <c r="M16" s="23"/>
    </row>
    <row r="17" ht="21.75" customHeight="1">
      <c r="B17" s="23"/>
      <c r="D17" s="2"/>
      <c r="E17" s="23"/>
      <c r="F17" s="2"/>
      <c r="G17" s="2"/>
      <c r="H17" s="23"/>
      <c r="I17" s="2"/>
      <c r="J17" s="23"/>
      <c r="M17" s="23"/>
    </row>
    <row r="18" ht="21.75" customHeight="1">
      <c r="B18" s="23"/>
      <c r="D18" s="2"/>
      <c r="E18" s="23"/>
      <c r="F18" s="2"/>
      <c r="G18" s="2"/>
      <c r="H18" s="23"/>
      <c r="I18" s="2"/>
      <c r="J18" s="23"/>
      <c r="M18" s="23"/>
    </row>
    <row r="19" ht="21.75" customHeight="1">
      <c r="B19" s="23"/>
      <c r="D19" s="2"/>
      <c r="E19" s="23"/>
      <c r="F19" s="2"/>
      <c r="G19" s="2"/>
      <c r="H19" s="23"/>
      <c r="I19" s="2"/>
      <c r="J19" s="23"/>
      <c r="M19" s="23"/>
    </row>
    <row r="20" ht="21.75" customHeight="1">
      <c r="B20" s="23"/>
      <c r="D20" s="2"/>
      <c r="E20" s="23"/>
      <c r="F20" s="2"/>
      <c r="G20" s="2"/>
      <c r="H20" s="23"/>
      <c r="I20" s="2"/>
      <c r="J20" s="23"/>
      <c r="M20" s="23"/>
    </row>
    <row r="21" ht="21.75" customHeight="1">
      <c r="B21" s="23"/>
      <c r="D21" s="2"/>
      <c r="E21" s="23"/>
      <c r="F21" s="2"/>
      <c r="G21" s="2"/>
      <c r="H21" s="23"/>
      <c r="I21" s="2"/>
      <c r="J21" s="23"/>
      <c r="M21" s="23"/>
    </row>
    <row r="22" ht="21.75" customHeight="1">
      <c r="B22" s="23"/>
      <c r="D22" s="2"/>
      <c r="E22" s="23"/>
      <c r="F22" s="2"/>
      <c r="G22" s="2"/>
      <c r="H22" s="23"/>
      <c r="I22" s="2"/>
      <c r="J22" s="23"/>
      <c r="M22" s="23"/>
    </row>
    <row r="23" ht="21.75" customHeight="1">
      <c r="B23" s="23"/>
      <c r="D23" s="2"/>
      <c r="E23" s="23"/>
      <c r="F23" s="2"/>
      <c r="G23" s="2"/>
      <c r="H23" s="23"/>
      <c r="I23" s="2"/>
      <c r="J23" s="23"/>
      <c r="M23" s="23"/>
    </row>
    <row r="24" ht="21.75" customHeight="1">
      <c r="B24" s="23"/>
      <c r="D24" s="2"/>
      <c r="E24" s="23"/>
      <c r="F24" s="2"/>
      <c r="G24" s="2"/>
      <c r="H24" s="23"/>
      <c r="I24" s="2"/>
      <c r="J24" s="23"/>
      <c r="M24" s="23"/>
    </row>
    <row r="25" ht="21.75" customHeight="1">
      <c r="B25" s="23"/>
      <c r="D25" s="2"/>
      <c r="E25" s="23"/>
      <c r="F25" s="2"/>
      <c r="G25" s="2"/>
      <c r="H25" s="23"/>
      <c r="I25" s="2"/>
      <c r="J25" s="23"/>
      <c r="M25" s="23"/>
    </row>
    <row r="26" ht="21.75" customHeight="1">
      <c r="B26" s="23"/>
      <c r="D26" s="2"/>
      <c r="E26" s="23"/>
      <c r="F26" s="2"/>
      <c r="G26" s="2"/>
      <c r="H26" s="23"/>
      <c r="I26" s="2"/>
      <c r="J26" s="23"/>
      <c r="M26" s="23"/>
    </row>
    <row r="27" ht="21.75" customHeight="1">
      <c r="B27" s="23"/>
      <c r="D27" s="2"/>
      <c r="E27" s="23"/>
      <c r="F27" s="2"/>
      <c r="G27" s="2"/>
      <c r="H27" s="23"/>
      <c r="I27" s="2"/>
      <c r="J27" s="23"/>
      <c r="M27" s="23"/>
    </row>
    <row r="28" ht="21.75" customHeight="1">
      <c r="B28" s="23"/>
      <c r="D28" s="2"/>
      <c r="E28" s="23"/>
      <c r="F28" s="2"/>
      <c r="G28" s="2"/>
      <c r="H28" s="23"/>
      <c r="I28" s="2"/>
      <c r="J28" s="23"/>
      <c r="M28" s="23"/>
    </row>
    <row r="29" ht="21.75" customHeight="1">
      <c r="B29" s="23"/>
      <c r="D29" s="2"/>
      <c r="E29" s="23"/>
      <c r="F29" s="2"/>
      <c r="G29" s="2"/>
      <c r="H29" s="23"/>
      <c r="I29" s="2"/>
      <c r="J29" s="23"/>
      <c r="M29" s="23"/>
    </row>
    <row r="30" ht="21.75" customHeight="1">
      <c r="B30" s="23"/>
      <c r="D30" s="2"/>
      <c r="E30" s="23"/>
      <c r="F30" s="2"/>
      <c r="G30" s="2"/>
      <c r="H30" s="23"/>
      <c r="I30" s="2"/>
      <c r="J30" s="23"/>
      <c r="M30" s="23"/>
    </row>
    <row r="31" ht="21.75" customHeight="1">
      <c r="B31" s="23"/>
      <c r="D31" s="2"/>
      <c r="E31" s="23"/>
      <c r="F31" s="2"/>
      <c r="G31" s="2"/>
      <c r="H31" s="23"/>
      <c r="I31" s="2"/>
      <c r="J31" s="23"/>
      <c r="M31" s="23"/>
    </row>
    <row r="32" ht="21.75" customHeight="1">
      <c r="B32" s="23"/>
      <c r="D32" s="2"/>
      <c r="E32" s="23"/>
      <c r="F32" s="2"/>
      <c r="G32" s="2"/>
      <c r="H32" s="23"/>
      <c r="I32" s="2"/>
      <c r="J32" s="23"/>
      <c r="M32" s="23"/>
    </row>
    <row r="33" ht="21.75" customHeight="1">
      <c r="B33" s="23"/>
      <c r="D33" s="2"/>
      <c r="E33" s="23"/>
      <c r="F33" s="2"/>
      <c r="G33" s="2"/>
      <c r="H33" s="23"/>
      <c r="I33" s="2"/>
      <c r="J33" s="23"/>
      <c r="M33" s="23"/>
    </row>
    <row r="34" ht="21.75" customHeight="1">
      <c r="B34" s="23"/>
      <c r="D34" s="2"/>
      <c r="E34" s="23"/>
      <c r="F34" s="2"/>
      <c r="G34" s="2"/>
      <c r="H34" s="23"/>
      <c r="I34" s="2"/>
      <c r="J34" s="23"/>
      <c r="M34" s="23"/>
    </row>
    <row r="35" ht="21.75" customHeight="1">
      <c r="B35" s="23"/>
      <c r="D35" s="2"/>
      <c r="E35" s="23"/>
      <c r="F35" s="2"/>
      <c r="G35" s="2"/>
      <c r="H35" s="23"/>
      <c r="I35" s="2"/>
      <c r="J35" s="23"/>
      <c r="M35" s="23"/>
    </row>
    <row r="36" ht="21.75" customHeight="1">
      <c r="B36" s="23"/>
      <c r="D36" s="2"/>
      <c r="E36" s="23"/>
      <c r="F36" s="2"/>
      <c r="G36" s="2"/>
      <c r="H36" s="23"/>
      <c r="I36" s="2"/>
      <c r="J36" s="23"/>
      <c r="M36" s="23"/>
    </row>
    <row r="37" ht="21.75" customHeight="1">
      <c r="B37" s="23"/>
      <c r="D37" s="2"/>
      <c r="E37" s="23"/>
      <c r="F37" s="2"/>
      <c r="G37" s="2"/>
      <c r="H37" s="23"/>
      <c r="I37" s="2"/>
      <c r="J37" s="23"/>
      <c r="M37" s="23"/>
    </row>
    <row r="38" ht="21.75" customHeight="1">
      <c r="B38" s="23"/>
      <c r="D38" s="2"/>
      <c r="E38" s="23"/>
      <c r="F38" s="2"/>
      <c r="G38" s="2"/>
      <c r="H38" s="23"/>
      <c r="I38" s="2"/>
      <c r="J38" s="23"/>
      <c r="M38" s="23"/>
    </row>
    <row r="39" ht="21.75" customHeight="1">
      <c r="B39" s="23"/>
      <c r="D39" s="2"/>
      <c r="E39" s="23"/>
      <c r="F39" s="2"/>
      <c r="G39" s="2"/>
      <c r="H39" s="23"/>
      <c r="I39" s="2"/>
      <c r="J39" s="23"/>
      <c r="M39" s="23"/>
    </row>
    <row r="40" ht="21.75" customHeight="1">
      <c r="B40" s="23"/>
      <c r="D40" s="2"/>
      <c r="E40" s="23"/>
      <c r="F40" s="2"/>
      <c r="G40" s="2"/>
      <c r="H40" s="23"/>
      <c r="I40" s="2"/>
      <c r="J40" s="23"/>
      <c r="M40" s="23"/>
    </row>
    <row r="41" ht="21.75" customHeight="1">
      <c r="B41" s="23"/>
      <c r="D41" s="2"/>
      <c r="E41" s="23"/>
      <c r="F41" s="2"/>
      <c r="G41" s="2"/>
      <c r="H41" s="23"/>
      <c r="I41" s="2"/>
      <c r="J41" s="23"/>
      <c r="M41" s="23"/>
    </row>
    <row r="42" ht="21.75" customHeight="1">
      <c r="B42" s="23"/>
      <c r="D42" s="2"/>
      <c r="E42" s="23"/>
      <c r="F42" s="2"/>
      <c r="G42" s="2"/>
      <c r="H42" s="23"/>
      <c r="I42" s="2"/>
      <c r="J42" s="23"/>
      <c r="M42" s="23"/>
    </row>
    <row r="43" ht="21.75" customHeight="1">
      <c r="B43" s="23"/>
      <c r="D43" s="2"/>
      <c r="E43" s="23"/>
      <c r="F43" s="2"/>
      <c r="G43" s="2"/>
      <c r="H43" s="23"/>
      <c r="I43" s="2"/>
      <c r="J43" s="23"/>
      <c r="M43" s="23"/>
    </row>
    <row r="44" ht="21.75" customHeight="1">
      <c r="B44" s="23"/>
      <c r="D44" s="2"/>
      <c r="E44" s="23"/>
      <c r="F44" s="2"/>
      <c r="G44" s="2"/>
      <c r="H44" s="23"/>
      <c r="I44" s="2"/>
      <c r="J44" s="23"/>
      <c r="M44" s="23"/>
    </row>
    <row r="45" ht="21.75" customHeight="1">
      <c r="B45" s="23"/>
      <c r="D45" s="2"/>
      <c r="E45" s="23"/>
      <c r="F45" s="2"/>
      <c r="G45" s="2"/>
      <c r="H45" s="23"/>
      <c r="I45" s="2"/>
      <c r="J45" s="23"/>
      <c r="M45" s="23"/>
    </row>
    <row r="46" ht="21.75" customHeight="1">
      <c r="B46" s="23"/>
      <c r="D46" s="2"/>
      <c r="E46" s="23"/>
      <c r="F46" s="2"/>
      <c r="G46" s="2"/>
      <c r="H46" s="23"/>
      <c r="I46" s="2"/>
      <c r="J46" s="23"/>
      <c r="M46" s="23"/>
    </row>
    <row r="47" ht="21.75" customHeight="1">
      <c r="B47" s="23"/>
      <c r="D47" s="2"/>
      <c r="E47" s="23"/>
      <c r="F47" s="2"/>
      <c r="G47" s="2"/>
      <c r="H47" s="23"/>
      <c r="I47" s="2"/>
      <c r="J47" s="23"/>
      <c r="M47" s="23"/>
    </row>
    <row r="48" ht="21.75" customHeight="1">
      <c r="B48" s="23"/>
      <c r="D48" s="2"/>
      <c r="E48" s="23"/>
      <c r="F48" s="2"/>
      <c r="G48" s="2"/>
      <c r="H48" s="23"/>
      <c r="I48" s="2"/>
      <c r="J48" s="23"/>
      <c r="M48" s="23"/>
    </row>
    <row r="49" ht="21.75" customHeight="1">
      <c r="B49" s="23"/>
      <c r="D49" s="2"/>
      <c r="E49" s="23"/>
      <c r="F49" s="2"/>
      <c r="G49" s="2"/>
      <c r="H49" s="23"/>
      <c r="I49" s="2"/>
      <c r="J49" s="23"/>
      <c r="M49" s="23"/>
    </row>
    <row r="50" ht="21.75" customHeight="1">
      <c r="B50" s="23"/>
      <c r="D50" s="2"/>
      <c r="E50" s="23"/>
      <c r="F50" s="2"/>
      <c r="G50" s="2"/>
      <c r="H50" s="23"/>
      <c r="I50" s="2"/>
      <c r="J50" s="23"/>
      <c r="M50" s="23"/>
    </row>
    <row r="51" ht="21.75" customHeight="1">
      <c r="B51" s="23"/>
      <c r="D51" s="2"/>
      <c r="E51" s="23"/>
      <c r="F51" s="2"/>
      <c r="G51" s="2"/>
      <c r="H51" s="23"/>
      <c r="I51" s="2"/>
      <c r="J51" s="23"/>
      <c r="M51" s="23"/>
    </row>
    <row r="52" ht="21.75" customHeight="1">
      <c r="B52" s="23"/>
      <c r="D52" s="2"/>
      <c r="E52" s="23"/>
      <c r="F52" s="2"/>
      <c r="G52" s="2"/>
      <c r="H52" s="23"/>
      <c r="I52" s="2"/>
      <c r="J52" s="23"/>
      <c r="M52" s="23"/>
    </row>
    <row r="53" ht="21.75" customHeight="1">
      <c r="B53" s="23"/>
      <c r="D53" s="2"/>
      <c r="E53" s="23"/>
      <c r="F53" s="2"/>
      <c r="G53" s="2"/>
      <c r="H53" s="23"/>
      <c r="I53" s="2"/>
      <c r="J53" s="23"/>
      <c r="M53" s="23"/>
    </row>
    <row r="54" ht="21.75" customHeight="1">
      <c r="B54" s="23"/>
      <c r="D54" s="2"/>
      <c r="E54" s="23"/>
      <c r="F54" s="2"/>
      <c r="G54" s="2"/>
      <c r="H54" s="23"/>
      <c r="I54" s="2"/>
      <c r="J54" s="23"/>
      <c r="M54" s="23"/>
    </row>
    <row r="55" ht="21.75" customHeight="1">
      <c r="B55" s="23"/>
      <c r="D55" s="2"/>
      <c r="E55" s="23"/>
      <c r="F55" s="2"/>
      <c r="G55" s="2"/>
      <c r="H55" s="23"/>
      <c r="I55" s="2"/>
      <c r="J55" s="23"/>
      <c r="M55" s="23"/>
    </row>
    <row r="56" ht="21.75" customHeight="1">
      <c r="B56" s="23"/>
      <c r="D56" s="2"/>
      <c r="E56" s="23"/>
      <c r="F56" s="2"/>
      <c r="G56" s="2"/>
      <c r="H56" s="23"/>
      <c r="I56" s="2"/>
      <c r="J56" s="23"/>
      <c r="M56" s="23"/>
    </row>
    <row r="57" ht="21.75" customHeight="1">
      <c r="B57" s="23"/>
      <c r="D57" s="2"/>
      <c r="E57" s="23"/>
      <c r="F57" s="2"/>
      <c r="G57" s="2"/>
      <c r="H57" s="23"/>
      <c r="I57" s="2"/>
      <c r="J57" s="23"/>
      <c r="M57" s="23"/>
    </row>
    <row r="58" ht="21.75" customHeight="1">
      <c r="B58" s="23"/>
      <c r="D58" s="2"/>
      <c r="E58" s="23"/>
      <c r="F58" s="2"/>
      <c r="G58" s="2"/>
      <c r="H58" s="23"/>
      <c r="I58" s="2"/>
      <c r="J58" s="23"/>
      <c r="M58" s="23"/>
    </row>
    <row r="59" ht="21.75" customHeight="1">
      <c r="B59" s="23"/>
      <c r="D59" s="2"/>
      <c r="E59" s="23"/>
      <c r="F59" s="2"/>
      <c r="G59" s="2"/>
      <c r="H59" s="23"/>
      <c r="I59" s="2"/>
      <c r="J59" s="23"/>
      <c r="M59" s="23"/>
    </row>
    <row r="60" ht="21.75" customHeight="1">
      <c r="B60" s="23"/>
      <c r="D60" s="2"/>
      <c r="E60" s="23"/>
      <c r="F60" s="2"/>
      <c r="G60" s="2"/>
      <c r="H60" s="23"/>
      <c r="I60" s="2"/>
      <c r="J60" s="23"/>
      <c r="M60" s="23"/>
    </row>
    <row r="61" ht="21.75" customHeight="1">
      <c r="B61" s="23"/>
      <c r="D61" s="2"/>
      <c r="E61" s="23"/>
      <c r="F61" s="2"/>
      <c r="G61" s="2"/>
      <c r="H61" s="23"/>
      <c r="I61" s="2"/>
      <c r="J61" s="23"/>
      <c r="M61" s="23"/>
    </row>
    <row r="62" ht="21.75" customHeight="1">
      <c r="B62" s="23"/>
      <c r="D62" s="2"/>
      <c r="E62" s="23"/>
      <c r="F62" s="2"/>
      <c r="G62" s="2"/>
      <c r="H62" s="23"/>
      <c r="I62" s="2"/>
      <c r="J62" s="23"/>
      <c r="M62" s="23"/>
    </row>
    <row r="63" ht="21.75" customHeight="1">
      <c r="B63" s="23"/>
      <c r="D63" s="2"/>
      <c r="E63" s="23"/>
      <c r="F63" s="2"/>
      <c r="G63" s="2"/>
      <c r="H63" s="23"/>
      <c r="I63" s="2"/>
      <c r="J63" s="23"/>
      <c r="M63" s="23"/>
    </row>
    <row r="64" ht="21.75" customHeight="1">
      <c r="B64" s="23"/>
      <c r="D64" s="2"/>
      <c r="E64" s="23"/>
      <c r="F64" s="2"/>
      <c r="G64" s="2"/>
      <c r="H64" s="23"/>
      <c r="I64" s="2"/>
      <c r="J64" s="23"/>
      <c r="M64" s="23"/>
    </row>
    <row r="65" ht="21.75" customHeight="1">
      <c r="B65" s="23"/>
      <c r="D65" s="2"/>
      <c r="E65" s="23"/>
      <c r="F65" s="2"/>
      <c r="G65" s="2"/>
      <c r="H65" s="23"/>
      <c r="I65" s="2"/>
      <c r="J65" s="23"/>
      <c r="M65" s="23"/>
    </row>
    <row r="66" ht="21.75" customHeight="1">
      <c r="B66" s="23"/>
      <c r="D66" s="2"/>
      <c r="E66" s="23"/>
      <c r="F66" s="2"/>
      <c r="G66" s="2"/>
      <c r="H66" s="23"/>
      <c r="I66" s="2"/>
      <c r="J66" s="23"/>
      <c r="M66" s="23"/>
    </row>
    <row r="67" ht="21.75" customHeight="1">
      <c r="B67" s="23"/>
      <c r="D67" s="2"/>
      <c r="E67" s="23"/>
      <c r="F67" s="2"/>
      <c r="G67" s="2"/>
      <c r="H67" s="23"/>
      <c r="I67" s="2"/>
      <c r="J67" s="23"/>
      <c r="M67" s="23"/>
    </row>
    <row r="68" ht="21.75" customHeight="1">
      <c r="B68" s="23"/>
      <c r="D68" s="2"/>
      <c r="E68" s="23"/>
      <c r="F68" s="2"/>
      <c r="G68" s="2"/>
      <c r="H68" s="23"/>
      <c r="I68" s="2"/>
      <c r="J68" s="23"/>
      <c r="M68" s="23"/>
    </row>
    <row r="69" ht="21.75" customHeight="1">
      <c r="B69" s="23"/>
      <c r="D69" s="2"/>
      <c r="E69" s="23"/>
      <c r="F69" s="2"/>
      <c r="G69" s="2"/>
      <c r="H69" s="23"/>
      <c r="I69" s="2"/>
      <c r="J69" s="23"/>
      <c r="M69" s="23"/>
    </row>
    <row r="70" ht="21.75" customHeight="1">
      <c r="B70" s="23"/>
      <c r="D70" s="2"/>
      <c r="E70" s="23"/>
      <c r="F70" s="2"/>
      <c r="G70" s="2"/>
      <c r="H70" s="23"/>
      <c r="I70" s="2"/>
      <c r="J70" s="23"/>
      <c r="M70" s="23"/>
    </row>
    <row r="71" ht="21.75" customHeight="1">
      <c r="B71" s="23"/>
      <c r="D71" s="2"/>
      <c r="E71" s="23"/>
      <c r="F71" s="2"/>
      <c r="G71" s="2"/>
      <c r="H71" s="23"/>
      <c r="I71" s="2"/>
      <c r="J71" s="23"/>
      <c r="M71" s="23"/>
    </row>
    <row r="72" ht="21.75" customHeight="1">
      <c r="B72" s="23"/>
      <c r="D72" s="2"/>
      <c r="E72" s="23"/>
      <c r="F72" s="2"/>
      <c r="G72" s="2"/>
      <c r="H72" s="23"/>
      <c r="I72" s="2"/>
      <c r="J72" s="23"/>
      <c r="M72" s="23"/>
    </row>
    <row r="73" ht="21.75" customHeight="1">
      <c r="B73" s="23"/>
      <c r="D73" s="2"/>
      <c r="E73" s="23"/>
      <c r="F73" s="2"/>
      <c r="G73" s="2"/>
      <c r="H73" s="23"/>
      <c r="I73" s="2"/>
      <c r="J73" s="23"/>
      <c r="M73" s="23"/>
    </row>
    <row r="74" ht="21.75" customHeight="1">
      <c r="B74" s="23"/>
      <c r="D74" s="2"/>
      <c r="E74" s="23"/>
      <c r="F74" s="2"/>
      <c r="G74" s="2"/>
      <c r="H74" s="23"/>
      <c r="I74" s="2"/>
      <c r="J74" s="23"/>
      <c r="M74" s="23"/>
    </row>
    <row r="75" ht="21.75" customHeight="1">
      <c r="B75" s="23"/>
      <c r="D75" s="2"/>
      <c r="E75" s="23"/>
      <c r="F75" s="2"/>
      <c r="G75" s="2"/>
      <c r="H75" s="23"/>
      <c r="I75" s="2"/>
      <c r="J75" s="23"/>
      <c r="M75" s="23"/>
    </row>
    <row r="76" ht="21.75" customHeight="1">
      <c r="B76" s="23"/>
      <c r="D76" s="2"/>
      <c r="E76" s="23"/>
      <c r="F76" s="2"/>
      <c r="G76" s="2"/>
      <c r="H76" s="23"/>
      <c r="I76" s="2"/>
      <c r="J76" s="23"/>
      <c r="M76" s="23"/>
    </row>
    <row r="77" ht="21.75" customHeight="1">
      <c r="B77" s="23"/>
      <c r="D77" s="2"/>
      <c r="E77" s="23"/>
      <c r="F77" s="2"/>
      <c r="G77" s="2"/>
      <c r="H77" s="23"/>
      <c r="I77" s="2"/>
      <c r="J77" s="23"/>
      <c r="M77" s="23"/>
    </row>
    <row r="78" ht="21.75" customHeight="1">
      <c r="B78" s="23"/>
      <c r="D78" s="2"/>
      <c r="E78" s="23"/>
      <c r="F78" s="2"/>
      <c r="G78" s="2"/>
      <c r="H78" s="23"/>
      <c r="I78" s="2"/>
      <c r="J78" s="23"/>
      <c r="M78" s="23"/>
    </row>
    <row r="79" ht="21.75" customHeight="1">
      <c r="B79" s="23"/>
      <c r="D79" s="2"/>
      <c r="E79" s="23"/>
      <c r="F79" s="2"/>
      <c r="G79" s="2"/>
      <c r="H79" s="23"/>
      <c r="I79" s="2"/>
      <c r="J79" s="23"/>
      <c r="M79" s="23"/>
    </row>
    <row r="80" ht="21.75" customHeight="1">
      <c r="B80" s="23"/>
      <c r="D80" s="2"/>
      <c r="E80" s="23"/>
      <c r="F80" s="2"/>
      <c r="G80" s="2"/>
      <c r="H80" s="23"/>
      <c r="I80" s="2"/>
      <c r="J80" s="23"/>
      <c r="M80" s="23"/>
    </row>
    <row r="81" ht="21.75" customHeight="1">
      <c r="B81" s="23"/>
      <c r="D81" s="2"/>
      <c r="E81" s="23"/>
      <c r="F81" s="2"/>
      <c r="G81" s="2"/>
      <c r="H81" s="23"/>
      <c r="I81" s="2"/>
      <c r="J81" s="23"/>
      <c r="M81" s="23"/>
    </row>
    <row r="82" ht="21.75" customHeight="1">
      <c r="B82" s="23"/>
      <c r="D82" s="2"/>
      <c r="E82" s="23"/>
      <c r="F82" s="2"/>
      <c r="G82" s="2"/>
      <c r="H82" s="23"/>
      <c r="I82" s="2"/>
      <c r="J82" s="23"/>
      <c r="M82" s="23"/>
    </row>
    <row r="83" ht="21.75" customHeight="1">
      <c r="B83" s="23"/>
      <c r="D83" s="2"/>
      <c r="E83" s="23"/>
      <c r="F83" s="2"/>
      <c r="G83" s="2"/>
      <c r="H83" s="23"/>
      <c r="I83" s="2"/>
      <c r="J83" s="23"/>
      <c r="M83" s="23"/>
    </row>
    <row r="84" ht="21.75" customHeight="1">
      <c r="B84" s="23"/>
      <c r="D84" s="2"/>
      <c r="E84" s="23"/>
      <c r="F84" s="2"/>
      <c r="G84" s="2"/>
      <c r="H84" s="23"/>
      <c r="I84" s="2"/>
      <c r="J84" s="23"/>
      <c r="M84" s="23"/>
    </row>
    <row r="85" ht="21.75" customHeight="1">
      <c r="B85" s="23"/>
      <c r="D85" s="2"/>
      <c r="E85" s="23"/>
      <c r="F85" s="2"/>
      <c r="G85" s="2"/>
      <c r="H85" s="23"/>
      <c r="I85" s="2"/>
      <c r="J85" s="23"/>
      <c r="M85" s="23"/>
    </row>
    <row r="86" ht="21.75" customHeight="1">
      <c r="B86" s="23"/>
      <c r="D86" s="2"/>
      <c r="E86" s="23"/>
      <c r="F86" s="2"/>
      <c r="G86" s="2"/>
      <c r="H86" s="23"/>
      <c r="I86" s="2"/>
      <c r="J86" s="23"/>
      <c r="M86" s="23"/>
    </row>
    <row r="87" ht="21.75" customHeight="1">
      <c r="B87" s="23"/>
      <c r="D87" s="2"/>
      <c r="E87" s="23"/>
      <c r="F87" s="2"/>
      <c r="G87" s="2"/>
      <c r="H87" s="23"/>
      <c r="I87" s="2"/>
      <c r="J87" s="23"/>
      <c r="M87" s="23"/>
    </row>
    <row r="88" ht="21.75" customHeight="1">
      <c r="B88" s="23"/>
      <c r="D88" s="2"/>
      <c r="E88" s="23"/>
      <c r="F88" s="2"/>
      <c r="G88" s="2"/>
      <c r="H88" s="23"/>
      <c r="I88" s="2"/>
      <c r="J88" s="23"/>
      <c r="M88" s="23"/>
    </row>
    <row r="89" ht="21.75" customHeight="1">
      <c r="B89" s="23"/>
      <c r="D89" s="2"/>
      <c r="E89" s="23"/>
      <c r="F89" s="2"/>
      <c r="G89" s="2"/>
      <c r="H89" s="23"/>
      <c r="I89" s="2"/>
      <c r="J89" s="23"/>
      <c r="M89" s="23"/>
    </row>
    <row r="90" ht="21.75" customHeight="1">
      <c r="B90" s="23"/>
      <c r="D90" s="2"/>
      <c r="E90" s="23"/>
      <c r="F90" s="2"/>
      <c r="G90" s="2"/>
      <c r="H90" s="23"/>
      <c r="I90" s="2"/>
      <c r="J90" s="23"/>
      <c r="M90" s="23"/>
    </row>
    <row r="91" ht="21.75" customHeight="1">
      <c r="B91" s="23"/>
      <c r="D91" s="2"/>
      <c r="E91" s="23"/>
      <c r="F91" s="2"/>
      <c r="G91" s="2"/>
      <c r="H91" s="23"/>
      <c r="I91" s="2"/>
      <c r="J91" s="23"/>
      <c r="M91" s="23"/>
    </row>
    <row r="92" ht="21.75" customHeight="1">
      <c r="B92" s="23"/>
      <c r="D92" s="2"/>
      <c r="E92" s="23"/>
      <c r="F92" s="2"/>
      <c r="G92" s="2"/>
      <c r="H92" s="23"/>
      <c r="I92" s="2"/>
      <c r="J92" s="23"/>
      <c r="M92" s="23"/>
    </row>
    <row r="93" ht="21.75" customHeight="1">
      <c r="B93" s="23"/>
      <c r="D93" s="2"/>
      <c r="E93" s="23"/>
      <c r="F93" s="2"/>
      <c r="G93" s="2"/>
      <c r="H93" s="23"/>
      <c r="I93" s="2"/>
      <c r="J93" s="23"/>
      <c r="M93" s="23"/>
    </row>
    <row r="94" ht="21.75" customHeight="1">
      <c r="B94" s="23"/>
      <c r="D94" s="2"/>
      <c r="E94" s="23"/>
      <c r="F94" s="2"/>
      <c r="G94" s="2"/>
      <c r="H94" s="23"/>
      <c r="I94" s="2"/>
      <c r="J94" s="23"/>
      <c r="M94" s="23"/>
    </row>
    <row r="95" ht="21.75" customHeight="1">
      <c r="B95" s="23"/>
      <c r="D95" s="2"/>
      <c r="E95" s="23"/>
      <c r="F95" s="2"/>
      <c r="G95" s="2"/>
      <c r="H95" s="23"/>
      <c r="I95" s="2"/>
      <c r="J95" s="23"/>
      <c r="M95" s="23"/>
    </row>
    <row r="96" ht="21.75" customHeight="1">
      <c r="B96" s="23"/>
      <c r="D96" s="2"/>
      <c r="E96" s="23"/>
      <c r="F96" s="2"/>
      <c r="G96" s="2"/>
      <c r="H96" s="23"/>
      <c r="I96" s="2"/>
      <c r="J96" s="23"/>
      <c r="M96" s="23"/>
    </row>
    <row r="97" ht="21.75" customHeight="1">
      <c r="B97" s="23"/>
      <c r="D97" s="2"/>
      <c r="E97" s="23"/>
      <c r="F97" s="2"/>
      <c r="G97" s="2"/>
      <c r="H97" s="23"/>
      <c r="I97" s="2"/>
      <c r="J97" s="23"/>
      <c r="M97" s="23"/>
    </row>
    <row r="98" ht="21.75" customHeight="1">
      <c r="B98" s="23"/>
      <c r="D98" s="2"/>
      <c r="E98" s="23"/>
      <c r="F98" s="2"/>
      <c r="G98" s="2"/>
      <c r="H98" s="23"/>
      <c r="I98" s="2"/>
      <c r="J98" s="23"/>
      <c r="M98" s="23"/>
    </row>
    <row r="99" ht="21.75" customHeight="1">
      <c r="B99" s="23"/>
      <c r="D99" s="2"/>
      <c r="E99" s="23"/>
      <c r="F99" s="2"/>
      <c r="G99" s="2"/>
      <c r="H99" s="23"/>
      <c r="I99" s="2"/>
      <c r="J99" s="23"/>
      <c r="M99" s="23"/>
    </row>
    <row r="100" ht="21.75" customHeight="1">
      <c r="B100" s="23"/>
      <c r="D100" s="2"/>
      <c r="E100" s="23"/>
      <c r="F100" s="2"/>
      <c r="G100" s="2"/>
      <c r="H100" s="23"/>
      <c r="I100" s="2"/>
      <c r="J100" s="23"/>
      <c r="M100" s="23"/>
    </row>
    <row r="101" ht="21.75" customHeight="1">
      <c r="B101" s="23"/>
      <c r="D101" s="2"/>
      <c r="E101" s="23"/>
      <c r="F101" s="2"/>
      <c r="G101" s="2"/>
      <c r="H101" s="23"/>
      <c r="I101" s="2"/>
      <c r="J101" s="23"/>
      <c r="M101" s="23"/>
    </row>
    <row r="102" ht="21.75" customHeight="1">
      <c r="B102" s="23"/>
      <c r="D102" s="2"/>
      <c r="E102" s="23"/>
      <c r="F102" s="2"/>
      <c r="G102" s="2"/>
      <c r="H102" s="23"/>
      <c r="I102" s="2"/>
      <c r="J102" s="23"/>
      <c r="M102" s="23"/>
    </row>
    <row r="103" ht="21.75" customHeight="1">
      <c r="B103" s="23"/>
      <c r="D103" s="2"/>
      <c r="E103" s="23"/>
      <c r="F103" s="2"/>
      <c r="G103" s="2"/>
      <c r="H103" s="23"/>
      <c r="I103" s="2"/>
      <c r="J103" s="23"/>
      <c r="M103" s="23"/>
    </row>
    <row r="104" ht="21.75" customHeight="1">
      <c r="B104" s="23"/>
      <c r="D104" s="2"/>
      <c r="E104" s="23"/>
      <c r="F104" s="2"/>
      <c r="G104" s="2"/>
      <c r="H104" s="23"/>
      <c r="I104" s="2"/>
      <c r="J104" s="23"/>
      <c r="M104" s="23"/>
    </row>
    <row r="105" ht="21.75" customHeight="1">
      <c r="B105" s="23"/>
      <c r="D105" s="2"/>
      <c r="E105" s="23"/>
      <c r="F105" s="2"/>
      <c r="G105" s="2"/>
      <c r="H105" s="23"/>
      <c r="I105" s="2"/>
      <c r="J105" s="23"/>
      <c r="M105" s="23"/>
    </row>
    <row r="106" ht="21.75" customHeight="1">
      <c r="B106" s="23"/>
      <c r="D106" s="2"/>
      <c r="E106" s="23"/>
      <c r="F106" s="2"/>
      <c r="G106" s="2"/>
      <c r="H106" s="23"/>
      <c r="I106" s="2"/>
      <c r="J106" s="23"/>
      <c r="M106" s="23"/>
    </row>
    <row r="107" ht="21.75" customHeight="1">
      <c r="B107" s="23"/>
      <c r="D107" s="2"/>
      <c r="E107" s="23"/>
      <c r="F107" s="2"/>
      <c r="G107" s="2"/>
      <c r="H107" s="23"/>
      <c r="I107" s="2"/>
      <c r="J107" s="23"/>
      <c r="M107" s="23"/>
    </row>
    <row r="108" ht="21.75" customHeight="1">
      <c r="B108" s="23"/>
      <c r="D108" s="2"/>
      <c r="E108" s="23"/>
      <c r="F108" s="2"/>
      <c r="G108" s="2"/>
      <c r="H108" s="23"/>
      <c r="I108" s="2"/>
      <c r="J108" s="23"/>
      <c r="M108" s="23"/>
    </row>
    <row r="109" ht="21.75" customHeight="1">
      <c r="B109" s="23"/>
      <c r="D109" s="2"/>
      <c r="E109" s="23"/>
      <c r="F109" s="2"/>
      <c r="G109" s="2"/>
      <c r="H109" s="23"/>
      <c r="I109" s="2"/>
      <c r="J109" s="23"/>
      <c r="M109" s="23"/>
    </row>
    <row r="110" ht="21.75" customHeight="1">
      <c r="B110" s="23"/>
      <c r="D110" s="2"/>
      <c r="E110" s="23"/>
      <c r="F110" s="2"/>
      <c r="G110" s="2"/>
      <c r="H110" s="23"/>
      <c r="I110" s="2"/>
      <c r="J110" s="23"/>
      <c r="M110" s="23"/>
    </row>
    <row r="111" ht="21.75" customHeight="1">
      <c r="B111" s="23"/>
      <c r="D111" s="2"/>
      <c r="E111" s="23"/>
      <c r="F111" s="2"/>
      <c r="G111" s="2"/>
      <c r="H111" s="23"/>
      <c r="I111" s="2"/>
      <c r="J111" s="23"/>
      <c r="M111" s="23"/>
    </row>
    <row r="112" ht="21.75" customHeight="1">
      <c r="B112" s="23"/>
      <c r="D112" s="2"/>
      <c r="E112" s="23"/>
      <c r="F112" s="2"/>
      <c r="G112" s="2"/>
      <c r="H112" s="23"/>
      <c r="I112" s="2"/>
      <c r="J112" s="23"/>
      <c r="M112" s="23"/>
    </row>
    <row r="113" ht="21.75" customHeight="1">
      <c r="B113" s="23"/>
      <c r="D113" s="2"/>
      <c r="E113" s="23"/>
      <c r="F113" s="2"/>
      <c r="G113" s="2"/>
      <c r="H113" s="23"/>
      <c r="I113" s="2"/>
      <c r="J113" s="23"/>
      <c r="M113" s="23"/>
    </row>
    <row r="114" ht="21.75" customHeight="1">
      <c r="B114" s="23"/>
      <c r="D114" s="2"/>
      <c r="E114" s="23"/>
      <c r="F114" s="2"/>
      <c r="G114" s="2"/>
      <c r="H114" s="23"/>
      <c r="I114" s="2"/>
      <c r="J114" s="23"/>
      <c r="M114" s="23"/>
    </row>
    <row r="115" ht="21.75" customHeight="1">
      <c r="B115" s="23"/>
      <c r="D115" s="2"/>
      <c r="E115" s="23"/>
      <c r="F115" s="2"/>
      <c r="G115" s="2"/>
      <c r="H115" s="23"/>
      <c r="I115" s="2"/>
      <c r="J115" s="23"/>
      <c r="M115" s="23"/>
    </row>
    <row r="116" ht="21.75" customHeight="1">
      <c r="B116" s="23"/>
      <c r="D116" s="2"/>
      <c r="E116" s="23"/>
      <c r="F116" s="2"/>
      <c r="G116" s="2"/>
      <c r="H116" s="23"/>
      <c r="I116" s="2"/>
      <c r="J116" s="23"/>
      <c r="M116" s="23"/>
    </row>
    <row r="117" ht="21.75" customHeight="1">
      <c r="B117" s="23"/>
      <c r="D117" s="2"/>
      <c r="E117" s="23"/>
      <c r="F117" s="2"/>
      <c r="G117" s="2"/>
      <c r="H117" s="23"/>
      <c r="I117" s="2"/>
      <c r="J117" s="23"/>
      <c r="M117" s="23"/>
    </row>
    <row r="118" ht="21.75" customHeight="1">
      <c r="B118" s="23"/>
      <c r="D118" s="2"/>
      <c r="E118" s="23"/>
      <c r="F118" s="2"/>
      <c r="G118" s="2"/>
      <c r="H118" s="23"/>
      <c r="I118" s="2"/>
      <c r="J118" s="23"/>
      <c r="M118" s="23"/>
    </row>
    <row r="119" ht="21.75" customHeight="1">
      <c r="B119" s="23"/>
      <c r="D119" s="2"/>
      <c r="E119" s="23"/>
      <c r="F119" s="2"/>
      <c r="G119" s="2"/>
      <c r="H119" s="23"/>
      <c r="I119" s="2"/>
      <c r="J119" s="23"/>
      <c r="M119" s="23"/>
    </row>
    <row r="120" ht="21.75" customHeight="1">
      <c r="B120" s="23"/>
      <c r="D120" s="2"/>
      <c r="E120" s="23"/>
      <c r="F120" s="2"/>
      <c r="G120" s="2"/>
      <c r="H120" s="23"/>
      <c r="I120" s="2"/>
      <c r="J120" s="23"/>
      <c r="M120" s="23"/>
    </row>
    <row r="121" ht="21.75" customHeight="1">
      <c r="B121" s="23"/>
      <c r="D121" s="2"/>
      <c r="E121" s="23"/>
      <c r="F121" s="2"/>
      <c r="G121" s="2"/>
      <c r="H121" s="23"/>
      <c r="I121" s="2"/>
      <c r="J121" s="23"/>
      <c r="M121" s="23"/>
    </row>
    <row r="122" ht="21.75" customHeight="1">
      <c r="B122" s="23"/>
      <c r="D122" s="2"/>
      <c r="E122" s="23"/>
      <c r="F122" s="2"/>
      <c r="G122" s="2"/>
      <c r="H122" s="23"/>
      <c r="I122" s="2"/>
      <c r="J122" s="23"/>
      <c r="M122" s="23"/>
    </row>
    <row r="123" ht="21.75" customHeight="1">
      <c r="B123" s="23"/>
      <c r="D123" s="2"/>
      <c r="E123" s="23"/>
      <c r="F123" s="2"/>
      <c r="G123" s="2"/>
      <c r="H123" s="23"/>
      <c r="I123" s="2"/>
      <c r="J123" s="23"/>
      <c r="M123" s="23"/>
    </row>
    <row r="124" ht="21.75" customHeight="1">
      <c r="B124" s="23"/>
      <c r="D124" s="2"/>
      <c r="E124" s="23"/>
      <c r="F124" s="2"/>
      <c r="G124" s="2"/>
      <c r="H124" s="23"/>
      <c r="I124" s="2"/>
      <c r="J124" s="23"/>
      <c r="M124" s="23"/>
    </row>
    <row r="125" ht="21.75" customHeight="1">
      <c r="B125" s="23"/>
      <c r="D125" s="2"/>
      <c r="E125" s="23"/>
      <c r="F125" s="2"/>
      <c r="G125" s="2"/>
      <c r="H125" s="23"/>
      <c r="I125" s="2"/>
      <c r="J125" s="23"/>
      <c r="M125" s="23"/>
    </row>
    <row r="126" ht="21.75" customHeight="1">
      <c r="B126" s="23"/>
      <c r="D126" s="2"/>
      <c r="E126" s="23"/>
      <c r="F126" s="2"/>
      <c r="G126" s="2"/>
      <c r="H126" s="23"/>
      <c r="I126" s="2"/>
      <c r="J126" s="23"/>
      <c r="M126" s="23"/>
    </row>
    <row r="127" ht="21.75" customHeight="1">
      <c r="B127" s="23"/>
      <c r="D127" s="2"/>
      <c r="E127" s="23"/>
      <c r="F127" s="2"/>
      <c r="G127" s="2"/>
      <c r="H127" s="23"/>
      <c r="I127" s="2"/>
      <c r="J127" s="23"/>
      <c r="M127" s="23"/>
    </row>
    <row r="128" ht="21.75" customHeight="1">
      <c r="B128" s="23"/>
      <c r="D128" s="2"/>
      <c r="E128" s="23"/>
      <c r="F128" s="2"/>
      <c r="G128" s="2"/>
      <c r="H128" s="23"/>
      <c r="I128" s="2"/>
      <c r="J128" s="23"/>
      <c r="M128" s="23"/>
    </row>
    <row r="129" ht="21.75" customHeight="1">
      <c r="B129" s="23"/>
      <c r="D129" s="2"/>
      <c r="E129" s="23"/>
      <c r="F129" s="2"/>
      <c r="G129" s="2"/>
      <c r="H129" s="23"/>
      <c r="I129" s="2"/>
      <c r="J129" s="23"/>
      <c r="M129" s="23"/>
    </row>
    <row r="130" ht="21.75" customHeight="1">
      <c r="B130" s="23"/>
      <c r="D130" s="2"/>
      <c r="E130" s="23"/>
      <c r="F130" s="2"/>
      <c r="G130" s="2"/>
      <c r="H130" s="23"/>
      <c r="I130" s="2"/>
      <c r="J130" s="23"/>
      <c r="M130" s="23"/>
    </row>
    <row r="131" ht="21.75" customHeight="1">
      <c r="B131" s="23"/>
      <c r="D131" s="2"/>
      <c r="E131" s="23"/>
      <c r="F131" s="2"/>
      <c r="G131" s="2"/>
      <c r="H131" s="23"/>
      <c r="I131" s="2"/>
      <c r="J131" s="23"/>
      <c r="M131" s="23"/>
    </row>
    <row r="132" ht="21.75" customHeight="1">
      <c r="B132" s="23"/>
      <c r="D132" s="2"/>
      <c r="E132" s="23"/>
      <c r="F132" s="2"/>
      <c r="G132" s="2"/>
      <c r="H132" s="23"/>
      <c r="I132" s="2"/>
      <c r="J132" s="23"/>
      <c r="M132" s="23"/>
    </row>
    <row r="133" ht="21.75" customHeight="1">
      <c r="B133" s="23"/>
      <c r="D133" s="2"/>
      <c r="E133" s="23"/>
      <c r="F133" s="2"/>
      <c r="G133" s="2"/>
      <c r="H133" s="23"/>
      <c r="I133" s="2"/>
      <c r="J133" s="23"/>
      <c r="M133" s="23"/>
    </row>
    <row r="134" ht="21.75" customHeight="1">
      <c r="B134" s="23"/>
      <c r="D134" s="2"/>
      <c r="E134" s="23"/>
      <c r="F134" s="2"/>
      <c r="G134" s="2"/>
      <c r="H134" s="23"/>
      <c r="I134" s="2"/>
      <c r="J134" s="23"/>
      <c r="M134" s="23"/>
    </row>
    <row r="135" ht="21.75" customHeight="1">
      <c r="B135" s="23"/>
      <c r="D135" s="2"/>
      <c r="E135" s="23"/>
      <c r="F135" s="2"/>
      <c r="G135" s="2"/>
      <c r="H135" s="23"/>
      <c r="I135" s="2"/>
      <c r="J135" s="23"/>
      <c r="M135" s="23"/>
    </row>
    <row r="136" ht="21.75" customHeight="1">
      <c r="B136" s="23"/>
      <c r="D136" s="2"/>
      <c r="E136" s="23"/>
      <c r="F136" s="2"/>
      <c r="G136" s="2"/>
      <c r="H136" s="23"/>
      <c r="I136" s="2"/>
      <c r="J136" s="23"/>
      <c r="M136" s="23"/>
    </row>
    <row r="137" ht="21.75" customHeight="1">
      <c r="B137" s="23"/>
      <c r="D137" s="2"/>
      <c r="E137" s="23"/>
      <c r="F137" s="2"/>
      <c r="G137" s="2"/>
      <c r="H137" s="23"/>
      <c r="I137" s="2"/>
      <c r="J137" s="23"/>
      <c r="M137" s="23"/>
    </row>
    <row r="138" ht="21.75" customHeight="1">
      <c r="B138" s="23"/>
      <c r="D138" s="2"/>
      <c r="E138" s="23"/>
      <c r="F138" s="2"/>
      <c r="G138" s="2"/>
      <c r="H138" s="23"/>
      <c r="I138" s="2"/>
      <c r="J138" s="23"/>
      <c r="M138" s="23"/>
    </row>
    <row r="139" ht="21.75" customHeight="1">
      <c r="B139" s="23"/>
      <c r="D139" s="2"/>
      <c r="E139" s="23"/>
      <c r="F139" s="2"/>
      <c r="G139" s="2"/>
      <c r="H139" s="23"/>
      <c r="I139" s="2"/>
      <c r="J139" s="23"/>
      <c r="M139" s="23"/>
    </row>
    <row r="140" ht="21.75" customHeight="1">
      <c r="B140" s="23"/>
      <c r="D140" s="2"/>
      <c r="E140" s="23"/>
      <c r="F140" s="2"/>
      <c r="G140" s="2"/>
      <c r="H140" s="23"/>
      <c r="I140" s="2"/>
      <c r="J140" s="23"/>
      <c r="M140" s="23"/>
    </row>
    <row r="141" ht="21.75" customHeight="1">
      <c r="B141" s="23"/>
      <c r="D141" s="2"/>
      <c r="E141" s="23"/>
      <c r="F141" s="2"/>
      <c r="G141" s="2"/>
      <c r="H141" s="23"/>
      <c r="I141" s="2"/>
      <c r="J141" s="23"/>
      <c r="M141" s="23"/>
    </row>
    <row r="142" ht="21.75" customHeight="1">
      <c r="B142" s="23"/>
      <c r="D142" s="2"/>
      <c r="E142" s="23"/>
      <c r="F142" s="2"/>
      <c r="G142" s="2"/>
      <c r="H142" s="23"/>
      <c r="I142" s="2"/>
      <c r="J142" s="23"/>
      <c r="M142" s="23"/>
    </row>
    <row r="143" ht="21.75" customHeight="1">
      <c r="B143" s="23"/>
      <c r="D143" s="2"/>
      <c r="E143" s="23"/>
      <c r="F143" s="2"/>
      <c r="G143" s="2"/>
      <c r="H143" s="23"/>
      <c r="I143" s="2"/>
      <c r="J143" s="23"/>
      <c r="M143" s="23"/>
    </row>
    <row r="144" ht="21.75" customHeight="1">
      <c r="B144" s="23"/>
      <c r="D144" s="2"/>
      <c r="E144" s="23"/>
      <c r="F144" s="2"/>
      <c r="G144" s="2"/>
      <c r="H144" s="23"/>
      <c r="I144" s="2"/>
      <c r="J144" s="23"/>
      <c r="M144" s="23"/>
    </row>
    <row r="145" ht="21.75" customHeight="1">
      <c r="B145" s="23"/>
      <c r="D145" s="2"/>
      <c r="E145" s="23"/>
      <c r="F145" s="2"/>
      <c r="G145" s="2"/>
      <c r="H145" s="23"/>
      <c r="I145" s="2"/>
      <c r="J145" s="23"/>
      <c r="M145" s="23"/>
    </row>
    <row r="146" ht="21.75" customHeight="1">
      <c r="B146" s="23"/>
      <c r="D146" s="2"/>
      <c r="E146" s="23"/>
      <c r="F146" s="2"/>
      <c r="G146" s="2"/>
      <c r="H146" s="23"/>
      <c r="I146" s="2"/>
      <c r="J146" s="23"/>
      <c r="M146" s="23"/>
    </row>
    <row r="147" ht="21.75" customHeight="1">
      <c r="B147" s="23"/>
      <c r="D147" s="2"/>
      <c r="E147" s="23"/>
      <c r="F147" s="2"/>
      <c r="G147" s="2"/>
      <c r="H147" s="23"/>
      <c r="I147" s="2"/>
      <c r="J147" s="23"/>
      <c r="M147" s="23"/>
    </row>
    <row r="148" ht="21.75" customHeight="1">
      <c r="B148" s="23"/>
      <c r="D148" s="2"/>
      <c r="E148" s="23"/>
      <c r="F148" s="2"/>
      <c r="G148" s="2"/>
      <c r="H148" s="23"/>
      <c r="I148" s="2"/>
      <c r="J148" s="23"/>
      <c r="M148" s="23"/>
    </row>
    <row r="149" ht="21.75" customHeight="1">
      <c r="B149" s="23"/>
      <c r="D149" s="2"/>
      <c r="E149" s="23"/>
      <c r="F149" s="2"/>
      <c r="G149" s="2"/>
      <c r="H149" s="23"/>
      <c r="I149" s="2"/>
      <c r="J149" s="23"/>
      <c r="M149" s="23"/>
    </row>
    <row r="150" ht="21.75" customHeight="1">
      <c r="B150" s="23"/>
      <c r="D150" s="2"/>
      <c r="E150" s="23"/>
      <c r="F150" s="2"/>
      <c r="G150" s="2"/>
      <c r="H150" s="23"/>
      <c r="I150" s="2"/>
      <c r="J150" s="23"/>
      <c r="M150" s="23"/>
    </row>
    <row r="151" ht="21.75" customHeight="1">
      <c r="B151" s="23"/>
      <c r="D151" s="2"/>
      <c r="E151" s="23"/>
      <c r="F151" s="2"/>
      <c r="G151" s="2"/>
      <c r="H151" s="23"/>
      <c r="I151" s="2"/>
      <c r="J151" s="23"/>
      <c r="M151" s="23"/>
    </row>
    <row r="152" ht="21.75" customHeight="1">
      <c r="B152" s="23"/>
      <c r="D152" s="2"/>
      <c r="E152" s="23"/>
      <c r="F152" s="2"/>
      <c r="G152" s="2"/>
      <c r="H152" s="23"/>
      <c r="I152" s="2"/>
      <c r="J152" s="23"/>
      <c r="M152" s="23"/>
    </row>
    <row r="153" ht="21.75" customHeight="1">
      <c r="B153" s="23"/>
      <c r="D153" s="2"/>
      <c r="E153" s="23"/>
      <c r="F153" s="2"/>
      <c r="G153" s="2"/>
      <c r="H153" s="23"/>
      <c r="I153" s="2"/>
      <c r="J153" s="23"/>
      <c r="M153" s="23"/>
    </row>
    <row r="154" ht="21.75" customHeight="1">
      <c r="B154" s="23"/>
      <c r="D154" s="2"/>
      <c r="E154" s="23"/>
      <c r="F154" s="2"/>
      <c r="G154" s="2"/>
      <c r="H154" s="23"/>
      <c r="I154" s="2"/>
      <c r="J154" s="23"/>
      <c r="M154" s="23"/>
    </row>
    <row r="155" ht="21.75" customHeight="1">
      <c r="B155" s="23"/>
      <c r="D155" s="2"/>
      <c r="E155" s="23"/>
      <c r="F155" s="2"/>
      <c r="G155" s="2"/>
      <c r="H155" s="23"/>
      <c r="I155" s="2"/>
      <c r="J155" s="23"/>
      <c r="M155" s="23"/>
    </row>
    <row r="156" ht="21.75" customHeight="1">
      <c r="B156" s="23"/>
      <c r="D156" s="2"/>
      <c r="E156" s="23"/>
      <c r="F156" s="2"/>
      <c r="G156" s="2"/>
      <c r="H156" s="23"/>
      <c r="I156" s="2"/>
      <c r="J156" s="23"/>
      <c r="M156" s="23"/>
    </row>
    <row r="157" ht="21.75" customHeight="1">
      <c r="B157" s="23"/>
      <c r="D157" s="2"/>
      <c r="E157" s="23"/>
      <c r="F157" s="2"/>
      <c r="G157" s="2"/>
      <c r="H157" s="23"/>
      <c r="I157" s="2"/>
      <c r="J157" s="23"/>
      <c r="M157" s="23"/>
    </row>
    <row r="158" ht="21.75" customHeight="1">
      <c r="B158" s="23"/>
      <c r="D158" s="2"/>
      <c r="E158" s="23"/>
      <c r="F158" s="2"/>
      <c r="G158" s="2"/>
      <c r="H158" s="23"/>
      <c r="I158" s="2"/>
      <c r="J158" s="23"/>
      <c r="M158" s="23"/>
    </row>
    <row r="159" ht="21.75" customHeight="1">
      <c r="B159" s="23"/>
      <c r="D159" s="2"/>
      <c r="E159" s="23"/>
      <c r="F159" s="2"/>
      <c r="G159" s="2"/>
      <c r="H159" s="23"/>
      <c r="I159" s="2"/>
      <c r="J159" s="23"/>
      <c r="M159" s="23"/>
    </row>
    <row r="160" ht="21.75" customHeight="1">
      <c r="B160" s="23"/>
      <c r="D160" s="2"/>
      <c r="E160" s="23"/>
      <c r="F160" s="2"/>
      <c r="G160" s="2"/>
      <c r="H160" s="23"/>
      <c r="I160" s="2"/>
      <c r="J160" s="23"/>
      <c r="M160" s="23"/>
    </row>
    <row r="161" ht="21.75" customHeight="1">
      <c r="B161" s="23"/>
      <c r="D161" s="2"/>
      <c r="E161" s="23"/>
      <c r="F161" s="2"/>
      <c r="G161" s="2"/>
      <c r="H161" s="23"/>
      <c r="I161" s="2"/>
      <c r="J161" s="23"/>
      <c r="M161" s="23"/>
    </row>
    <row r="162" ht="21.75" customHeight="1">
      <c r="B162" s="23"/>
      <c r="D162" s="2"/>
      <c r="E162" s="23"/>
      <c r="F162" s="2"/>
      <c r="G162" s="2"/>
      <c r="H162" s="23"/>
      <c r="I162" s="2"/>
      <c r="J162" s="23"/>
      <c r="M162" s="23"/>
    </row>
    <row r="163" ht="21.75" customHeight="1">
      <c r="B163" s="23"/>
      <c r="D163" s="2"/>
      <c r="E163" s="23"/>
      <c r="F163" s="2"/>
      <c r="G163" s="2"/>
      <c r="H163" s="23"/>
      <c r="I163" s="2"/>
      <c r="J163" s="23"/>
      <c r="M163" s="23"/>
    </row>
    <row r="164" ht="21.75" customHeight="1">
      <c r="B164" s="23"/>
      <c r="D164" s="2"/>
      <c r="E164" s="23"/>
      <c r="F164" s="2"/>
      <c r="G164" s="2"/>
      <c r="H164" s="23"/>
      <c r="I164" s="2"/>
      <c r="J164" s="23"/>
      <c r="M164" s="23"/>
    </row>
    <row r="165" ht="21.75" customHeight="1">
      <c r="B165" s="23"/>
      <c r="D165" s="2"/>
      <c r="E165" s="23"/>
      <c r="F165" s="2"/>
      <c r="G165" s="2"/>
      <c r="H165" s="23"/>
      <c r="I165" s="2"/>
      <c r="J165" s="23"/>
      <c r="M165" s="23"/>
    </row>
    <row r="166" ht="21.75" customHeight="1">
      <c r="B166" s="23"/>
      <c r="D166" s="2"/>
      <c r="E166" s="23"/>
      <c r="F166" s="2"/>
      <c r="G166" s="2"/>
      <c r="H166" s="23"/>
      <c r="I166" s="2"/>
      <c r="J166" s="23"/>
      <c r="M166" s="23"/>
    </row>
    <row r="167" ht="21.75" customHeight="1">
      <c r="B167" s="23"/>
      <c r="D167" s="2"/>
      <c r="E167" s="23"/>
      <c r="F167" s="2"/>
      <c r="G167" s="2"/>
      <c r="H167" s="23"/>
      <c r="I167" s="2"/>
      <c r="J167" s="23"/>
      <c r="M167" s="23"/>
    </row>
    <row r="168" ht="21.75" customHeight="1">
      <c r="B168" s="23"/>
      <c r="D168" s="2"/>
      <c r="E168" s="23"/>
      <c r="F168" s="2"/>
      <c r="G168" s="2"/>
      <c r="H168" s="23"/>
      <c r="I168" s="2"/>
      <c r="J168" s="23"/>
      <c r="M168" s="23"/>
    </row>
    <row r="169" ht="21.75" customHeight="1">
      <c r="B169" s="23"/>
      <c r="D169" s="2"/>
      <c r="E169" s="23"/>
      <c r="F169" s="2"/>
      <c r="G169" s="2"/>
      <c r="H169" s="23"/>
      <c r="I169" s="2"/>
      <c r="J169" s="23"/>
      <c r="M169" s="23"/>
    </row>
    <row r="170" ht="21.75" customHeight="1">
      <c r="B170" s="23"/>
      <c r="D170" s="2"/>
      <c r="E170" s="23"/>
      <c r="F170" s="2"/>
      <c r="G170" s="2"/>
      <c r="H170" s="23"/>
      <c r="I170" s="2"/>
      <c r="J170" s="23"/>
      <c r="M170" s="23"/>
    </row>
    <row r="171" ht="21.75" customHeight="1">
      <c r="B171" s="23"/>
      <c r="D171" s="2"/>
      <c r="E171" s="23"/>
      <c r="F171" s="2"/>
      <c r="G171" s="2"/>
      <c r="H171" s="23"/>
      <c r="I171" s="2"/>
      <c r="J171" s="23"/>
      <c r="M171" s="23"/>
    </row>
    <row r="172" ht="21.75" customHeight="1">
      <c r="B172" s="23"/>
      <c r="D172" s="2"/>
      <c r="E172" s="23"/>
      <c r="F172" s="2"/>
      <c r="G172" s="2"/>
      <c r="H172" s="23"/>
      <c r="I172" s="2"/>
      <c r="J172" s="23"/>
      <c r="M172" s="23"/>
    </row>
    <row r="173" ht="21.75" customHeight="1">
      <c r="B173" s="23"/>
      <c r="D173" s="2"/>
      <c r="E173" s="23"/>
      <c r="F173" s="2"/>
      <c r="G173" s="2"/>
      <c r="H173" s="23"/>
      <c r="I173" s="2"/>
      <c r="J173" s="23"/>
      <c r="M173" s="23"/>
    </row>
    <row r="174" ht="21.75" customHeight="1">
      <c r="B174" s="23"/>
      <c r="D174" s="2"/>
      <c r="E174" s="23"/>
      <c r="F174" s="2"/>
      <c r="G174" s="2"/>
      <c r="H174" s="23"/>
      <c r="I174" s="2"/>
      <c r="J174" s="23"/>
      <c r="M174" s="23"/>
    </row>
    <row r="175" ht="21.75" customHeight="1">
      <c r="B175" s="23"/>
      <c r="D175" s="2"/>
      <c r="E175" s="23"/>
      <c r="F175" s="2"/>
      <c r="G175" s="2"/>
      <c r="H175" s="23"/>
      <c r="I175" s="2"/>
      <c r="J175" s="23"/>
      <c r="M175" s="23"/>
    </row>
    <row r="176" ht="21.75" customHeight="1">
      <c r="B176" s="23"/>
      <c r="D176" s="2"/>
      <c r="E176" s="23"/>
      <c r="F176" s="2"/>
      <c r="G176" s="2"/>
      <c r="H176" s="23"/>
      <c r="I176" s="2"/>
      <c r="J176" s="23"/>
      <c r="M176" s="23"/>
    </row>
    <row r="177" ht="21.75" customHeight="1">
      <c r="B177" s="23"/>
      <c r="D177" s="2"/>
      <c r="E177" s="23"/>
      <c r="F177" s="2"/>
      <c r="G177" s="2"/>
      <c r="H177" s="23"/>
      <c r="I177" s="2"/>
      <c r="J177" s="23"/>
      <c r="M177" s="23"/>
    </row>
    <row r="178" ht="21.75" customHeight="1">
      <c r="B178" s="23"/>
      <c r="D178" s="2"/>
      <c r="E178" s="23"/>
      <c r="F178" s="2"/>
      <c r="G178" s="2"/>
      <c r="H178" s="23"/>
      <c r="I178" s="2"/>
      <c r="J178" s="23"/>
      <c r="M178" s="23"/>
    </row>
    <row r="179" ht="21.75" customHeight="1">
      <c r="B179" s="23"/>
      <c r="D179" s="2"/>
      <c r="E179" s="23"/>
      <c r="F179" s="2"/>
      <c r="G179" s="2"/>
      <c r="H179" s="23"/>
      <c r="I179" s="2"/>
      <c r="J179" s="23"/>
      <c r="M179" s="23"/>
    </row>
    <row r="180" ht="21.75" customHeight="1">
      <c r="B180" s="23"/>
      <c r="D180" s="2"/>
      <c r="E180" s="23"/>
      <c r="F180" s="2"/>
      <c r="G180" s="2"/>
      <c r="H180" s="23"/>
      <c r="I180" s="2"/>
      <c r="J180" s="23"/>
      <c r="M180" s="23"/>
    </row>
    <row r="181" ht="21.75" customHeight="1">
      <c r="B181" s="23"/>
      <c r="D181" s="2"/>
      <c r="E181" s="23"/>
      <c r="F181" s="2"/>
      <c r="G181" s="2"/>
      <c r="H181" s="23"/>
      <c r="I181" s="2"/>
      <c r="J181" s="23"/>
      <c r="M181" s="23"/>
    </row>
    <row r="182" ht="21.75" customHeight="1">
      <c r="B182" s="23"/>
      <c r="D182" s="2"/>
      <c r="E182" s="23"/>
      <c r="F182" s="2"/>
      <c r="G182" s="2"/>
      <c r="H182" s="23"/>
      <c r="I182" s="2"/>
      <c r="J182" s="23"/>
      <c r="M182" s="23"/>
    </row>
    <row r="183" ht="21.75" customHeight="1">
      <c r="B183" s="23"/>
      <c r="D183" s="2"/>
      <c r="E183" s="23"/>
      <c r="F183" s="2"/>
      <c r="G183" s="2"/>
      <c r="H183" s="23"/>
      <c r="I183" s="2"/>
      <c r="J183" s="23"/>
      <c r="M183" s="23"/>
    </row>
    <row r="184" ht="21.75" customHeight="1">
      <c r="B184" s="23"/>
      <c r="D184" s="2"/>
      <c r="E184" s="23"/>
      <c r="F184" s="2"/>
      <c r="G184" s="2"/>
      <c r="H184" s="23"/>
      <c r="I184" s="2"/>
      <c r="J184" s="23"/>
      <c r="M184" s="23"/>
    </row>
    <row r="185" ht="21.75" customHeight="1">
      <c r="B185" s="23"/>
      <c r="D185" s="2"/>
      <c r="E185" s="23"/>
      <c r="F185" s="2"/>
      <c r="G185" s="2"/>
      <c r="H185" s="23"/>
      <c r="I185" s="2"/>
      <c r="J185" s="23"/>
      <c r="M185" s="23"/>
    </row>
    <row r="186" ht="21.75" customHeight="1">
      <c r="B186" s="23"/>
      <c r="D186" s="2"/>
      <c r="E186" s="23"/>
      <c r="F186" s="2"/>
      <c r="G186" s="2"/>
      <c r="H186" s="23"/>
      <c r="I186" s="2"/>
      <c r="J186" s="23"/>
      <c r="M186" s="23"/>
    </row>
    <row r="187" ht="21.75" customHeight="1">
      <c r="B187" s="23"/>
      <c r="D187" s="2"/>
      <c r="E187" s="23"/>
      <c r="F187" s="2"/>
      <c r="G187" s="2"/>
      <c r="H187" s="23"/>
      <c r="I187" s="2"/>
      <c r="J187" s="23"/>
      <c r="M187" s="23"/>
    </row>
    <row r="188" ht="21.75" customHeight="1">
      <c r="B188" s="23"/>
      <c r="D188" s="2"/>
      <c r="E188" s="23"/>
      <c r="F188" s="2"/>
      <c r="G188" s="2"/>
      <c r="H188" s="23"/>
      <c r="I188" s="2"/>
      <c r="J188" s="23"/>
      <c r="M188" s="23"/>
    </row>
    <row r="189" ht="21.75" customHeight="1">
      <c r="B189" s="23"/>
      <c r="D189" s="2"/>
      <c r="E189" s="23"/>
      <c r="F189" s="2"/>
      <c r="G189" s="2"/>
      <c r="H189" s="23"/>
      <c r="I189" s="2"/>
      <c r="J189" s="23"/>
      <c r="M189" s="23"/>
    </row>
    <row r="190" ht="21.75" customHeight="1">
      <c r="B190" s="23"/>
      <c r="D190" s="2"/>
      <c r="E190" s="23"/>
      <c r="F190" s="2"/>
      <c r="G190" s="2"/>
      <c r="H190" s="23"/>
      <c r="I190" s="2"/>
      <c r="J190" s="23"/>
      <c r="M190" s="23"/>
    </row>
    <row r="191" ht="21.75" customHeight="1">
      <c r="B191" s="23"/>
      <c r="D191" s="2"/>
      <c r="E191" s="23"/>
      <c r="F191" s="2"/>
      <c r="G191" s="2"/>
      <c r="H191" s="23"/>
      <c r="I191" s="2"/>
      <c r="J191" s="23"/>
      <c r="M191" s="23"/>
    </row>
    <row r="192" ht="21.75" customHeight="1">
      <c r="B192" s="23"/>
      <c r="D192" s="2"/>
      <c r="E192" s="23"/>
      <c r="F192" s="2"/>
      <c r="G192" s="2"/>
      <c r="H192" s="23"/>
      <c r="I192" s="2"/>
      <c r="J192" s="23"/>
      <c r="M192" s="23"/>
    </row>
    <row r="193" ht="21.75" customHeight="1">
      <c r="B193" s="23"/>
      <c r="D193" s="2"/>
      <c r="E193" s="23"/>
      <c r="F193" s="2"/>
      <c r="G193" s="2"/>
      <c r="H193" s="23"/>
      <c r="I193" s="2"/>
      <c r="J193" s="23"/>
      <c r="M193" s="23"/>
    </row>
    <row r="194" ht="21.75" customHeight="1">
      <c r="B194" s="23"/>
      <c r="D194" s="2"/>
      <c r="E194" s="23"/>
      <c r="F194" s="2"/>
      <c r="G194" s="2"/>
      <c r="H194" s="23"/>
      <c r="I194" s="2"/>
      <c r="J194" s="23"/>
      <c r="M194" s="23"/>
    </row>
    <row r="195" ht="21.75" customHeight="1">
      <c r="B195" s="23"/>
      <c r="D195" s="2"/>
      <c r="E195" s="23"/>
      <c r="F195" s="2"/>
      <c r="G195" s="2"/>
      <c r="H195" s="23"/>
      <c r="I195" s="2"/>
      <c r="J195" s="23"/>
      <c r="M195" s="23"/>
    </row>
    <row r="196" ht="21.75" customHeight="1">
      <c r="B196" s="23"/>
      <c r="D196" s="2"/>
      <c r="E196" s="23"/>
      <c r="F196" s="2"/>
      <c r="G196" s="2"/>
      <c r="H196" s="23"/>
      <c r="I196" s="2"/>
      <c r="J196" s="23"/>
      <c r="M196" s="23"/>
    </row>
    <row r="197" ht="21.75" customHeight="1">
      <c r="B197" s="23"/>
      <c r="D197" s="2"/>
      <c r="E197" s="23"/>
      <c r="F197" s="2"/>
      <c r="G197" s="2"/>
      <c r="H197" s="23"/>
      <c r="I197" s="2"/>
      <c r="J197" s="23"/>
      <c r="M197" s="23"/>
    </row>
    <row r="198" ht="21.75" customHeight="1">
      <c r="B198" s="23"/>
      <c r="D198" s="2"/>
      <c r="E198" s="23"/>
      <c r="F198" s="2"/>
      <c r="G198" s="2"/>
      <c r="H198" s="23"/>
      <c r="I198" s="2"/>
      <c r="J198" s="23"/>
      <c r="M198" s="23"/>
    </row>
    <row r="199" ht="21.75" customHeight="1">
      <c r="B199" s="23"/>
      <c r="D199" s="2"/>
      <c r="E199" s="23"/>
      <c r="F199" s="2"/>
      <c r="G199" s="2"/>
      <c r="H199" s="23"/>
      <c r="I199" s="2"/>
      <c r="J199" s="23"/>
      <c r="M199" s="23"/>
    </row>
    <row r="200" ht="21.75" customHeight="1">
      <c r="B200" s="23"/>
      <c r="D200" s="2"/>
      <c r="E200" s="23"/>
      <c r="F200" s="2"/>
      <c r="G200" s="2"/>
      <c r="H200" s="23"/>
      <c r="I200" s="2"/>
      <c r="J200" s="23"/>
      <c r="M200" s="23"/>
    </row>
    <row r="201" ht="21.75" customHeight="1">
      <c r="B201" s="23"/>
      <c r="D201" s="2"/>
      <c r="E201" s="23"/>
      <c r="F201" s="2"/>
      <c r="G201" s="2"/>
      <c r="H201" s="23"/>
      <c r="I201" s="2"/>
      <c r="J201" s="23"/>
      <c r="M201" s="23"/>
    </row>
    <row r="202" ht="21.75" customHeight="1">
      <c r="B202" s="23"/>
      <c r="D202" s="2"/>
      <c r="E202" s="23"/>
      <c r="F202" s="2"/>
      <c r="G202" s="2"/>
      <c r="H202" s="23"/>
      <c r="I202" s="2"/>
      <c r="J202" s="23"/>
      <c r="M202" s="23"/>
    </row>
    <row r="203" ht="21.75" customHeight="1">
      <c r="B203" s="23"/>
      <c r="D203" s="2"/>
      <c r="E203" s="23"/>
      <c r="F203" s="2"/>
      <c r="G203" s="2"/>
      <c r="H203" s="23"/>
      <c r="I203" s="2"/>
      <c r="J203" s="23"/>
      <c r="M203" s="23"/>
    </row>
    <row r="204" ht="21.75" customHeight="1">
      <c r="B204" s="23"/>
      <c r="D204" s="2"/>
      <c r="E204" s="23"/>
      <c r="F204" s="2"/>
      <c r="G204" s="2"/>
      <c r="H204" s="23"/>
      <c r="I204" s="2"/>
      <c r="J204" s="23"/>
      <c r="M204" s="23"/>
    </row>
    <row r="205" ht="21.75" customHeight="1">
      <c r="B205" s="23"/>
      <c r="D205" s="2"/>
      <c r="E205" s="23"/>
      <c r="F205" s="2"/>
      <c r="G205" s="2"/>
      <c r="H205" s="23"/>
      <c r="I205" s="2"/>
      <c r="J205" s="23"/>
      <c r="M205" s="23"/>
    </row>
    <row r="206" ht="21.75" customHeight="1">
      <c r="B206" s="23"/>
      <c r="D206" s="2"/>
      <c r="E206" s="23"/>
      <c r="F206" s="2"/>
      <c r="G206" s="2"/>
      <c r="H206" s="23"/>
      <c r="I206" s="2"/>
      <c r="J206" s="23"/>
      <c r="M206" s="23"/>
    </row>
    <row r="207" ht="21.75" customHeight="1">
      <c r="B207" s="23"/>
      <c r="D207" s="2"/>
      <c r="E207" s="23"/>
      <c r="F207" s="2"/>
      <c r="G207" s="2"/>
      <c r="H207" s="23"/>
      <c r="I207" s="2"/>
      <c r="J207" s="23"/>
      <c r="M207" s="23"/>
    </row>
    <row r="208" ht="21.75" customHeight="1">
      <c r="B208" s="23"/>
      <c r="D208" s="2"/>
      <c r="E208" s="23"/>
      <c r="F208" s="2"/>
      <c r="G208" s="2"/>
      <c r="H208" s="23"/>
      <c r="I208" s="2"/>
      <c r="J208" s="23"/>
      <c r="M208" s="23"/>
    </row>
    <row r="209" ht="21.75" customHeight="1">
      <c r="B209" s="23"/>
      <c r="D209" s="2"/>
      <c r="E209" s="23"/>
      <c r="F209" s="2"/>
      <c r="G209" s="2"/>
      <c r="H209" s="23"/>
      <c r="I209" s="2"/>
      <c r="J209" s="23"/>
      <c r="M209" s="23"/>
    </row>
    <row r="210" ht="21.75" customHeight="1">
      <c r="B210" s="23"/>
      <c r="D210" s="2"/>
      <c r="E210" s="23"/>
      <c r="F210" s="2"/>
      <c r="G210" s="2"/>
      <c r="H210" s="23"/>
      <c r="I210" s="2"/>
      <c r="J210" s="23"/>
      <c r="M210" s="23"/>
    </row>
    <row r="211" ht="21.75" customHeight="1">
      <c r="B211" s="23"/>
      <c r="D211" s="2"/>
      <c r="E211" s="23"/>
      <c r="F211" s="2"/>
      <c r="G211" s="2"/>
      <c r="H211" s="23"/>
      <c r="I211" s="2"/>
      <c r="J211" s="23"/>
      <c r="M211" s="23"/>
    </row>
    <row r="212" ht="21.75" customHeight="1">
      <c r="B212" s="23"/>
      <c r="D212" s="2"/>
      <c r="E212" s="23"/>
      <c r="F212" s="2"/>
      <c r="G212" s="2"/>
      <c r="H212" s="23"/>
      <c r="I212" s="2"/>
      <c r="J212" s="23"/>
      <c r="M212" s="23"/>
    </row>
    <row r="213" ht="21.75" customHeight="1">
      <c r="B213" s="23"/>
      <c r="D213" s="2"/>
      <c r="E213" s="23"/>
      <c r="F213" s="2"/>
      <c r="G213" s="2"/>
      <c r="H213" s="23"/>
      <c r="I213" s="2"/>
      <c r="J213" s="23"/>
      <c r="M213" s="23"/>
    </row>
    <row r="214" ht="21.75" customHeight="1">
      <c r="B214" s="23"/>
      <c r="D214" s="2"/>
      <c r="E214" s="23"/>
      <c r="F214" s="2"/>
      <c r="G214" s="2"/>
      <c r="H214" s="23"/>
      <c r="I214" s="2"/>
      <c r="J214" s="23"/>
      <c r="M214" s="23"/>
    </row>
    <row r="215" ht="21.75" customHeight="1">
      <c r="B215" s="23"/>
      <c r="D215" s="2"/>
      <c r="E215" s="23"/>
      <c r="F215" s="2"/>
      <c r="G215" s="2"/>
      <c r="H215" s="23"/>
      <c r="I215" s="2"/>
      <c r="J215" s="23"/>
      <c r="M215" s="23"/>
    </row>
    <row r="216" ht="21.75" customHeight="1">
      <c r="B216" s="23"/>
      <c r="D216" s="2"/>
      <c r="E216" s="23"/>
      <c r="F216" s="2"/>
      <c r="G216" s="2"/>
      <c r="H216" s="23"/>
      <c r="I216" s="2"/>
      <c r="J216" s="23"/>
      <c r="M216" s="23"/>
    </row>
    <row r="217" ht="21.75" customHeight="1">
      <c r="B217" s="23"/>
      <c r="D217" s="2"/>
      <c r="E217" s="23"/>
      <c r="F217" s="2"/>
      <c r="G217" s="2"/>
      <c r="H217" s="23"/>
      <c r="I217" s="2"/>
      <c r="J217" s="23"/>
      <c r="M217" s="23"/>
    </row>
    <row r="218" ht="21.75" customHeight="1">
      <c r="B218" s="23"/>
      <c r="D218" s="2"/>
      <c r="E218" s="23"/>
      <c r="F218" s="2"/>
      <c r="G218" s="2"/>
      <c r="H218" s="23"/>
      <c r="I218" s="2"/>
      <c r="J218" s="23"/>
      <c r="M218" s="23"/>
    </row>
    <row r="219" ht="21.75" customHeight="1">
      <c r="B219" s="23"/>
      <c r="D219" s="2"/>
      <c r="E219" s="23"/>
      <c r="F219" s="2"/>
      <c r="G219" s="2"/>
      <c r="H219" s="23"/>
      <c r="I219" s="2"/>
      <c r="J219" s="23"/>
      <c r="M219" s="23"/>
    </row>
    <row r="220" ht="21.75" customHeight="1">
      <c r="B220" s="23"/>
      <c r="D220" s="2"/>
      <c r="E220" s="23"/>
      <c r="F220" s="2"/>
      <c r="G220" s="2"/>
      <c r="H220" s="23"/>
      <c r="I220" s="2"/>
      <c r="J220" s="23"/>
      <c r="M220" s="23"/>
    </row>
    <row r="221" ht="15.75" customHeight="1">
      <c r="D221" s="16"/>
      <c r="F221" s="16"/>
      <c r="G221" s="16"/>
      <c r="I221" s="16"/>
    </row>
    <row r="222" ht="15.75" customHeight="1">
      <c r="D222" s="16"/>
      <c r="F222" s="16"/>
      <c r="G222" s="16"/>
      <c r="I222" s="16"/>
    </row>
    <row r="223" ht="15.75" customHeight="1">
      <c r="D223" s="16"/>
      <c r="F223" s="16"/>
      <c r="G223" s="16"/>
      <c r="I223" s="16"/>
    </row>
    <row r="224" ht="15.75" customHeight="1">
      <c r="D224" s="16"/>
      <c r="F224" s="16"/>
      <c r="G224" s="16"/>
      <c r="I224" s="16"/>
    </row>
    <row r="225" ht="15.75" customHeight="1">
      <c r="D225" s="16"/>
      <c r="F225" s="16"/>
      <c r="G225" s="16"/>
      <c r="I225" s="16"/>
    </row>
    <row r="226" ht="15.75" customHeight="1">
      <c r="D226" s="16"/>
      <c r="F226" s="16"/>
      <c r="G226" s="16"/>
      <c r="I226" s="16"/>
    </row>
    <row r="227" ht="15.75" customHeight="1">
      <c r="D227" s="16"/>
      <c r="F227" s="16"/>
      <c r="G227" s="16"/>
      <c r="I227" s="16"/>
    </row>
    <row r="228" ht="15.75" customHeight="1">
      <c r="D228" s="16"/>
      <c r="F228" s="16"/>
      <c r="G228" s="16"/>
      <c r="I228" s="16"/>
    </row>
    <row r="229" ht="15.75" customHeight="1">
      <c r="D229" s="16"/>
      <c r="F229" s="16"/>
      <c r="G229" s="16"/>
      <c r="I229" s="16"/>
    </row>
    <row r="230" ht="15.75" customHeight="1">
      <c r="D230" s="16"/>
      <c r="F230" s="16"/>
      <c r="G230" s="16"/>
      <c r="I230" s="16"/>
    </row>
    <row r="231" ht="15.75" customHeight="1">
      <c r="D231" s="16"/>
      <c r="F231" s="16"/>
      <c r="G231" s="16"/>
      <c r="I231" s="16"/>
    </row>
    <row r="232" ht="15.75" customHeight="1">
      <c r="D232" s="16"/>
      <c r="F232" s="16"/>
      <c r="G232" s="16"/>
      <c r="I232" s="16"/>
    </row>
    <row r="233" ht="15.75" customHeight="1">
      <c r="D233" s="16"/>
      <c r="F233" s="16"/>
      <c r="G233" s="16"/>
      <c r="I233" s="16"/>
    </row>
    <row r="234" ht="15.75" customHeight="1">
      <c r="D234" s="16"/>
      <c r="F234" s="16"/>
      <c r="G234" s="16"/>
      <c r="I234" s="16"/>
    </row>
    <row r="235" ht="15.75" customHeight="1">
      <c r="D235" s="16"/>
      <c r="F235" s="16"/>
      <c r="G235" s="16"/>
      <c r="I235" s="16"/>
    </row>
    <row r="236" ht="15.75" customHeight="1">
      <c r="D236" s="16"/>
      <c r="F236" s="16"/>
      <c r="G236" s="16"/>
      <c r="I236" s="16"/>
    </row>
    <row r="237" ht="15.75" customHeight="1">
      <c r="D237" s="16"/>
      <c r="F237" s="16"/>
      <c r="G237" s="16"/>
      <c r="I237" s="16"/>
    </row>
    <row r="238" ht="15.75" customHeight="1">
      <c r="D238" s="16"/>
      <c r="F238" s="16"/>
      <c r="G238" s="16"/>
      <c r="I238" s="16"/>
    </row>
    <row r="239" ht="15.75" customHeight="1">
      <c r="D239" s="16"/>
      <c r="F239" s="16"/>
      <c r="G239" s="16"/>
      <c r="I239" s="16"/>
    </row>
    <row r="240" ht="15.75" customHeight="1">
      <c r="D240" s="16"/>
      <c r="F240" s="16"/>
      <c r="G240" s="16"/>
      <c r="I240" s="16"/>
    </row>
    <row r="241" ht="15.75" customHeight="1">
      <c r="D241" s="16"/>
      <c r="F241" s="16"/>
      <c r="G241" s="16"/>
      <c r="I241" s="16"/>
    </row>
    <row r="242" ht="15.75" customHeight="1">
      <c r="D242" s="16"/>
      <c r="F242" s="16"/>
      <c r="G242" s="16"/>
      <c r="I242" s="16"/>
    </row>
    <row r="243" ht="15.75" customHeight="1">
      <c r="D243" s="16"/>
      <c r="F243" s="16"/>
      <c r="G243" s="16"/>
      <c r="I243" s="16"/>
    </row>
    <row r="244" ht="15.75" customHeight="1">
      <c r="D244" s="16"/>
      <c r="F244" s="16"/>
      <c r="G244" s="16"/>
      <c r="I244" s="16"/>
    </row>
    <row r="245" ht="15.75" customHeight="1">
      <c r="D245" s="16"/>
      <c r="F245" s="16"/>
      <c r="G245" s="16"/>
      <c r="I245" s="16"/>
    </row>
    <row r="246" ht="15.75" customHeight="1">
      <c r="D246" s="16"/>
      <c r="F246" s="16"/>
      <c r="G246" s="16"/>
      <c r="I246" s="16"/>
    </row>
    <row r="247" ht="15.75" customHeight="1">
      <c r="D247" s="16"/>
      <c r="F247" s="16"/>
      <c r="G247" s="16"/>
      <c r="I247" s="16"/>
    </row>
    <row r="248" ht="15.75" customHeight="1">
      <c r="D248" s="16"/>
      <c r="F248" s="16"/>
      <c r="G248" s="16"/>
      <c r="I248" s="16"/>
    </row>
    <row r="249" ht="15.75" customHeight="1">
      <c r="D249" s="16"/>
      <c r="F249" s="16"/>
      <c r="G249" s="16"/>
      <c r="I249" s="16"/>
    </row>
    <row r="250" ht="15.75" customHeight="1">
      <c r="D250" s="16"/>
      <c r="F250" s="16"/>
      <c r="G250" s="16"/>
      <c r="I250" s="16"/>
    </row>
    <row r="251" ht="15.75" customHeight="1">
      <c r="D251" s="16"/>
      <c r="F251" s="16"/>
      <c r="G251" s="16"/>
      <c r="I251" s="16"/>
    </row>
    <row r="252" ht="15.75" customHeight="1">
      <c r="D252" s="16"/>
      <c r="F252" s="16"/>
      <c r="G252" s="16"/>
      <c r="I252" s="16"/>
    </row>
    <row r="253" ht="15.75" customHeight="1">
      <c r="D253" s="16"/>
      <c r="F253" s="16"/>
      <c r="G253" s="16"/>
      <c r="I253" s="16"/>
    </row>
    <row r="254" ht="15.75" customHeight="1">
      <c r="D254" s="16"/>
      <c r="F254" s="16"/>
      <c r="G254" s="16"/>
      <c r="I254" s="16"/>
    </row>
    <row r="255" ht="15.75" customHeight="1">
      <c r="D255" s="16"/>
      <c r="F255" s="16"/>
      <c r="G255" s="16"/>
      <c r="I255" s="16"/>
    </row>
    <row r="256" ht="15.75" customHeight="1">
      <c r="D256" s="16"/>
      <c r="F256" s="16"/>
      <c r="G256" s="16"/>
      <c r="I256" s="16"/>
    </row>
    <row r="257" ht="15.75" customHeight="1">
      <c r="D257" s="16"/>
      <c r="F257" s="16"/>
      <c r="G257" s="16"/>
      <c r="I257" s="16"/>
    </row>
    <row r="258" ht="15.75" customHeight="1">
      <c r="D258" s="16"/>
      <c r="F258" s="16"/>
      <c r="G258" s="16"/>
      <c r="I258" s="16"/>
    </row>
    <row r="259" ht="15.75" customHeight="1">
      <c r="D259" s="16"/>
      <c r="F259" s="16"/>
      <c r="G259" s="16"/>
      <c r="I259" s="16"/>
    </row>
    <row r="260" ht="15.75" customHeight="1">
      <c r="D260" s="16"/>
      <c r="F260" s="16"/>
      <c r="G260" s="16"/>
      <c r="I260" s="16"/>
    </row>
    <row r="261" ht="15.75" customHeight="1">
      <c r="D261" s="16"/>
      <c r="F261" s="16"/>
      <c r="G261" s="16"/>
      <c r="I261" s="16"/>
    </row>
    <row r="262" ht="15.75" customHeight="1">
      <c r="D262" s="16"/>
      <c r="F262" s="16"/>
      <c r="G262" s="16"/>
      <c r="I262" s="16"/>
    </row>
    <row r="263" ht="15.75" customHeight="1">
      <c r="D263" s="16"/>
      <c r="F263" s="16"/>
      <c r="G263" s="16"/>
      <c r="I263" s="16"/>
    </row>
    <row r="264" ht="15.75" customHeight="1">
      <c r="D264" s="16"/>
      <c r="F264" s="16"/>
      <c r="G264" s="16"/>
      <c r="I264" s="16"/>
    </row>
    <row r="265" ht="15.75" customHeight="1">
      <c r="D265" s="16"/>
      <c r="F265" s="16"/>
      <c r="G265" s="16"/>
      <c r="I265" s="16"/>
    </row>
    <row r="266" ht="15.75" customHeight="1">
      <c r="D266" s="16"/>
      <c r="F266" s="16"/>
      <c r="G266" s="16"/>
      <c r="I266" s="16"/>
    </row>
    <row r="267" ht="15.75" customHeight="1">
      <c r="D267" s="16"/>
      <c r="F267" s="16"/>
      <c r="G267" s="16"/>
      <c r="I267" s="16"/>
    </row>
    <row r="268" ht="15.75" customHeight="1">
      <c r="D268" s="16"/>
      <c r="F268" s="16"/>
      <c r="G268" s="16"/>
      <c r="I268" s="16"/>
    </row>
    <row r="269" ht="15.75" customHeight="1">
      <c r="D269" s="16"/>
      <c r="F269" s="16"/>
      <c r="G269" s="16"/>
      <c r="I269" s="16"/>
    </row>
    <row r="270" ht="15.75" customHeight="1">
      <c r="D270" s="16"/>
      <c r="F270" s="16"/>
      <c r="G270" s="16"/>
      <c r="I270" s="16"/>
    </row>
    <row r="271" ht="15.75" customHeight="1">
      <c r="D271" s="16"/>
      <c r="F271" s="16"/>
      <c r="G271" s="16"/>
      <c r="I271" s="16"/>
    </row>
    <row r="272" ht="15.75" customHeight="1">
      <c r="D272" s="16"/>
      <c r="F272" s="16"/>
      <c r="G272" s="16"/>
      <c r="I272" s="16"/>
    </row>
    <row r="273" ht="15.75" customHeight="1">
      <c r="D273" s="16"/>
      <c r="F273" s="16"/>
      <c r="G273" s="16"/>
      <c r="I273" s="16"/>
    </row>
    <row r="274" ht="15.75" customHeight="1">
      <c r="D274" s="16"/>
      <c r="F274" s="16"/>
      <c r="G274" s="16"/>
      <c r="I274" s="16"/>
    </row>
    <row r="275" ht="15.75" customHeight="1">
      <c r="D275" s="16"/>
      <c r="F275" s="16"/>
      <c r="G275" s="16"/>
      <c r="I275" s="16"/>
    </row>
    <row r="276" ht="15.75" customHeight="1">
      <c r="D276" s="16"/>
      <c r="F276" s="16"/>
      <c r="G276" s="16"/>
      <c r="I276" s="16"/>
    </row>
    <row r="277" ht="15.75" customHeight="1">
      <c r="D277" s="16"/>
      <c r="F277" s="16"/>
      <c r="G277" s="16"/>
      <c r="I277" s="16"/>
    </row>
    <row r="278" ht="15.75" customHeight="1">
      <c r="D278" s="16"/>
      <c r="F278" s="16"/>
      <c r="G278" s="16"/>
      <c r="I278" s="16"/>
    </row>
    <row r="279" ht="15.75" customHeight="1">
      <c r="D279" s="16"/>
      <c r="F279" s="16"/>
      <c r="G279" s="16"/>
      <c r="I279" s="16"/>
    </row>
    <row r="280" ht="15.75" customHeight="1">
      <c r="D280" s="16"/>
      <c r="F280" s="16"/>
      <c r="G280" s="16"/>
      <c r="I280" s="16"/>
    </row>
    <row r="281" ht="15.75" customHeight="1">
      <c r="D281" s="16"/>
      <c r="F281" s="16"/>
      <c r="G281" s="16"/>
      <c r="I281" s="16"/>
    </row>
    <row r="282" ht="15.75" customHeight="1">
      <c r="D282" s="16"/>
      <c r="F282" s="16"/>
      <c r="G282" s="16"/>
      <c r="I282" s="16"/>
    </row>
    <row r="283" ht="15.75" customHeight="1">
      <c r="D283" s="16"/>
      <c r="F283" s="16"/>
      <c r="G283" s="16"/>
      <c r="I283" s="16"/>
    </row>
    <row r="284" ht="15.75" customHeight="1">
      <c r="D284" s="16"/>
      <c r="F284" s="16"/>
      <c r="G284" s="16"/>
      <c r="I284" s="16"/>
    </row>
    <row r="285" ht="15.75" customHeight="1">
      <c r="D285" s="16"/>
      <c r="F285" s="16"/>
      <c r="G285" s="16"/>
      <c r="I285" s="16"/>
    </row>
    <row r="286" ht="15.75" customHeight="1">
      <c r="D286" s="16"/>
      <c r="F286" s="16"/>
      <c r="G286" s="16"/>
      <c r="I286" s="16"/>
    </row>
    <row r="287" ht="15.75" customHeight="1">
      <c r="D287" s="16"/>
      <c r="F287" s="16"/>
      <c r="G287" s="16"/>
      <c r="I287" s="16"/>
    </row>
    <row r="288" ht="15.75" customHeight="1">
      <c r="D288" s="16"/>
      <c r="F288" s="16"/>
      <c r="G288" s="16"/>
      <c r="I288" s="16"/>
    </row>
    <row r="289" ht="15.75" customHeight="1">
      <c r="D289" s="16"/>
      <c r="F289" s="16"/>
      <c r="G289" s="16"/>
      <c r="I289" s="16"/>
    </row>
    <row r="290" ht="15.75" customHeight="1">
      <c r="D290" s="16"/>
      <c r="F290" s="16"/>
      <c r="G290" s="16"/>
      <c r="I290" s="16"/>
    </row>
    <row r="291" ht="15.75" customHeight="1">
      <c r="D291" s="16"/>
      <c r="F291" s="16"/>
      <c r="G291" s="16"/>
      <c r="I291" s="16"/>
    </row>
    <row r="292" ht="15.75" customHeight="1">
      <c r="D292" s="16"/>
      <c r="F292" s="16"/>
      <c r="G292" s="16"/>
      <c r="I292" s="16"/>
    </row>
    <row r="293" ht="15.75" customHeight="1">
      <c r="D293" s="16"/>
      <c r="F293" s="16"/>
      <c r="G293" s="16"/>
      <c r="I293" s="16"/>
    </row>
    <row r="294" ht="15.75" customHeight="1">
      <c r="D294" s="16"/>
      <c r="F294" s="16"/>
      <c r="G294" s="16"/>
      <c r="I294" s="16"/>
    </row>
    <row r="295" ht="15.75" customHeight="1">
      <c r="D295" s="16"/>
      <c r="F295" s="16"/>
      <c r="G295" s="16"/>
      <c r="I295" s="16"/>
    </row>
    <row r="296" ht="15.75" customHeight="1">
      <c r="D296" s="16"/>
      <c r="F296" s="16"/>
      <c r="G296" s="16"/>
      <c r="I296" s="16"/>
    </row>
    <row r="297" ht="15.75" customHeight="1">
      <c r="D297" s="16"/>
      <c r="F297" s="16"/>
      <c r="G297" s="16"/>
      <c r="I297" s="16"/>
    </row>
    <row r="298" ht="15.75" customHeight="1">
      <c r="D298" s="16"/>
      <c r="F298" s="16"/>
      <c r="G298" s="16"/>
      <c r="I298" s="16"/>
    </row>
    <row r="299" ht="15.75" customHeight="1">
      <c r="D299" s="16"/>
      <c r="F299" s="16"/>
      <c r="G299" s="16"/>
      <c r="I299" s="16"/>
    </row>
    <row r="300" ht="15.75" customHeight="1">
      <c r="D300" s="16"/>
      <c r="F300" s="16"/>
      <c r="G300" s="16"/>
      <c r="I300" s="16"/>
    </row>
    <row r="301" ht="15.75" customHeight="1">
      <c r="D301" s="16"/>
      <c r="F301" s="16"/>
      <c r="G301" s="16"/>
      <c r="I301" s="16"/>
    </row>
    <row r="302" ht="15.75" customHeight="1">
      <c r="D302" s="16"/>
      <c r="F302" s="16"/>
      <c r="G302" s="16"/>
      <c r="I302" s="16"/>
    </row>
    <row r="303" ht="15.75" customHeight="1">
      <c r="D303" s="16"/>
      <c r="F303" s="16"/>
      <c r="G303" s="16"/>
      <c r="I303" s="16"/>
    </row>
    <row r="304" ht="15.75" customHeight="1">
      <c r="D304" s="16"/>
      <c r="F304" s="16"/>
      <c r="G304" s="16"/>
      <c r="I304" s="16"/>
    </row>
    <row r="305" ht="15.75" customHeight="1">
      <c r="D305" s="16"/>
      <c r="F305" s="16"/>
      <c r="G305" s="16"/>
      <c r="I305" s="16"/>
    </row>
    <row r="306" ht="15.75" customHeight="1">
      <c r="D306" s="16"/>
      <c r="F306" s="16"/>
      <c r="G306" s="16"/>
      <c r="I306" s="16"/>
    </row>
    <row r="307" ht="15.75" customHeight="1">
      <c r="D307" s="16"/>
      <c r="F307" s="16"/>
      <c r="G307" s="16"/>
      <c r="I307" s="16"/>
    </row>
    <row r="308" ht="15.75" customHeight="1">
      <c r="D308" s="16"/>
      <c r="F308" s="16"/>
      <c r="G308" s="16"/>
      <c r="I308" s="16"/>
    </row>
    <row r="309" ht="15.75" customHeight="1">
      <c r="D309" s="16"/>
      <c r="F309" s="16"/>
      <c r="G309" s="16"/>
      <c r="I309" s="16"/>
    </row>
    <row r="310" ht="15.75" customHeight="1">
      <c r="D310" s="16"/>
      <c r="F310" s="16"/>
      <c r="G310" s="16"/>
      <c r="I310" s="16"/>
    </row>
    <row r="311" ht="15.75" customHeight="1">
      <c r="D311" s="16"/>
      <c r="F311" s="16"/>
      <c r="G311" s="16"/>
      <c r="I311" s="16"/>
    </row>
    <row r="312" ht="15.75" customHeight="1">
      <c r="D312" s="16"/>
      <c r="F312" s="16"/>
      <c r="G312" s="16"/>
      <c r="I312" s="16"/>
    </row>
    <row r="313" ht="15.75" customHeight="1">
      <c r="D313" s="16"/>
      <c r="F313" s="16"/>
      <c r="G313" s="16"/>
      <c r="I313" s="16"/>
    </row>
    <row r="314" ht="15.75" customHeight="1">
      <c r="D314" s="16"/>
      <c r="F314" s="16"/>
      <c r="G314" s="16"/>
      <c r="I314" s="16"/>
    </row>
    <row r="315" ht="15.75" customHeight="1">
      <c r="D315" s="16"/>
      <c r="F315" s="16"/>
      <c r="G315" s="16"/>
      <c r="I315" s="16"/>
    </row>
    <row r="316" ht="15.75" customHeight="1">
      <c r="D316" s="16"/>
      <c r="F316" s="16"/>
      <c r="G316" s="16"/>
      <c r="I316" s="16"/>
    </row>
    <row r="317" ht="15.75" customHeight="1">
      <c r="D317" s="16"/>
      <c r="F317" s="16"/>
      <c r="G317" s="16"/>
      <c r="I317" s="16"/>
    </row>
    <row r="318" ht="15.75" customHeight="1">
      <c r="D318" s="16"/>
      <c r="F318" s="16"/>
      <c r="G318" s="16"/>
      <c r="I318" s="16"/>
    </row>
    <row r="319" ht="15.75" customHeight="1">
      <c r="D319" s="16"/>
      <c r="F319" s="16"/>
      <c r="G319" s="16"/>
      <c r="I319" s="16"/>
    </row>
    <row r="320" ht="15.75" customHeight="1">
      <c r="D320" s="16"/>
      <c r="F320" s="16"/>
      <c r="G320" s="16"/>
      <c r="I320" s="16"/>
    </row>
    <row r="321" ht="15.75" customHeight="1">
      <c r="D321" s="16"/>
      <c r="F321" s="16"/>
      <c r="G321" s="16"/>
      <c r="I321" s="16"/>
    </row>
    <row r="322" ht="15.75" customHeight="1">
      <c r="D322" s="16"/>
      <c r="F322" s="16"/>
      <c r="G322" s="16"/>
      <c r="I322" s="16"/>
    </row>
    <row r="323" ht="15.75" customHeight="1">
      <c r="D323" s="16"/>
      <c r="F323" s="16"/>
      <c r="G323" s="16"/>
      <c r="I323" s="16"/>
    </row>
    <row r="324" ht="15.75" customHeight="1">
      <c r="D324" s="16"/>
      <c r="F324" s="16"/>
      <c r="G324" s="16"/>
      <c r="I324" s="16"/>
    </row>
    <row r="325" ht="15.75" customHeight="1">
      <c r="D325" s="16"/>
      <c r="F325" s="16"/>
      <c r="G325" s="16"/>
      <c r="I325" s="16"/>
    </row>
    <row r="326" ht="15.75" customHeight="1">
      <c r="D326" s="16"/>
      <c r="F326" s="16"/>
      <c r="G326" s="16"/>
      <c r="I326" s="16"/>
    </row>
    <row r="327" ht="15.75" customHeight="1">
      <c r="D327" s="16"/>
      <c r="F327" s="16"/>
      <c r="G327" s="16"/>
      <c r="I327" s="16"/>
    </row>
    <row r="328" ht="15.75" customHeight="1">
      <c r="D328" s="16"/>
      <c r="F328" s="16"/>
      <c r="G328" s="16"/>
      <c r="I328" s="16"/>
    </row>
    <row r="329" ht="15.75" customHeight="1">
      <c r="D329" s="16"/>
      <c r="F329" s="16"/>
      <c r="G329" s="16"/>
      <c r="I329" s="16"/>
    </row>
    <row r="330" ht="15.75" customHeight="1">
      <c r="D330" s="16"/>
      <c r="F330" s="16"/>
      <c r="G330" s="16"/>
      <c r="I330" s="16"/>
    </row>
    <row r="331" ht="15.75" customHeight="1">
      <c r="D331" s="16"/>
      <c r="F331" s="16"/>
      <c r="G331" s="16"/>
      <c r="I331" s="16"/>
    </row>
    <row r="332" ht="15.75" customHeight="1">
      <c r="D332" s="16"/>
      <c r="F332" s="16"/>
      <c r="G332" s="16"/>
      <c r="I332" s="16"/>
    </row>
    <row r="333" ht="15.75" customHeight="1">
      <c r="D333" s="16"/>
      <c r="F333" s="16"/>
      <c r="G333" s="16"/>
      <c r="I333" s="16"/>
    </row>
    <row r="334" ht="15.75" customHeight="1">
      <c r="D334" s="16"/>
      <c r="F334" s="16"/>
      <c r="G334" s="16"/>
      <c r="I334" s="16"/>
    </row>
    <row r="335" ht="15.75" customHeight="1">
      <c r="D335" s="16"/>
      <c r="F335" s="16"/>
      <c r="G335" s="16"/>
      <c r="I335" s="16"/>
    </row>
    <row r="336" ht="15.75" customHeight="1">
      <c r="D336" s="16"/>
      <c r="F336" s="16"/>
      <c r="G336" s="16"/>
      <c r="I336" s="16"/>
    </row>
    <row r="337" ht="15.75" customHeight="1">
      <c r="D337" s="16"/>
      <c r="F337" s="16"/>
      <c r="G337" s="16"/>
      <c r="I337" s="16"/>
    </row>
    <row r="338" ht="15.75" customHeight="1">
      <c r="D338" s="16"/>
      <c r="F338" s="16"/>
      <c r="G338" s="16"/>
      <c r="I338" s="16"/>
    </row>
    <row r="339" ht="15.75" customHeight="1">
      <c r="D339" s="16"/>
      <c r="F339" s="16"/>
      <c r="G339" s="16"/>
      <c r="I339" s="16"/>
    </row>
    <row r="340" ht="15.75" customHeight="1">
      <c r="D340" s="16"/>
      <c r="F340" s="16"/>
      <c r="G340" s="16"/>
      <c r="I340" s="16"/>
    </row>
    <row r="341" ht="15.75" customHeight="1">
      <c r="D341" s="16"/>
      <c r="F341" s="16"/>
      <c r="G341" s="16"/>
      <c r="I341" s="16"/>
    </row>
    <row r="342" ht="15.75" customHeight="1">
      <c r="D342" s="16"/>
      <c r="F342" s="16"/>
      <c r="G342" s="16"/>
      <c r="I342" s="16"/>
    </row>
    <row r="343" ht="15.75" customHeight="1">
      <c r="D343" s="16"/>
      <c r="F343" s="16"/>
      <c r="G343" s="16"/>
      <c r="I343" s="16"/>
    </row>
    <row r="344" ht="15.75" customHeight="1">
      <c r="D344" s="16"/>
      <c r="F344" s="16"/>
      <c r="G344" s="16"/>
      <c r="I344" s="16"/>
    </row>
    <row r="345" ht="15.75" customHeight="1">
      <c r="D345" s="16"/>
      <c r="F345" s="16"/>
      <c r="G345" s="16"/>
      <c r="I345" s="16"/>
    </row>
    <row r="346" ht="15.75" customHeight="1">
      <c r="D346" s="16"/>
      <c r="F346" s="16"/>
      <c r="G346" s="16"/>
      <c r="I346" s="16"/>
    </row>
    <row r="347" ht="15.75" customHeight="1">
      <c r="D347" s="16"/>
      <c r="F347" s="16"/>
      <c r="G347" s="16"/>
      <c r="I347" s="16"/>
    </row>
    <row r="348" ht="15.75" customHeight="1">
      <c r="D348" s="16"/>
      <c r="F348" s="16"/>
      <c r="G348" s="16"/>
      <c r="I348" s="16"/>
    </row>
    <row r="349" ht="15.75" customHeight="1">
      <c r="D349" s="16"/>
      <c r="F349" s="16"/>
      <c r="G349" s="16"/>
      <c r="I349" s="16"/>
    </row>
    <row r="350" ht="15.75" customHeight="1">
      <c r="D350" s="16"/>
      <c r="F350" s="16"/>
      <c r="G350" s="16"/>
      <c r="I350" s="16"/>
    </row>
    <row r="351" ht="15.75" customHeight="1">
      <c r="D351" s="16"/>
      <c r="F351" s="16"/>
      <c r="G351" s="16"/>
      <c r="I351" s="16"/>
    </row>
    <row r="352" ht="15.75" customHeight="1">
      <c r="D352" s="16"/>
      <c r="F352" s="16"/>
      <c r="G352" s="16"/>
      <c r="I352" s="16"/>
    </row>
    <row r="353" ht="15.75" customHeight="1">
      <c r="D353" s="16"/>
      <c r="F353" s="16"/>
      <c r="G353" s="16"/>
      <c r="I353" s="16"/>
    </row>
    <row r="354" ht="15.75" customHeight="1">
      <c r="D354" s="16"/>
      <c r="F354" s="16"/>
      <c r="G354" s="16"/>
      <c r="I354" s="16"/>
    </row>
    <row r="355" ht="15.75" customHeight="1">
      <c r="D355" s="16"/>
      <c r="F355" s="16"/>
      <c r="G355" s="16"/>
      <c r="I355" s="16"/>
    </row>
    <row r="356" ht="15.75" customHeight="1">
      <c r="D356" s="16"/>
      <c r="F356" s="16"/>
      <c r="G356" s="16"/>
      <c r="I356" s="16"/>
    </row>
    <row r="357" ht="15.75" customHeight="1">
      <c r="D357" s="16"/>
      <c r="F357" s="16"/>
      <c r="G357" s="16"/>
      <c r="I357" s="16"/>
    </row>
    <row r="358" ht="15.75" customHeight="1">
      <c r="D358" s="16"/>
      <c r="F358" s="16"/>
      <c r="G358" s="16"/>
      <c r="I358" s="16"/>
    </row>
    <row r="359" ht="15.75" customHeight="1">
      <c r="D359" s="16"/>
      <c r="F359" s="16"/>
      <c r="G359" s="16"/>
      <c r="I359" s="16"/>
    </row>
    <row r="360" ht="15.75" customHeight="1">
      <c r="D360" s="16"/>
      <c r="F360" s="16"/>
      <c r="G360" s="16"/>
      <c r="I360" s="16"/>
    </row>
    <row r="361" ht="15.75" customHeight="1">
      <c r="D361" s="16"/>
      <c r="F361" s="16"/>
      <c r="G361" s="16"/>
      <c r="I361" s="16"/>
    </row>
    <row r="362" ht="15.75" customHeight="1">
      <c r="D362" s="16"/>
      <c r="F362" s="16"/>
      <c r="G362" s="16"/>
      <c r="I362" s="16"/>
    </row>
    <row r="363" ht="15.75" customHeight="1">
      <c r="D363" s="16"/>
      <c r="F363" s="16"/>
      <c r="G363" s="16"/>
      <c r="I363" s="16"/>
    </row>
    <row r="364" ht="15.75" customHeight="1">
      <c r="D364" s="16"/>
      <c r="F364" s="16"/>
      <c r="G364" s="16"/>
      <c r="I364" s="16"/>
    </row>
    <row r="365" ht="15.75" customHeight="1">
      <c r="D365" s="16"/>
      <c r="F365" s="16"/>
      <c r="G365" s="16"/>
      <c r="I365" s="16"/>
    </row>
    <row r="366" ht="15.75" customHeight="1">
      <c r="D366" s="16"/>
      <c r="F366" s="16"/>
      <c r="G366" s="16"/>
      <c r="I366" s="16"/>
    </row>
    <row r="367" ht="15.75" customHeight="1">
      <c r="D367" s="16"/>
      <c r="F367" s="16"/>
      <c r="G367" s="16"/>
      <c r="I367" s="16"/>
    </row>
    <row r="368" ht="15.75" customHeight="1">
      <c r="D368" s="16"/>
      <c r="F368" s="16"/>
      <c r="G368" s="16"/>
      <c r="I368" s="16"/>
    </row>
    <row r="369" ht="15.75" customHeight="1">
      <c r="D369" s="16"/>
      <c r="F369" s="16"/>
      <c r="G369" s="16"/>
      <c r="I369" s="16"/>
    </row>
    <row r="370" ht="15.75" customHeight="1">
      <c r="D370" s="16"/>
      <c r="F370" s="16"/>
      <c r="G370" s="16"/>
      <c r="I370" s="16"/>
    </row>
    <row r="371" ht="15.75" customHeight="1">
      <c r="D371" s="16"/>
      <c r="F371" s="16"/>
      <c r="G371" s="16"/>
      <c r="I371" s="16"/>
    </row>
    <row r="372" ht="15.75" customHeight="1">
      <c r="D372" s="16"/>
      <c r="F372" s="16"/>
      <c r="G372" s="16"/>
      <c r="I372" s="16"/>
    </row>
    <row r="373" ht="15.75" customHeight="1">
      <c r="D373" s="16"/>
      <c r="F373" s="16"/>
      <c r="G373" s="16"/>
      <c r="I373" s="16"/>
    </row>
    <row r="374" ht="15.75" customHeight="1">
      <c r="D374" s="16"/>
      <c r="F374" s="16"/>
      <c r="G374" s="16"/>
      <c r="I374" s="16"/>
    </row>
    <row r="375" ht="15.75" customHeight="1">
      <c r="D375" s="16"/>
      <c r="F375" s="16"/>
      <c r="G375" s="16"/>
      <c r="I375" s="16"/>
    </row>
    <row r="376" ht="15.75" customHeight="1">
      <c r="D376" s="16"/>
      <c r="F376" s="16"/>
      <c r="G376" s="16"/>
      <c r="I376" s="16"/>
    </row>
    <row r="377" ht="15.75" customHeight="1">
      <c r="D377" s="16"/>
      <c r="F377" s="16"/>
      <c r="G377" s="16"/>
      <c r="I377" s="16"/>
    </row>
    <row r="378" ht="15.75" customHeight="1">
      <c r="D378" s="16"/>
      <c r="F378" s="16"/>
      <c r="G378" s="16"/>
      <c r="I378" s="16"/>
    </row>
    <row r="379" ht="15.75" customHeight="1">
      <c r="D379" s="16"/>
      <c r="F379" s="16"/>
      <c r="G379" s="16"/>
      <c r="I379" s="16"/>
    </row>
    <row r="380" ht="15.75" customHeight="1">
      <c r="D380" s="16"/>
      <c r="F380" s="16"/>
      <c r="G380" s="16"/>
      <c r="I380" s="16"/>
    </row>
    <row r="381" ht="15.75" customHeight="1">
      <c r="D381" s="16"/>
      <c r="F381" s="16"/>
      <c r="G381" s="16"/>
      <c r="I381" s="16"/>
    </row>
    <row r="382" ht="15.75" customHeight="1">
      <c r="D382" s="16"/>
      <c r="F382" s="16"/>
      <c r="G382" s="16"/>
      <c r="I382" s="16"/>
    </row>
    <row r="383" ht="15.75" customHeight="1">
      <c r="D383" s="16"/>
      <c r="F383" s="16"/>
      <c r="G383" s="16"/>
      <c r="I383" s="16"/>
    </row>
    <row r="384" ht="15.75" customHeight="1">
      <c r="D384" s="16"/>
      <c r="F384" s="16"/>
      <c r="G384" s="16"/>
      <c r="I384" s="16"/>
    </row>
    <row r="385" ht="15.75" customHeight="1">
      <c r="D385" s="16"/>
      <c r="F385" s="16"/>
      <c r="G385" s="16"/>
      <c r="I385" s="16"/>
    </row>
    <row r="386" ht="15.75" customHeight="1">
      <c r="D386" s="16"/>
      <c r="F386" s="16"/>
      <c r="G386" s="16"/>
      <c r="I386" s="16"/>
    </row>
    <row r="387" ht="15.75" customHeight="1">
      <c r="D387" s="16"/>
      <c r="F387" s="16"/>
      <c r="G387" s="16"/>
      <c r="I387" s="16"/>
    </row>
    <row r="388" ht="15.75" customHeight="1">
      <c r="D388" s="16"/>
      <c r="F388" s="16"/>
      <c r="G388" s="16"/>
      <c r="I388" s="16"/>
    </row>
    <row r="389" ht="15.75" customHeight="1">
      <c r="D389" s="16"/>
      <c r="F389" s="16"/>
      <c r="G389" s="16"/>
      <c r="I389" s="16"/>
    </row>
    <row r="390" ht="15.75" customHeight="1">
      <c r="D390" s="16"/>
      <c r="F390" s="16"/>
      <c r="G390" s="16"/>
      <c r="I390" s="16"/>
    </row>
    <row r="391" ht="15.75" customHeight="1">
      <c r="D391" s="16"/>
      <c r="F391" s="16"/>
      <c r="G391" s="16"/>
      <c r="I391" s="16"/>
    </row>
    <row r="392" ht="15.75" customHeight="1">
      <c r="D392" s="16"/>
      <c r="F392" s="16"/>
      <c r="G392" s="16"/>
      <c r="I392" s="16"/>
    </row>
    <row r="393" ht="15.75" customHeight="1">
      <c r="D393" s="16"/>
      <c r="F393" s="16"/>
      <c r="G393" s="16"/>
      <c r="I393" s="16"/>
    </row>
    <row r="394" ht="15.75" customHeight="1">
      <c r="D394" s="16"/>
      <c r="F394" s="16"/>
      <c r="G394" s="16"/>
      <c r="I394" s="16"/>
    </row>
    <row r="395" ht="15.75" customHeight="1">
      <c r="D395" s="16"/>
      <c r="F395" s="16"/>
      <c r="G395" s="16"/>
      <c r="I395" s="16"/>
    </row>
    <row r="396" ht="15.75" customHeight="1">
      <c r="D396" s="16"/>
      <c r="F396" s="16"/>
      <c r="G396" s="16"/>
      <c r="I396" s="16"/>
    </row>
    <row r="397" ht="15.75" customHeight="1">
      <c r="D397" s="16"/>
      <c r="F397" s="16"/>
      <c r="G397" s="16"/>
      <c r="I397" s="16"/>
    </row>
    <row r="398" ht="15.75" customHeight="1">
      <c r="D398" s="16"/>
      <c r="F398" s="16"/>
      <c r="G398" s="16"/>
      <c r="I398" s="16"/>
    </row>
    <row r="399" ht="15.75" customHeight="1">
      <c r="D399" s="16"/>
      <c r="F399" s="16"/>
      <c r="G399" s="16"/>
      <c r="I399" s="16"/>
    </row>
    <row r="400" ht="15.75" customHeight="1">
      <c r="D400" s="16"/>
      <c r="F400" s="16"/>
      <c r="G400" s="16"/>
      <c r="I400" s="16"/>
    </row>
    <row r="401" ht="15.75" customHeight="1">
      <c r="D401" s="16"/>
      <c r="F401" s="16"/>
      <c r="G401" s="16"/>
      <c r="I401" s="16"/>
    </row>
    <row r="402" ht="15.75" customHeight="1">
      <c r="D402" s="16"/>
      <c r="F402" s="16"/>
      <c r="G402" s="16"/>
      <c r="I402" s="16"/>
    </row>
    <row r="403" ht="15.75" customHeight="1">
      <c r="D403" s="16"/>
      <c r="F403" s="16"/>
      <c r="G403" s="16"/>
      <c r="I403" s="16"/>
    </row>
    <row r="404" ht="15.75" customHeight="1">
      <c r="D404" s="16"/>
      <c r="F404" s="16"/>
      <c r="G404" s="16"/>
      <c r="I404" s="16"/>
    </row>
    <row r="405" ht="15.75" customHeight="1">
      <c r="D405" s="16"/>
      <c r="F405" s="16"/>
      <c r="G405" s="16"/>
      <c r="I405" s="16"/>
    </row>
    <row r="406" ht="15.75" customHeight="1">
      <c r="D406" s="16"/>
      <c r="F406" s="16"/>
      <c r="G406" s="16"/>
      <c r="I406" s="16"/>
    </row>
    <row r="407" ht="15.75" customHeight="1">
      <c r="D407" s="16"/>
      <c r="F407" s="16"/>
      <c r="G407" s="16"/>
      <c r="I407" s="16"/>
    </row>
    <row r="408" ht="15.75" customHeight="1">
      <c r="D408" s="16"/>
      <c r="F408" s="16"/>
      <c r="G408" s="16"/>
      <c r="I408" s="16"/>
    </row>
    <row r="409" ht="15.75" customHeight="1">
      <c r="D409" s="16"/>
      <c r="F409" s="16"/>
      <c r="G409" s="16"/>
      <c r="I409" s="16"/>
    </row>
    <row r="410" ht="15.75" customHeight="1">
      <c r="D410" s="16"/>
      <c r="F410" s="16"/>
      <c r="G410" s="16"/>
      <c r="I410" s="16"/>
    </row>
    <row r="411" ht="15.75" customHeight="1">
      <c r="D411" s="16"/>
      <c r="F411" s="16"/>
      <c r="G411" s="16"/>
      <c r="I411" s="16"/>
    </row>
    <row r="412" ht="15.75" customHeight="1">
      <c r="D412" s="16"/>
      <c r="F412" s="16"/>
      <c r="G412" s="16"/>
      <c r="I412" s="16"/>
    </row>
    <row r="413" ht="15.75" customHeight="1">
      <c r="D413" s="16"/>
      <c r="F413" s="16"/>
      <c r="G413" s="16"/>
      <c r="I413" s="16"/>
    </row>
    <row r="414" ht="15.75" customHeight="1">
      <c r="D414" s="16"/>
      <c r="F414" s="16"/>
      <c r="G414" s="16"/>
      <c r="I414" s="16"/>
    </row>
    <row r="415" ht="15.75" customHeight="1">
      <c r="D415" s="16"/>
      <c r="F415" s="16"/>
      <c r="G415" s="16"/>
      <c r="I415" s="16"/>
    </row>
    <row r="416" ht="15.75" customHeight="1">
      <c r="D416" s="16"/>
      <c r="F416" s="16"/>
      <c r="G416" s="16"/>
      <c r="I416" s="16"/>
    </row>
    <row r="417" ht="15.75" customHeight="1">
      <c r="D417" s="16"/>
      <c r="F417" s="16"/>
      <c r="G417" s="16"/>
      <c r="I417" s="16"/>
    </row>
    <row r="418" ht="15.75" customHeight="1">
      <c r="D418" s="16"/>
      <c r="F418" s="16"/>
      <c r="G418" s="16"/>
      <c r="I418" s="16"/>
    </row>
    <row r="419" ht="15.75" customHeight="1">
      <c r="D419" s="16"/>
      <c r="F419" s="16"/>
      <c r="G419" s="16"/>
      <c r="I419" s="16"/>
    </row>
    <row r="420" ht="15.75" customHeight="1">
      <c r="D420" s="16"/>
      <c r="F420" s="16"/>
      <c r="G420" s="16"/>
      <c r="I420" s="16"/>
    </row>
    <row r="421" ht="15.75" customHeight="1">
      <c r="D421" s="16"/>
      <c r="F421" s="16"/>
      <c r="G421" s="16"/>
      <c r="I421" s="16"/>
    </row>
    <row r="422" ht="15.75" customHeight="1">
      <c r="D422" s="16"/>
      <c r="F422" s="16"/>
      <c r="G422" s="16"/>
      <c r="I422" s="16"/>
    </row>
    <row r="423" ht="15.75" customHeight="1">
      <c r="D423" s="16"/>
      <c r="F423" s="16"/>
      <c r="G423" s="16"/>
      <c r="I423" s="16"/>
    </row>
    <row r="424" ht="15.75" customHeight="1">
      <c r="D424" s="16"/>
      <c r="F424" s="16"/>
      <c r="G424" s="16"/>
      <c r="I424" s="16"/>
    </row>
    <row r="425" ht="15.75" customHeight="1">
      <c r="D425" s="16"/>
      <c r="F425" s="16"/>
      <c r="G425" s="16"/>
      <c r="I425" s="16"/>
    </row>
    <row r="426" ht="15.75" customHeight="1">
      <c r="D426" s="16"/>
      <c r="F426" s="16"/>
      <c r="G426" s="16"/>
      <c r="I426" s="16"/>
    </row>
    <row r="427" ht="15.75" customHeight="1">
      <c r="D427" s="16"/>
      <c r="F427" s="16"/>
      <c r="G427" s="16"/>
      <c r="I427" s="16"/>
    </row>
    <row r="428" ht="15.75" customHeight="1">
      <c r="D428" s="16"/>
      <c r="F428" s="16"/>
      <c r="G428" s="16"/>
      <c r="I428" s="16"/>
    </row>
    <row r="429" ht="15.75" customHeight="1">
      <c r="D429" s="16"/>
      <c r="F429" s="16"/>
      <c r="G429" s="16"/>
      <c r="I429" s="16"/>
    </row>
    <row r="430" ht="15.75" customHeight="1">
      <c r="D430" s="16"/>
      <c r="F430" s="16"/>
      <c r="G430" s="16"/>
      <c r="I430" s="16"/>
    </row>
    <row r="431" ht="15.75" customHeight="1">
      <c r="D431" s="16"/>
      <c r="F431" s="16"/>
      <c r="G431" s="16"/>
      <c r="I431" s="16"/>
    </row>
    <row r="432" ht="15.75" customHeight="1">
      <c r="D432" s="16"/>
      <c r="F432" s="16"/>
      <c r="G432" s="16"/>
      <c r="I432" s="16"/>
    </row>
    <row r="433" ht="15.75" customHeight="1">
      <c r="D433" s="16"/>
      <c r="F433" s="16"/>
      <c r="G433" s="16"/>
      <c r="I433" s="16"/>
    </row>
    <row r="434" ht="15.75" customHeight="1">
      <c r="D434" s="16"/>
      <c r="F434" s="16"/>
      <c r="G434" s="16"/>
      <c r="I434" s="16"/>
    </row>
    <row r="435" ht="15.75" customHeight="1">
      <c r="D435" s="16"/>
      <c r="F435" s="16"/>
      <c r="G435" s="16"/>
      <c r="I435" s="16"/>
    </row>
    <row r="436" ht="15.75" customHeight="1">
      <c r="D436" s="16"/>
      <c r="F436" s="16"/>
      <c r="G436" s="16"/>
      <c r="I436" s="16"/>
    </row>
    <row r="437" ht="15.75" customHeight="1">
      <c r="D437" s="16"/>
      <c r="F437" s="16"/>
      <c r="G437" s="16"/>
      <c r="I437" s="16"/>
    </row>
    <row r="438" ht="15.75" customHeight="1">
      <c r="D438" s="16"/>
      <c r="F438" s="16"/>
      <c r="G438" s="16"/>
      <c r="I438" s="16"/>
    </row>
    <row r="439" ht="15.75" customHeight="1">
      <c r="D439" s="16"/>
      <c r="F439" s="16"/>
      <c r="G439" s="16"/>
      <c r="I439" s="16"/>
    </row>
    <row r="440" ht="15.75" customHeight="1">
      <c r="D440" s="16"/>
      <c r="F440" s="16"/>
      <c r="G440" s="16"/>
      <c r="I440" s="16"/>
    </row>
    <row r="441" ht="15.75" customHeight="1">
      <c r="D441" s="16"/>
      <c r="F441" s="16"/>
      <c r="G441" s="16"/>
      <c r="I441" s="16"/>
    </row>
    <row r="442" ht="15.75" customHeight="1">
      <c r="D442" s="16"/>
      <c r="F442" s="16"/>
      <c r="G442" s="16"/>
      <c r="I442" s="16"/>
    </row>
    <row r="443" ht="15.75" customHeight="1">
      <c r="D443" s="16"/>
      <c r="F443" s="16"/>
      <c r="G443" s="16"/>
      <c r="I443" s="16"/>
    </row>
    <row r="444" ht="15.75" customHeight="1">
      <c r="D444" s="16"/>
      <c r="F444" s="16"/>
      <c r="G444" s="16"/>
      <c r="I444" s="16"/>
    </row>
    <row r="445" ht="15.75" customHeight="1">
      <c r="D445" s="16"/>
      <c r="F445" s="16"/>
      <c r="G445" s="16"/>
      <c r="I445" s="16"/>
    </row>
    <row r="446" ht="15.75" customHeight="1">
      <c r="D446" s="16"/>
      <c r="F446" s="16"/>
      <c r="G446" s="16"/>
      <c r="I446" s="16"/>
    </row>
    <row r="447" ht="15.75" customHeight="1">
      <c r="D447" s="16"/>
      <c r="F447" s="16"/>
      <c r="G447" s="16"/>
      <c r="I447" s="16"/>
    </row>
    <row r="448" ht="15.75" customHeight="1">
      <c r="D448" s="16"/>
      <c r="F448" s="16"/>
      <c r="G448" s="16"/>
      <c r="I448" s="16"/>
    </row>
    <row r="449" ht="15.75" customHeight="1">
      <c r="D449" s="16"/>
      <c r="F449" s="16"/>
      <c r="G449" s="16"/>
      <c r="I449" s="16"/>
    </row>
    <row r="450" ht="15.75" customHeight="1">
      <c r="D450" s="16"/>
      <c r="F450" s="16"/>
      <c r="G450" s="16"/>
      <c r="I450" s="16"/>
    </row>
    <row r="451" ht="15.75" customHeight="1">
      <c r="D451" s="16"/>
      <c r="F451" s="16"/>
      <c r="G451" s="16"/>
      <c r="I451" s="16"/>
    </row>
    <row r="452" ht="15.75" customHeight="1">
      <c r="D452" s="16"/>
      <c r="F452" s="16"/>
      <c r="G452" s="16"/>
      <c r="I452" s="16"/>
    </row>
    <row r="453" ht="15.75" customHeight="1">
      <c r="D453" s="16"/>
      <c r="F453" s="16"/>
      <c r="G453" s="16"/>
      <c r="I453" s="16"/>
    </row>
    <row r="454" ht="15.75" customHeight="1">
      <c r="D454" s="16"/>
      <c r="F454" s="16"/>
      <c r="G454" s="16"/>
      <c r="I454" s="16"/>
    </row>
    <row r="455" ht="15.75" customHeight="1">
      <c r="D455" s="16"/>
      <c r="F455" s="16"/>
      <c r="G455" s="16"/>
      <c r="I455" s="16"/>
    </row>
    <row r="456" ht="15.75" customHeight="1">
      <c r="D456" s="16"/>
      <c r="F456" s="16"/>
      <c r="G456" s="16"/>
      <c r="I456" s="16"/>
    </row>
    <row r="457" ht="15.75" customHeight="1">
      <c r="D457" s="16"/>
      <c r="F457" s="16"/>
      <c r="G457" s="16"/>
      <c r="I457" s="16"/>
    </row>
    <row r="458" ht="15.75" customHeight="1">
      <c r="D458" s="16"/>
      <c r="F458" s="16"/>
      <c r="G458" s="16"/>
      <c r="I458" s="16"/>
    </row>
    <row r="459" ht="15.75" customHeight="1">
      <c r="D459" s="16"/>
      <c r="F459" s="16"/>
      <c r="G459" s="16"/>
      <c r="I459" s="16"/>
    </row>
    <row r="460" ht="15.75" customHeight="1">
      <c r="D460" s="16"/>
      <c r="F460" s="16"/>
      <c r="G460" s="16"/>
      <c r="I460" s="16"/>
    </row>
    <row r="461" ht="15.75" customHeight="1">
      <c r="D461" s="16"/>
      <c r="F461" s="16"/>
      <c r="G461" s="16"/>
      <c r="I461" s="16"/>
    </row>
    <row r="462" ht="15.75" customHeight="1">
      <c r="D462" s="16"/>
      <c r="F462" s="16"/>
      <c r="G462" s="16"/>
      <c r="I462" s="16"/>
    </row>
    <row r="463" ht="15.75" customHeight="1">
      <c r="D463" s="16"/>
      <c r="F463" s="16"/>
      <c r="G463" s="16"/>
      <c r="I463" s="16"/>
    </row>
    <row r="464" ht="15.75" customHeight="1">
      <c r="D464" s="16"/>
      <c r="F464" s="16"/>
      <c r="G464" s="16"/>
      <c r="I464" s="16"/>
    </row>
    <row r="465" ht="15.75" customHeight="1">
      <c r="D465" s="16"/>
      <c r="F465" s="16"/>
      <c r="G465" s="16"/>
      <c r="I465" s="16"/>
    </row>
    <row r="466" ht="15.75" customHeight="1">
      <c r="D466" s="16"/>
      <c r="F466" s="16"/>
      <c r="G466" s="16"/>
      <c r="I466" s="16"/>
    </row>
    <row r="467" ht="15.75" customHeight="1">
      <c r="D467" s="16"/>
      <c r="F467" s="16"/>
      <c r="G467" s="16"/>
      <c r="I467" s="16"/>
    </row>
    <row r="468" ht="15.75" customHeight="1">
      <c r="D468" s="16"/>
      <c r="F468" s="16"/>
      <c r="G468" s="16"/>
      <c r="I468" s="16"/>
    </row>
    <row r="469" ht="15.75" customHeight="1">
      <c r="D469" s="16"/>
      <c r="F469" s="16"/>
      <c r="G469" s="16"/>
      <c r="I469" s="16"/>
    </row>
    <row r="470" ht="15.75" customHeight="1">
      <c r="D470" s="16"/>
      <c r="F470" s="16"/>
      <c r="G470" s="16"/>
      <c r="I470" s="16"/>
    </row>
    <row r="471" ht="15.75" customHeight="1">
      <c r="D471" s="16"/>
      <c r="F471" s="16"/>
      <c r="G471" s="16"/>
      <c r="I471" s="16"/>
    </row>
    <row r="472" ht="15.75" customHeight="1">
      <c r="D472" s="16"/>
      <c r="F472" s="16"/>
      <c r="G472" s="16"/>
      <c r="I472" s="16"/>
    </row>
    <row r="473" ht="15.75" customHeight="1">
      <c r="D473" s="16"/>
      <c r="F473" s="16"/>
      <c r="G473" s="16"/>
      <c r="I473" s="16"/>
    </row>
    <row r="474" ht="15.75" customHeight="1">
      <c r="D474" s="16"/>
      <c r="F474" s="16"/>
      <c r="G474" s="16"/>
      <c r="I474" s="16"/>
    </row>
    <row r="475" ht="15.75" customHeight="1">
      <c r="D475" s="16"/>
      <c r="F475" s="16"/>
      <c r="G475" s="16"/>
      <c r="I475" s="16"/>
    </row>
    <row r="476" ht="15.75" customHeight="1">
      <c r="D476" s="16"/>
      <c r="F476" s="16"/>
      <c r="G476" s="16"/>
      <c r="I476" s="16"/>
    </row>
    <row r="477" ht="15.75" customHeight="1">
      <c r="D477" s="16"/>
      <c r="F477" s="16"/>
      <c r="G477" s="16"/>
      <c r="I477" s="16"/>
    </row>
    <row r="478" ht="15.75" customHeight="1">
      <c r="D478" s="16"/>
      <c r="F478" s="16"/>
      <c r="G478" s="16"/>
      <c r="I478" s="16"/>
    </row>
    <row r="479" ht="15.75" customHeight="1">
      <c r="D479" s="16"/>
      <c r="F479" s="16"/>
      <c r="G479" s="16"/>
      <c r="I479" s="16"/>
    </row>
    <row r="480" ht="15.75" customHeight="1">
      <c r="D480" s="16"/>
      <c r="F480" s="16"/>
      <c r="G480" s="16"/>
      <c r="I480" s="16"/>
    </row>
    <row r="481" ht="15.75" customHeight="1">
      <c r="D481" s="16"/>
      <c r="F481" s="16"/>
      <c r="G481" s="16"/>
      <c r="I481" s="16"/>
    </row>
    <row r="482" ht="15.75" customHeight="1">
      <c r="D482" s="16"/>
      <c r="F482" s="16"/>
      <c r="G482" s="16"/>
      <c r="I482" s="16"/>
    </row>
    <row r="483" ht="15.75" customHeight="1">
      <c r="D483" s="16"/>
      <c r="F483" s="16"/>
      <c r="G483" s="16"/>
      <c r="I483" s="16"/>
    </row>
    <row r="484" ht="15.75" customHeight="1">
      <c r="D484" s="16"/>
      <c r="F484" s="16"/>
      <c r="G484" s="16"/>
      <c r="I484" s="16"/>
    </row>
    <row r="485" ht="15.75" customHeight="1">
      <c r="D485" s="16"/>
      <c r="F485" s="16"/>
      <c r="G485" s="16"/>
      <c r="I485" s="16"/>
    </row>
    <row r="486" ht="15.75" customHeight="1">
      <c r="D486" s="16"/>
      <c r="F486" s="16"/>
      <c r="G486" s="16"/>
      <c r="I486" s="16"/>
    </row>
    <row r="487" ht="15.75" customHeight="1">
      <c r="D487" s="16"/>
      <c r="F487" s="16"/>
      <c r="G487" s="16"/>
      <c r="I487" s="16"/>
    </row>
    <row r="488" ht="15.75" customHeight="1">
      <c r="D488" s="16"/>
      <c r="F488" s="16"/>
      <c r="G488" s="16"/>
      <c r="I488" s="16"/>
    </row>
    <row r="489" ht="15.75" customHeight="1">
      <c r="D489" s="16"/>
      <c r="F489" s="16"/>
      <c r="G489" s="16"/>
      <c r="I489" s="16"/>
    </row>
    <row r="490" ht="15.75" customHeight="1">
      <c r="D490" s="16"/>
      <c r="F490" s="16"/>
      <c r="G490" s="16"/>
      <c r="I490" s="16"/>
    </row>
    <row r="491" ht="15.75" customHeight="1">
      <c r="D491" s="16"/>
      <c r="F491" s="16"/>
      <c r="G491" s="16"/>
      <c r="I491" s="16"/>
    </row>
    <row r="492" ht="15.75" customHeight="1">
      <c r="D492" s="16"/>
      <c r="F492" s="16"/>
      <c r="G492" s="16"/>
      <c r="I492" s="16"/>
    </row>
    <row r="493" ht="15.75" customHeight="1">
      <c r="D493" s="16"/>
      <c r="F493" s="16"/>
      <c r="G493" s="16"/>
      <c r="I493" s="16"/>
    </row>
    <row r="494" ht="15.75" customHeight="1">
      <c r="D494" s="16"/>
      <c r="F494" s="16"/>
      <c r="G494" s="16"/>
      <c r="I494" s="16"/>
    </row>
    <row r="495" ht="15.75" customHeight="1">
      <c r="D495" s="16"/>
      <c r="F495" s="16"/>
      <c r="G495" s="16"/>
      <c r="I495" s="16"/>
    </row>
    <row r="496" ht="15.75" customHeight="1">
      <c r="D496" s="16"/>
      <c r="F496" s="16"/>
      <c r="G496" s="16"/>
      <c r="I496" s="16"/>
    </row>
    <row r="497" ht="15.75" customHeight="1">
      <c r="D497" s="16"/>
      <c r="F497" s="16"/>
      <c r="G497" s="16"/>
      <c r="I497" s="16"/>
    </row>
    <row r="498" ht="15.75" customHeight="1">
      <c r="D498" s="16"/>
      <c r="F498" s="16"/>
      <c r="G498" s="16"/>
      <c r="I498" s="16"/>
    </row>
    <row r="499" ht="15.75" customHeight="1">
      <c r="D499" s="16"/>
      <c r="F499" s="16"/>
      <c r="G499" s="16"/>
      <c r="I499" s="16"/>
    </row>
    <row r="500" ht="15.75" customHeight="1">
      <c r="D500" s="16"/>
      <c r="F500" s="16"/>
      <c r="G500" s="16"/>
      <c r="I500" s="16"/>
    </row>
    <row r="501" ht="15.75" customHeight="1">
      <c r="D501" s="16"/>
      <c r="F501" s="16"/>
      <c r="G501" s="16"/>
      <c r="I501" s="16"/>
    </row>
    <row r="502" ht="15.75" customHeight="1">
      <c r="D502" s="16"/>
      <c r="F502" s="16"/>
      <c r="G502" s="16"/>
      <c r="I502" s="16"/>
    </row>
    <row r="503" ht="15.75" customHeight="1">
      <c r="D503" s="16"/>
      <c r="F503" s="16"/>
      <c r="G503" s="16"/>
      <c r="I503" s="16"/>
    </row>
    <row r="504" ht="15.75" customHeight="1">
      <c r="D504" s="16"/>
      <c r="F504" s="16"/>
      <c r="G504" s="16"/>
      <c r="I504" s="16"/>
    </row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M2"/>
    <mergeCell ref="A3:M3"/>
  </mergeCells>
  <dataValidations>
    <dataValidation type="list" allowBlank="1" sqref="G5:G504">
      <formula1>"Baja definitiva,Baja temporal,Reinscrito"</formula1>
    </dataValidation>
    <dataValidation type="list" allowBlank="1" sqref="I5:I504">
      <formula1>"Alta,Media,Baja,No determinada"</formula1>
    </dataValidation>
    <dataValidation type="list" allowBlank="1" sqref="D5:D504">
      <formula1>"Prenthood,Kids,Junior,College,Certifications"</formula1>
    </dataValidation>
    <dataValidation type="list" allowBlank="1" sqref="F5:F504">
      <formula1>'Catálogos'!$B$2:$B$13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26.0"/>
    <col customWidth="1" min="5" max="6" width="8.63"/>
  </cols>
  <sheetData>
    <row r="1">
      <c r="A1" s="25" t="s">
        <v>76</v>
      </c>
      <c r="B1" s="25" t="s">
        <v>9</v>
      </c>
      <c r="C1" s="25" t="s">
        <v>77</v>
      </c>
      <c r="D1" s="25" t="s">
        <v>78</v>
      </c>
    </row>
    <row r="2">
      <c r="A2" s="26" t="s">
        <v>79</v>
      </c>
      <c r="B2" s="2" t="s">
        <v>12</v>
      </c>
      <c r="C2" s="2" t="s">
        <v>47</v>
      </c>
      <c r="D2" s="2" t="s">
        <v>53</v>
      </c>
    </row>
    <row r="3">
      <c r="A3" s="26" t="s">
        <v>46</v>
      </c>
      <c r="B3" s="2" t="s">
        <v>13</v>
      </c>
      <c r="C3" s="2" t="s">
        <v>58</v>
      </c>
      <c r="D3" s="2" t="s">
        <v>68</v>
      </c>
    </row>
    <row r="4">
      <c r="A4" s="26" t="s">
        <v>80</v>
      </c>
      <c r="B4" s="2" t="s">
        <v>15</v>
      </c>
      <c r="C4" s="2" t="s">
        <v>81</v>
      </c>
      <c r="D4" s="2" t="s">
        <v>48</v>
      </c>
    </row>
    <row r="5">
      <c r="A5" s="26" t="s">
        <v>57</v>
      </c>
      <c r="B5" s="2" t="s">
        <v>16</v>
      </c>
      <c r="C5" s="2" t="s">
        <v>82</v>
      </c>
      <c r="D5" s="2" t="s">
        <v>83</v>
      </c>
    </row>
    <row r="6">
      <c r="A6" s="26" t="s">
        <v>71</v>
      </c>
      <c r="B6" s="2" t="s">
        <v>17</v>
      </c>
      <c r="C6" s="16" t="s">
        <v>84</v>
      </c>
    </row>
    <row r="7">
      <c r="A7" s="2"/>
      <c r="B7" s="2" t="s">
        <v>19</v>
      </c>
    </row>
    <row r="8">
      <c r="A8" s="2"/>
      <c r="B8" s="2" t="s">
        <v>21</v>
      </c>
    </row>
    <row r="9">
      <c r="A9" s="2"/>
      <c r="B9" s="2" t="s">
        <v>22</v>
      </c>
    </row>
    <row r="10">
      <c r="A10" s="2"/>
      <c r="B10" s="16" t="s">
        <v>24</v>
      </c>
    </row>
    <row r="11">
      <c r="B11" s="16" t="s">
        <v>25</v>
      </c>
    </row>
    <row r="12">
      <c r="B12" s="16" t="s">
        <v>26</v>
      </c>
    </row>
    <row r="13">
      <c r="B13" s="16" t="s">
        <v>27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