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gmartinezl/Downloads/"/>
    </mc:Choice>
  </mc:AlternateContent>
  <xr:revisionPtr revIDLastSave="0" documentId="8_{09A41A37-AEC4-8B49-8019-6BC90162FC6F}" xr6:coauthVersionLast="47" xr6:coauthVersionMax="47" xr10:uidLastSave="{00000000-0000-0000-0000-000000000000}"/>
  <bookViews>
    <workbookView xWindow="1500" yWindow="1320" windowWidth="27640" windowHeight="16940" xr2:uid="{07C39BF3-631F-7142-9194-91E760E9EF07}"/>
  </bookViews>
  <sheets>
    <sheet name="Genera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O8" i="1"/>
  <c r="A9" i="1"/>
  <c r="O9" i="1"/>
  <c r="A10" i="1"/>
  <c r="A11" i="1"/>
  <c r="O11" i="1"/>
  <c r="A12" i="1"/>
  <c r="O12" i="1"/>
  <c r="A13" i="1"/>
  <c r="O13" i="1"/>
  <c r="A14" i="1"/>
  <c r="O14" i="1"/>
  <c r="A15" i="1"/>
  <c r="O15" i="1"/>
  <c r="A16" i="1"/>
  <c r="O16" i="1"/>
  <c r="A17" i="1"/>
  <c r="O17" i="1"/>
  <c r="A18" i="1"/>
  <c r="O18" i="1"/>
  <c r="A19" i="1"/>
  <c r="O19" i="1"/>
  <c r="A20" i="1"/>
  <c r="O20" i="1"/>
  <c r="A21" i="1"/>
  <c r="O21" i="1"/>
  <c r="A22" i="1"/>
  <c r="O22" i="1"/>
  <c r="A23" i="1"/>
  <c r="O23" i="1"/>
  <c r="A24" i="1"/>
  <c r="O24" i="1"/>
  <c r="A25" i="1"/>
  <c r="O25" i="1"/>
  <c r="A26" i="1"/>
  <c r="O26" i="1"/>
  <c r="A27" i="1"/>
  <c r="O27" i="1"/>
  <c r="A28" i="1"/>
  <c r="O28" i="1"/>
  <c r="A29" i="1"/>
  <c r="O29" i="1"/>
  <c r="A30" i="1"/>
  <c r="O30" i="1"/>
  <c r="A31" i="1"/>
  <c r="O31" i="1"/>
  <c r="A32" i="1"/>
  <c r="O32" i="1"/>
  <c r="A33" i="1"/>
  <c r="O33" i="1"/>
  <c r="A34" i="1"/>
  <c r="O34" i="1"/>
  <c r="A35" i="1"/>
  <c r="O35" i="1"/>
  <c r="A36" i="1"/>
  <c r="O36" i="1"/>
  <c r="A37" i="1"/>
  <c r="O37" i="1"/>
  <c r="A38" i="1"/>
  <c r="O38" i="1"/>
  <c r="A39" i="1"/>
  <c r="O39" i="1"/>
  <c r="A40" i="1"/>
  <c r="O40" i="1"/>
  <c r="A41" i="1"/>
  <c r="O41" i="1"/>
  <c r="A42" i="1"/>
  <c r="O42" i="1"/>
  <c r="A43" i="1"/>
  <c r="O43" i="1"/>
  <c r="A44" i="1"/>
  <c r="O44" i="1"/>
  <c r="A45" i="1"/>
  <c r="O45" i="1"/>
  <c r="A46" i="1"/>
  <c r="O46" i="1"/>
  <c r="A47" i="1"/>
  <c r="O47" i="1"/>
  <c r="A48" i="1"/>
  <c r="O48" i="1"/>
  <c r="A49" i="1"/>
  <c r="O49" i="1"/>
  <c r="A50" i="1"/>
  <c r="O50" i="1"/>
  <c r="A51" i="1"/>
  <c r="O51" i="1"/>
  <c r="A52" i="1"/>
  <c r="O52" i="1"/>
  <c r="A53" i="1"/>
  <c r="O53" i="1"/>
  <c r="A54" i="1"/>
  <c r="O54" i="1"/>
  <c r="A55" i="1"/>
  <c r="O55" i="1"/>
  <c r="A56" i="1"/>
  <c r="O56" i="1"/>
  <c r="A57" i="1"/>
  <c r="O57" i="1"/>
  <c r="A58" i="1"/>
  <c r="O58" i="1"/>
  <c r="A59" i="1"/>
  <c r="O59" i="1"/>
  <c r="A60" i="1"/>
  <c r="O60" i="1"/>
  <c r="A61" i="1"/>
  <c r="O61" i="1"/>
  <c r="A62" i="1"/>
  <c r="O62" i="1"/>
  <c r="A63" i="1"/>
  <c r="O63" i="1"/>
  <c r="A64" i="1"/>
  <c r="O64" i="1"/>
  <c r="A65" i="1"/>
  <c r="O65" i="1"/>
  <c r="A66" i="1"/>
  <c r="O66" i="1"/>
  <c r="A67" i="1"/>
  <c r="O67" i="1"/>
  <c r="A68" i="1"/>
  <c r="O68" i="1"/>
  <c r="A69" i="1"/>
  <c r="O69" i="1"/>
  <c r="A70" i="1"/>
  <c r="O70" i="1"/>
  <c r="A71" i="1"/>
  <c r="O71" i="1"/>
  <c r="A72" i="1"/>
  <c r="O72" i="1"/>
  <c r="A73" i="1"/>
  <c r="O73" i="1"/>
  <c r="A74" i="1"/>
  <c r="O74" i="1"/>
  <c r="A75" i="1"/>
  <c r="O75" i="1"/>
  <c r="A76" i="1"/>
  <c r="O76" i="1"/>
  <c r="A77" i="1"/>
  <c r="O77" i="1"/>
  <c r="A78" i="1"/>
  <c r="O78" i="1"/>
  <c r="A79" i="1"/>
  <c r="O79" i="1"/>
  <c r="A80" i="1"/>
  <c r="O80" i="1"/>
  <c r="A81" i="1"/>
  <c r="O81" i="1"/>
  <c r="A82" i="1"/>
  <c r="O82" i="1"/>
  <c r="A83" i="1"/>
  <c r="O83" i="1"/>
  <c r="A84" i="1"/>
  <c r="O84" i="1"/>
  <c r="A85" i="1"/>
  <c r="O85" i="1"/>
  <c r="A86" i="1"/>
  <c r="O86" i="1"/>
  <c r="A87" i="1"/>
  <c r="O87" i="1"/>
  <c r="A88" i="1"/>
  <c r="O88" i="1"/>
  <c r="A89" i="1"/>
  <c r="O89" i="1"/>
  <c r="A90" i="1"/>
  <c r="O90" i="1"/>
  <c r="A91" i="1"/>
  <c r="O91" i="1"/>
  <c r="A92" i="1"/>
  <c r="O92" i="1"/>
  <c r="A93" i="1"/>
  <c r="O93" i="1"/>
  <c r="A94" i="1"/>
  <c r="O94" i="1"/>
  <c r="A95" i="1"/>
  <c r="O95" i="1"/>
  <c r="A96" i="1"/>
  <c r="O96" i="1"/>
  <c r="A97" i="1"/>
  <c r="O97" i="1"/>
  <c r="A98" i="1"/>
  <c r="O98" i="1"/>
  <c r="A99" i="1"/>
  <c r="O99" i="1"/>
  <c r="A100" i="1"/>
  <c r="O100" i="1"/>
  <c r="A101" i="1"/>
  <c r="O101" i="1"/>
  <c r="A102" i="1"/>
  <c r="O102" i="1"/>
  <c r="A103" i="1"/>
  <c r="O103" i="1"/>
  <c r="A104" i="1"/>
  <c r="O104" i="1"/>
  <c r="A105" i="1"/>
  <c r="O105" i="1"/>
  <c r="A106" i="1"/>
  <c r="O106" i="1"/>
  <c r="A107" i="1"/>
  <c r="O107" i="1"/>
  <c r="A108" i="1"/>
  <c r="O108" i="1"/>
  <c r="A109" i="1"/>
  <c r="O109" i="1"/>
  <c r="A110" i="1"/>
  <c r="O110" i="1"/>
  <c r="A111" i="1"/>
  <c r="O111" i="1"/>
  <c r="A112" i="1"/>
  <c r="O112" i="1"/>
  <c r="A113" i="1"/>
  <c r="O113" i="1"/>
  <c r="A114" i="1"/>
  <c r="O114" i="1"/>
  <c r="A115" i="1"/>
  <c r="O115" i="1"/>
  <c r="A116" i="1"/>
  <c r="O116" i="1"/>
  <c r="A117" i="1"/>
  <c r="O117" i="1"/>
  <c r="A118" i="1"/>
  <c r="O118" i="1"/>
  <c r="A119" i="1"/>
  <c r="O119" i="1"/>
  <c r="A120" i="1"/>
  <c r="O120" i="1"/>
  <c r="A121" i="1"/>
  <c r="O121" i="1"/>
  <c r="A122" i="1"/>
  <c r="O122" i="1"/>
  <c r="A123" i="1"/>
  <c r="O123" i="1"/>
  <c r="A124" i="1"/>
  <c r="O124" i="1"/>
  <c r="A125" i="1"/>
  <c r="O125" i="1"/>
  <c r="A126" i="1"/>
  <c r="O126" i="1"/>
  <c r="A127" i="1"/>
  <c r="O127" i="1"/>
  <c r="A128" i="1"/>
  <c r="O128" i="1"/>
  <c r="A129" i="1"/>
  <c r="O129" i="1"/>
  <c r="A130" i="1"/>
  <c r="O130" i="1"/>
  <c r="A131" i="1"/>
  <c r="O131" i="1"/>
  <c r="A132" i="1"/>
  <c r="O132" i="1"/>
  <c r="A133" i="1"/>
  <c r="O133" i="1"/>
  <c r="A134" i="1"/>
  <c r="O134" i="1"/>
  <c r="A135" i="1"/>
  <c r="O135" i="1"/>
  <c r="A136" i="1"/>
  <c r="O136" i="1"/>
  <c r="A137" i="1"/>
  <c r="O137" i="1"/>
  <c r="A138" i="1"/>
  <c r="O138" i="1"/>
  <c r="A139" i="1"/>
  <c r="O139" i="1"/>
  <c r="A140" i="1"/>
  <c r="O140" i="1"/>
  <c r="A141" i="1"/>
  <c r="O141" i="1"/>
  <c r="A142" i="1"/>
  <c r="O142" i="1"/>
  <c r="A143" i="1"/>
  <c r="O143" i="1"/>
  <c r="A144" i="1"/>
  <c r="O144" i="1"/>
  <c r="A145" i="1"/>
  <c r="O145" i="1"/>
  <c r="A146" i="1"/>
  <c r="O146" i="1"/>
  <c r="A147" i="1"/>
  <c r="O147" i="1"/>
  <c r="A148" i="1"/>
  <c r="O148" i="1"/>
  <c r="A149" i="1"/>
  <c r="O149" i="1"/>
  <c r="A150" i="1"/>
  <c r="O150" i="1"/>
  <c r="A151" i="1"/>
  <c r="O151" i="1"/>
  <c r="A152" i="1"/>
  <c r="O152" i="1"/>
  <c r="A153" i="1"/>
  <c r="O153" i="1"/>
  <c r="A154" i="1"/>
  <c r="O154" i="1"/>
  <c r="A155" i="1"/>
  <c r="O155" i="1"/>
  <c r="A156" i="1"/>
  <c r="O156" i="1"/>
  <c r="A157" i="1"/>
  <c r="O157" i="1"/>
  <c r="A158" i="1"/>
  <c r="O158" i="1"/>
  <c r="A159" i="1"/>
  <c r="O159" i="1"/>
  <c r="A160" i="1"/>
  <c r="O160" i="1"/>
  <c r="A161" i="1"/>
  <c r="O161" i="1"/>
  <c r="A162" i="1"/>
  <c r="O162" i="1"/>
  <c r="A163" i="1"/>
  <c r="O163" i="1"/>
  <c r="A164" i="1"/>
  <c r="O164" i="1"/>
  <c r="A165" i="1"/>
  <c r="O165" i="1"/>
  <c r="A166" i="1"/>
  <c r="O166" i="1"/>
  <c r="A167" i="1"/>
  <c r="O167" i="1"/>
  <c r="A168" i="1"/>
  <c r="O168" i="1"/>
  <c r="A169" i="1"/>
  <c r="O169" i="1"/>
  <c r="A170" i="1"/>
  <c r="O170" i="1"/>
  <c r="A171" i="1"/>
  <c r="O171" i="1"/>
  <c r="A172" i="1"/>
  <c r="O172" i="1"/>
  <c r="A173" i="1"/>
  <c r="O173" i="1"/>
  <c r="A174" i="1"/>
  <c r="O174" i="1"/>
  <c r="A175" i="1"/>
  <c r="O175" i="1"/>
  <c r="A176" i="1"/>
  <c r="O176" i="1"/>
  <c r="A177" i="1"/>
  <c r="O177" i="1"/>
  <c r="A178" i="1"/>
  <c r="O178" i="1"/>
  <c r="A179" i="1"/>
  <c r="O179" i="1"/>
  <c r="A180" i="1"/>
  <c r="O180" i="1"/>
  <c r="A181" i="1"/>
  <c r="O181" i="1"/>
  <c r="A182" i="1"/>
  <c r="O182" i="1"/>
  <c r="A183" i="1"/>
  <c r="O183" i="1"/>
  <c r="A184" i="1"/>
  <c r="O184" i="1"/>
  <c r="A185" i="1"/>
  <c r="O185" i="1"/>
  <c r="A186" i="1"/>
  <c r="O186" i="1"/>
  <c r="A187" i="1"/>
  <c r="O187" i="1"/>
  <c r="A188" i="1"/>
  <c r="O188" i="1"/>
  <c r="A189" i="1"/>
  <c r="O189" i="1"/>
  <c r="A190" i="1"/>
  <c r="O190" i="1"/>
  <c r="A191" i="1"/>
  <c r="O191" i="1"/>
  <c r="A192" i="1"/>
  <c r="O192" i="1"/>
  <c r="A193" i="1"/>
  <c r="O193" i="1"/>
  <c r="A194" i="1"/>
  <c r="O194" i="1"/>
  <c r="A195" i="1"/>
  <c r="O195" i="1"/>
  <c r="A196" i="1"/>
  <c r="O196" i="1"/>
  <c r="A197" i="1"/>
  <c r="O197" i="1"/>
  <c r="A198" i="1"/>
  <c r="O198" i="1"/>
  <c r="A199" i="1"/>
  <c r="O199" i="1"/>
  <c r="A200" i="1"/>
  <c r="O200" i="1"/>
  <c r="A201" i="1"/>
  <c r="O201" i="1"/>
  <c r="A202" i="1"/>
  <c r="O202" i="1"/>
  <c r="A203" i="1"/>
  <c r="O203" i="1"/>
  <c r="A204" i="1"/>
  <c r="O204" i="1"/>
  <c r="A205" i="1"/>
  <c r="O205" i="1"/>
  <c r="A206" i="1"/>
  <c r="O206" i="1"/>
  <c r="A207" i="1"/>
  <c r="O207" i="1"/>
  <c r="A208" i="1"/>
  <c r="O208" i="1"/>
  <c r="A209" i="1"/>
  <c r="O209" i="1"/>
  <c r="A210" i="1"/>
  <c r="O210" i="1"/>
  <c r="A211" i="1"/>
  <c r="O211" i="1"/>
  <c r="A212" i="1"/>
  <c r="O212" i="1"/>
  <c r="A213" i="1"/>
  <c r="O213" i="1"/>
  <c r="A214" i="1"/>
  <c r="O214" i="1"/>
  <c r="A215" i="1"/>
  <c r="O215" i="1"/>
  <c r="A216" i="1"/>
  <c r="O216" i="1"/>
  <c r="A217" i="1"/>
  <c r="O217" i="1"/>
  <c r="A218" i="1"/>
  <c r="O218" i="1"/>
  <c r="A219" i="1"/>
  <c r="O219" i="1"/>
  <c r="A220" i="1"/>
  <c r="O220" i="1"/>
  <c r="A221" i="1"/>
  <c r="O221" i="1"/>
  <c r="A222" i="1"/>
  <c r="O222" i="1"/>
  <c r="A223" i="1"/>
  <c r="O223" i="1"/>
  <c r="A224" i="1"/>
  <c r="O224" i="1"/>
  <c r="A225" i="1"/>
  <c r="O225" i="1"/>
  <c r="A226" i="1"/>
  <c r="O226" i="1"/>
  <c r="A227" i="1"/>
  <c r="O227" i="1"/>
  <c r="A228" i="1"/>
  <c r="O228" i="1"/>
  <c r="A229" i="1"/>
  <c r="O229" i="1"/>
  <c r="A230" i="1"/>
  <c r="O230" i="1"/>
  <c r="A231" i="1"/>
  <c r="O231" i="1"/>
  <c r="A232" i="1"/>
  <c r="O232" i="1"/>
  <c r="A233" i="1"/>
  <c r="O233" i="1"/>
  <c r="A234" i="1"/>
  <c r="O234" i="1"/>
  <c r="A235" i="1"/>
  <c r="O235" i="1"/>
  <c r="A236" i="1"/>
  <c r="O236" i="1"/>
  <c r="A237" i="1"/>
  <c r="O237" i="1"/>
  <c r="A238" i="1"/>
  <c r="O238" i="1"/>
</calcChain>
</file>

<file path=xl/sharedStrings.xml><?xml version="1.0" encoding="utf-8"?>
<sst xmlns="http://schemas.openxmlformats.org/spreadsheetml/2006/main" count="3948" uniqueCount="1260">
  <si>
    <t>Recomendación Moni</t>
  </si>
  <si>
    <t>RICARDO ORTIZ PALAFOX</t>
  </si>
  <si>
    <t>monicaaguilarlugo@gmail.com</t>
  </si>
  <si>
    <t>Madre</t>
  </si>
  <si>
    <t>MONICA AGUILAR LUGO</t>
  </si>
  <si>
    <t>LUNES Y MIÉRCOLES 5:00-5:50 PM</t>
  </si>
  <si>
    <t>Presencial</t>
  </si>
  <si>
    <t>AZUARES #110 FRACC. RANCHO LA COLONIA</t>
  </si>
  <si>
    <t>OIAZ130629MHGRGLA6</t>
  </si>
  <si>
    <t>Pachuca</t>
  </si>
  <si>
    <t>Hidalgo</t>
  </si>
  <si>
    <t>Femenino</t>
  </si>
  <si>
    <t>ortizaguilarzuleyka@gmail.com</t>
  </si>
  <si>
    <t>Mexicana</t>
  </si>
  <si>
    <t>JR 1</t>
  </si>
  <si>
    <t>A1+</t>
  </si>
  <si>
    <t>Junior</t>
  </si>
  <si>
    <t>Inglés</t>
  </si>
  <si>
    <t>Activo</t>
  </si>
  <si>
    <t>ZULEYKA ORTIZ AGUILAR</t>
  </si>
  <si>
    <t>ZOA051</t>
  </si>
  <si>
    <t>FACEBOOK</t>
  </si>
  <si>
    <t>Kids</t>
  </si>
  <si>
    <t>Nuevo ingreso</t>
  </si>
  <si>
    <t>ZOEMY SAMARA SANTANDER HERRERA</t>
  </si>
  <si>
    <t>ZSH175</t>
  </si>
  <si>
    <t>College</t>
  </si>
  <si>
    <t>YARA RAFAELA GUZMAN FLORES</t>
  </si>
  <si>
    <t>YGF190</t>
  </si>
  <si>
    <t>XIMENA ESCOBEDO AGUIRRE</t>
  </si>
  <si>
    <t>XEA174</t>
  </si>
  <si>
    <t>MARIA JOSE VARGAS DE LA O</t>
  </si>
  <si>
    <t>nancydop@hotmail.com</t>
  </si>
  <si>
    <t>NANCY CITLALY DE LA O PEREZ</t>
  </si>
  <si>
    <t>MARTES Y JUEVES 12:00-12:50 PM</t>
  </si>
  <si>
    <t>TLALOC 123</t>
  </si>
  <si>
    <t>Masculino</t>
  </si>
  <si>
    <t>victormanuelvarg200@gmail.com</t>
  </si>
  <si>
    <t>CO 4</t>
  </si>
  <si>
    <t>A1</t>
  </si>
  <si>
    <t>VICTOR MANUEL VARGAS DE LA O</t>
  </si>
  <si>
    <t>VVD125</t>
  </si>
  <si>
    <t>JUANA HERNÁNDEZ LÓPEZ</t>
  </si>
  <si>
    <t>igarcia@spacy@gmail.com</t>
  </si>
  <si>
    <t>IRIS GARCIA HERNANDEZ</t>
  </si>
  <si>
    <t>SÁBADOS 11:00-11:50 AM</t>
  </si>
  <si>
    <t>S/N</t>
  </si>
  <si>
    <t>CALLE ÉBANO 101 COL. CAMPESTRE VILLAS DEL ALAMO, MINERALDE LA REFORMA</t>
  </si>
  <si>
    <t>CUGV110607MHGRRLA9</t>
  </si>
  <si>
    <t>igarcia@spacy.com</t>
  </si>
  <si>
    <t>KDS 5</t>
  </si>
  <si>
    <t>A2+</t>
  </si>
  <si>
    <t>VALERIA CURIEL GARCIA</t>
  </si>
  <si>
    <t>VCG074</t>
  </si>
  <si>
    <t>Recomendación alumno</t>
  </si>
  <si>
    <t>BRENDA DEL CARMEN ESCALANTE ALBA</t>
  </si>
  <si>
    <t>VIERNES 10:00-11:50 AM</t>
  </si>
  <si>
    <t>INDEPENDENCIA #103 COL. EL HUIXMIL</t>
  </si>
  <si>
    <t>consultoriaeia@hotmail.com</t>
  </si>
  <si>
    <t>Pachuca, Hgo.</t>
  </si>
  <si>
    <t>CO6</t>
  </si>
  <si>
    <t>TOMAS ESCALANTE PEREZ</t>
  </si>
  <si>
    <t>TEP146</t>
  </si>
  <si>
    <t>TERESA MILLONES PAUCAR</t>
  </si>
  <si>
    <t>TMP158</t>
  </si>
  <si>
    <t>HONORATO RODRIGUEZ VILLEGAS</t>
  </si>
  <si>
    <t>Esposa</t>
  </si>
  <si>
    <t>MARIANA HERNÁNDEZ MUÑOZ</t>
  </si>
  <si>
    <t>VIERNES 10:00 AM - 12:00 PM</t>
  </si>
  <si>
    <t>CALLE PINOS 206 COL. TULIPANES, MINERAL DE LA REFORMA</t>
  </si>
  <si>
    <t>ROGS830825HHGDNS01</t>
  </si>
  <si>
    <t>saidrg25@gmail.com</t>
  </si>
  <si>
    <t>CO 6</t>
  </si>
  <si>
    <t>SSAID RODRÍGUEZ GONZÁLEZ</t>
  </si>
  <si>
    <t>SRG134</t>
  </si>
  <si>
    <t>ALFREDO JIMENEZ CALVA</t>
  </si>
  <si>
    <t>patty13_d@yahoo.com.mx</t>
  </si>
  <si>
    <t>PATRICIA CORNEJO GARCIA</t>
  </si>
  <si>
    <t>LUNES Y MIÉRCOLES 5:00 A 5:50 PM</t>
  </si>
  <si>
    <t>CALLE BRONCE #215 COL. RESIDENCIAL PLATINUM</t>
  </si>
  <si>
    <t>JICS141115MHGMRFA13</t>
  </si>
  <si>
    <t>Mixquihuala, Hidalgo</t>
  </si>
  <si>
    <t>SOFIA AYELEN JIMENEZ CORNEJO</t>
  </si>
  <si>
    <t>SJC137</t>
  </si>
  <si>
    <t>Tránsito</t>
  </si>
  <si>
    <t>MIGUEL ANGEL HERNÁNDEZ MARTINES</t>
  </si>
  <si>
    <t>stefanievera82@gmail.com</t>
  </si>
  <si>
    <t>STEFANIE DANIELA VERA PIÑA</t>
  </si>
  <si>
    <t>VIERNES 5:00-5:50 PM Y  SÁBADO 11:00-11:50 AM</t>
  </si>
  <si>
    <t>JORGE ROJO LUGO #101</t>
  </si>
  <si>
    <t>HEVS181029HDFRRBA6</t>
  </si>
  <si>
    <t>CDMX</t>
  </si>
  <si>
    <t>KDS 6</t>
  </si>
  <si>
    <t>SEBASTIAN HERNANDEZ VERA</t>
  </si>
  <si>
    <t>SHV010</t>
  </si>
  <si>
    <t>DIEGO RIVERA PACHECO</t>
  </si>
  <si>
    <t>estela-1220@outlook.com</t>
  </si>
  <si>
    <t>ESTELA PACHECO MARAÑO</t>
  </si>
  <si>
    <t>LUNES Y MARTES 4:00-4:50 pm</t>
  </si>
  <si>
    <t>Circuito Santa Teresa de Ahumada, FRACC. TERESITA 2 #205 COL. SAN ANTONIO</t>
  </si>
  <si>
    <t>RIPS090707HHGVCNA4</t>
  </si>
  <si>
    <t>santiagoriverapachecollin@gmail.com</t>
  </si>
  <si>
    <t>CO 5</t>
  </si>
  <si>
    <t>SANTIAGO RIVERA PACHECO</t>
  </si>
  <si>
    <t>SRP129</t>
  </si>
  <si>
    <t>Francés</t>
  </si>
  <si>
    <t>SANTIAGO MERCADO VAZQUEZ</t>
  </si>
  <si>
    <t>SMV209F</t>
  </si>
  <si>
    <t>SMV209</t>
  </si>
  <si>
    <t>SAMANTHA BAUTISTA RAMIREZ</t>
  </si>
  <si>
    <t>SBR180</t>
  </si>
  <si>
    <t>ROMMEL EMMANUEL ESCALANTE SERRANO</t>
  </si>
  <si>
    <t>RES162</t>
  </si>
  <si>
    <t>Inactivo</t>
  </si>
  <si>
    <t>IRMA IMELDA LUNA LIRA</t>
  </si>
  <si>
    <t>ILL197</t>
  </si>
  <si>
    <t>PAULA RODRIGUEZ JARDINES</t>
  </si>
  <si>
    <t>PRJ196</t>
  </si>
  <si>
    <t>Padre</t>
  </si>
  <si>
    <t>RICARDO EMMANUEL ESCALANTE ALVA</t>
  </si>
  <si>
    <t>INDEPENDENCIA #103 COL. EL HUIXMI PACHUCA, HGO.</t>
  </si>
  <si>
    <t>ROEL TOMÁS ESCALANTE</t>
  </si>
  <si>
    <t>RTE157</t>
  </si>
  <si>
    <t>DENISSE MARBELLA TREJO</t>
  </si>
  <si>
    <t>jorgenoriega1@gmail.com</t>
  </si>
  <si>
    <t>JORGE NORIEGA GARCIA</t>
  </si>
  <si>
    <t>LUNES Y MIÉRCOLES 6:00-6:50 PM</t>
  </si>
  <si>
    <t>s/n</t>
  </si>
  <si>
    <t>CALLE CITLALI 227 COL. LA COLONIA</t>
  </si>
  <si>
    <t>NOTR180316HHGRRDA4</t>
  </si>
  <si>
    <t xml:space="preserve">RODRIGO NORIEGA TREJO </t>
  </si>
  <si>
    <t>RNT099</t>
  </si>
  <si>
    <t>ACTIVACIÓN ESCUELA</t>
  </si>
  <si>
    <t>ABNER REYES GONZALEZ</t>
  </si>
  <si>
    <t>mg.r@live.com.mx</t>
  </si>
  <si>
    <t>OLIMPIA MARITZA GONZALEZ GOMEZ</t>
  </si>
  <si>
    <t>IGNACIO ALLENDE M-B-L 31 COL. 15 DE SEPTIEMBRE</t>
  </si>
  <si>
    <t>REGR13609HHGYNDA</t>
  </si>
  <si>
    <t>RODOLFO ALEXANDER REYES GONZALEZ</t>
  </si>
  <si>
    <t>RRG047</t>
  </si>
  <si>
    <t>JOSÉ ROBERTO RIVERA HERNÁNDEZ</t>
  </si>
  <si>
    <t>Karenlopezalfonso9647@gmail.com</t>
  </si>
  <si>
    <t>KAREN CECILIA LOPEZ ALFONSO</t>
  </si>
  <si>
    <t>LUNES Y MIÉRCOLES 9:00-9:50 AM</t>
  </si>
  <si>
    <t>PRIV. MARTINETES, VILLAS DE PACHUCA</t>
  </si>
  <si>
    <t>RILR140927HCSVPBA5</t>
  </si>
  <si>
    <t>CHIAPAS</t>
  </si>
  <si>
    <t>KDS1</t>
  </si>
  <si>
    <t>ROBERTO YUNUEN RIVERA LÓPEZ</t>
  </si>
  <si>
    <t>RRL118</t>
  </si>
  <si>
    <t>MARIANA HERNANDEZ MUÑOZ</t>
  </si>
  <si>
    <t>marianahm31@hotmail.com</t>
  </si>
  <si>
    <t>SSAID RODRIGUEZ GONZALEZ</t>
  </si>
  <si>
    <t>MARTES Y JUEVES 4:00-4:50 PM</t>
  </si>
  <si>
    <t>CALLE PINOS 206 COL. TULIPANES</t>
  </si>
  <si>
    <t>ROHRR131124HDFDRCA7</t>
  </si>
  <si>
    <t>KDS7</t>
  </si>
  <si>
    <t>RICARDO RODRIGUEZ HERNANDEZ</t>
  </si>
  <si>
    <t>RRH095</t>
  </si>
  <si>
    <t>Parenthood</t>
  </si>
  <si>
    <t xml:space="preserve">RENATA SANTOS BAHENA </t>
  </si>
  <si>
    <t>RSB185</t>
  </si>
  <si>
    <t>LIANNE OSMARA FLORES LÓPEZ</t>
  </si>
  <si>
    <t>LFL191</t>
  </si>
  <si>
    <t>GEORGINA RUIZ</t>
  </si>
  <si>
    <t>daliaamor9325@gmail.com</t>
  </si>
  <si>
    <t>DALIA MAILEN OLVERA RUIZ</t>
  </si>
  <si>
    <t>JUEVES 5:00-5:50 Y SÁBADO 11:00 A 11:50</t>
  </si>
  <si>
    <t>CALLE NEZAHUACOYOTL 358. LA COLONIA</t>
  </si>
  <si>
    <t>SAOR190702MHGNLNA3</t>
  </si>
  <si>
    <t>KDS 7 Y KDS5</t>
  </si>
  <si>
    <t xml:space="preserve">Nuevo ingreso </t>
  </si>
  <si>
    <t>RENATA SANTIAGO OLVERA</t>
  </si>
  <si>
    <t>RSO115</t>
  </si>
  <si>
    <t>RAMON FRANCISCO RUEDA CRUZ</t>
  </si>
  <si>
    <t>RRC205</t>
  </si>
  <si>
    <t>BLANCA MENDOZA VAZQUEZ</t>
  </si>
  <si>
    <t>VIERNES 10:00 - 11:50 AM</t>
  </si>
  <si>
    <t>PERLA 124, SAN ANTONIO EL DESMONTE</t>
  </si>
  <si>
    <t>CAOL611225HZSMRS02</t>
  </si>
  <si>
    <t>joseluiscamm@yahoo.com.mx</t>
  </si>
  <si>
    <t>FRESNILLO ZACATECAS</t>
  </si>
  <si>
    <t>JOSE LUIS CAMPA ORTIZ</t>
  </si>
  <si>
    <t>JCO188</t>
  </si>
  <si>
    <t xml:space="preserve">PIA BELLO MARTINEZ </t>
  </si>
  <si>
    <t>PBM201</t>
  </si>
  <si>
    <t>CLAUDIA HORNUNG LEONI</t>
  </si>
  <si>
    <t>julian_bueno@uaeh.edu.mx</t>
  </si>
  <si>
    <t>JULIAN BUENO VILLEGAS</t>
  </si>
  <si>
    <t>MARTES Y VIERNES 12:00-12:50 PM</t>
  </si>
  <si>
    <t>CIRCUITO CAMPANARIO #119B MINERAL DE LA REFORMA</t>
  </si>
  <si>
    <t>BUHP130918MHGNRLA8</t>
  </si>
  <si>
    <t>paulalubuenohornung@gmail.com</t>
  </si>
  <si>
    <t>CO 3</t>
  </si>
  <si>
    <t>B1</t>
  </si>
  <si>
    <t>PAULA LUCIA BUENO HORNUNG</t>
  </si>
  <si>
    <t>PBH107</t>
  </si>
  <si>
    <t>NIDIA LIZBETH RAMIREZ ZAZUETA</t>
  </si>
  <si>
    <t>NRZ200</t>
  </si>
  <si>
    <t>NICOL PEÑA ESTRADA</t>
  </si>
  <si>
    <t>NPE179</t>
  </si>
  <si>
    <t>NDP124F</t>
  </si>
  <si>
    <t>VICTOR MANUEL VARGAS</t>
  </si>
  <si>
    <t>Otro</t>
  </si>
  <si>
    <t>JOSE MANUEL VARGAS TAPIA</t>
  </si>
  <si>
    <t>SÁBADOS 9:00 -10:50 AM</t>
  </si>
  <si>
    <t>OXPN810121MHGXRN04</t>
  </si>
  <si>
    <t>nancydop@hotmai.com</t>
  </si>
  <si>
    <t>NDP124</t>
  </si>
  <si>
    <t>ZAIDA HERNÁNDEZ GONZÁLEZ</t>
  </si>
  <si>
    <t xml:space="preserve">ALEJANDRA GÓNZALEZ MEJIA </t>
  </si>
  <si>
    <t xml:space="preserve">LUNES Y MIÉRCOLES 5:00-5:50 PM </t>
  </si>
  <si>
    <t>#310 CALLE ADOLFO LUIS CORTINEZ SAN ANTONIO</t>
  </si>
  <si>
    <t>HEGM071005HHGRNGA1</t>
  </si>
  <si>
    <t>ag6868802@gmail.com</t>
  </si>
  <si>
    <t>JR 2</t>
  </si>
  <si>
    <t>Baja temporal</t>
  </si>
  <si>
    <t>MIGUEL ÁNGEL HERNÁNDEZ GONZÁLEZ</t>
  </si>
  <si>
    <t>MHG073</t>
  </si>
  <si>
    <t>ROHM200910MHGDRLA1</t>
  </si>
  <si>
    <t>KDS 7</t>
  </si>
  <si>
    <t>MELISSA RODRIGUEZ HERNANDEZ</t>
  </si>
  <si>
    <t>MRH096</t>
  </si>
  <si>
    <t>MELISSA RIVERA RIVERA</t>
  </si>
  <si>
    <t>MRR167</t>
  </si>
  <si>
    <t>JESUS RIVERA VARGAS</t>
  </si>
  <si>
    <t>keniaa149@gmail.com</t>
  </si>
  <si>
    <t>KENIA YUTES AGUIRRE HERNANDEZ</t>
  </si>
  <si>
    <t>MARTES Y JUEVES 4:00- 4:50 PM</t>
  </si>
  <si>
    <t>AV MEXICO 132 RANCHO LA COLONIA</t>
  </si>
  <si>
    <t>RIAM110916MMCVGLA1</t>
  </si>
  <si>
    <t>Estado de México</t>
  </si>
  <si>
    <t>MELANY GERALDI RIVERA AGUIRRE</t>
  </si>
  <si>
    <t>MRA058</t>
  </si>
  <si>
    <t>MATIAS GAEL MONTIEL AVILES</t>
  </si>
  <si>
    <t>MMA193</t>
  </si>
  <si>
    <t>MATEO GARCIA VAZQUEZ</t>
  </si>
  <si>
    <t>MGV183F</t>
  </si>
  <si>
    <t>MGV183</t>
  </si>
  <si>
    <t>MARIANA GUADALUPE CARRILLO VERA</t>
  </si>
  <si>
    <t>MCV189</t>
  </si>
  <si>
    <t>PEDRO MARTINEZ</t>
  </si>
  <si>
    <t>marypardo100@gmail.com</t>
  </si>
  <si>
    <t>MARIA CONCEPCIÓN PARDO BARRIENTOS</t>
  </si>
  <si>
    <t>SÁBADO 9:00-10:40 AM</t>
  </si>
  <si>
    <t>PRIV. VALLE DE TURQUESA AMBAR #105 SAN ANTONIO EL DESMONTE</t>
  </si>
  <si>
    <t>MAPM110609MDFRRRA1</t>
  </si>
  <si>
    <t>marianmart.0130@gmail.com</t>
  </si>
  <si>
    <t xml:space="preserve"> CO 2</t>
  </si>
  <si>
    <t>MARIAN DAIANA MARTINEZ PARDO</t>
  </si>
  <si>
    <t>MMP044</t>
  </si>
  <si>
    <t>FIDEL RODRIGUEZ SALAS</t>
  </si>
  <si>
    <t>MARTES Y JUEVES 9:00-9:50 AM</t>
  </si>
  <si>
    <t>CARTUJA DE LA TRINIDAD #201 FRACC. CARTUJA</t>
  </si>
  <si>
    <t>ROBL790101MMNJRS03</t>
  </si>
  <si>
    <t>chuny260609@gmail.com</t>
  </si>
  <si>
    <t>MICHOACAN</t>
  </si>
  <si>
    <t>CO 1</t>
  </si>
  <si>
    <t>A2</t>
  </si>
  <si>
    <t>MARÍA LUISA ROJAS BRAVO</t>
  </si>
  <si>
    <t>MRB116</t>
  </si>
  <si>
    <t>VAOJ071008MHGRXSA0</t>
  </si>
  <si>
    <t>CO3</t>
  </si>
  <si>
    <t xml:space="preserve">MARIA JOSÉ VARGAS DE LA O </t>
  </si>
  <si>
    <t>MVD126</t>
  </si>
  <si>
    <t>MARÍA JOSÉ VARGAS DE LA O</t>
  </si>
  <si>
    <t>MVD126F</t>
  </si>
  <si>
    <t>GABRIELA OLGUIN</t>
  </si>
  <si>
    <t>gabyolguin@gmail.com</t>
  </si>
  <si>
    <t>GABRIELA OLGUIN UGALDE</t>
  </si>
  <si>
    <t xml:space="preserve">CIRCUITO EL PARAISO #359 </t>
  </si>
  <si>
    <t>AAOF050610MHGLLRA0</t>
  </si>
  <si>
    <t>fer.alanis999@gmail.com</t>
  </si>
  <si>
    <t>Tepeji del Rio</t>
  </si>
  <si>
    <t>CO4</t>
  </si>
  <si>
    <t>MARÍA FERNANDA ALANIS OLGUIN</t>
  </si>
  <si>
    <t>MAO100</t>
  </si>
  <si>
    <t>carmenalba57@hotmail.com</t>
  </si>
  <si>
    <t>Tlacotalpan, Veracruz</t>
  </si>
  <si>
    <t>MARIA DEL CARMEN ALBA GONZALEZ</t>
  </si>
  <si>
    <t>MAG147</t>
  </si>
  <si>
    <t>MARA MONTSERRAT SANCHEZ LOPEZ</t>
  </si>
  <si>
    <t>MSL160</t>
  </si>
  <si>
    <t>MIGUEL ANGEL GARCIA MARTINEZ</t>
  </si>
  <si>
    <t>mmaaiirryt@gmail.com</t>
  </si>
  <si>
    <t>MARIA DEL CARMEN HERNANDEZ MATIAS</t>
  </si>
  <si>
    <t>SÁBADO 11:00-11:50 AM</t>
  </si>
  <si>
    <t>Calle Cipreces #09 FRACC. LAURELES COLONIA EL PARAISO.</t>
  </si>
  <si>
    <t>GAHM130711MHGRRRA4</t>
  </si>
  <si>
    <t>mairyalexandragarcia@gmail.com</t>
  </si>
  <si>
    <t>MAIRY ALEXANDRA GARCIA HERNANDEZ</t>
  </si>
  <si>
    <t>MGH110</t>
  </si>
  <si>
    <t>LUIS SANTIAGO VIVANCO PAREDES</t>
  </si>
  <si>
    <t>LVP172</t>
  </si>
  <si>
    <t>BENJAMIN RAZO SALINAS</t>
  </si>
  <si>
    <t>rojoamanecer2019@gmail.com</t>
  </si>
  <si>
    <t>MARIA VERONICA TREJO CORTES</t>
  </si>
  <si>
    <t>AV. COYOACAN #109 FRACC. RANCHO LA COLONIA</t>
  </si>
  <si>
    <t>RATL100907MHGZRCA6</t>
  </si>
  <si>
    <t>LUCIA RAZO TREJO</t>
  </si>
  <si>
    <t>LRT092</t>
  </si>
  <si>
    <t>FERNANDO HERNANDEZ</t>
  </si>
  <si>
    <t>VIERNES 3:00-4:50 PM</t>
  </si>
  <si>
    <t>VALLE DE ABAJO #321 SAN JAVIER</t>
  </si>
  <si>
    <t>HEBL720730MHGRDZ03</t>
  </si>
  <si>
    <t>lizzy1badillo@gmail.com</t>
  </si>
  <si>
    <t>CE 3</t>
  </si>
  <si>
    <t>B2</t>
  </si>
  <si>
    <t>Certifications</t>
  </si>
  <si>
    <t>LIZZY YADIRA HERNANDEZ BADILLO</t>
  </si>
  <si>
    <t>LHB120</t>
  </si>
  <si>
    <t>LIANNE ALANIS GUZMAN FLORES</t>
  </si>
  <si>
    <t>LGF203</t>
  </si>
  <si>
    <t>ALEJANDRA REYES MARTINEZ</t>
  </si>
  <si>
    <t>ing.omargonzalez@gmail.com</t>
  </si>
  <si>
    <t>OMAR GONZALEZ TREJO</t>
  </si>
  <si>
    <t>AV. PRINCIPAL #13A FRACC. LA NUEVA AIROSA</t>
  </si>
  <si>
    <t>GORL130819HHGNYMA0</t>
  </si>
  <si>
    <t>liam.glezreyes@gmail.com</t>
  </si>
  <si>
    <t>LIAM GONZALEZ REYES</t>
  </si>
  <si>
    <t>LGR141</t>
  </si>
  <si>
    <t>OMAR OCIEL LABRA TREJO</t>
  </si>
  <si>
    <t>leslyangel249@gmail.com</t>
  </si>
  <si>
    <t>ELIZABETH ACOSTA OLGUIN</t>
  </si>
  <si>
    <t>LUNES Y MIERCOLES  5:00-5:50 PM</t>
  </si>
  <si>
    <t xml:space="preserve">PRIVADA VALLE LAS PERLAS #118, SAN ANTONIO EL DESMONTE </t>
  </si>
  <si>
    <t>LAAL071205MHGBCSA6</t>
  </si>
  <si>
    <t>leslylabraacosta@gmail.com</t>
  </si>
  <si>
    <t>JR1</t>
  </si>
  <si>
    <t>LESLY LABRA ACOSTA</t>
  </si>
  <si>
    <t>LLA127</t>
  </si>
  <si>
    <t>LEONEL ORTEGA MONTES</t>
  </si>
  <si>
    <t>carmen.olguin.cruz@gmail.com</t>
  </si>
  <si>
    <t>MARIA DEL CARMEN OLGUIN CRUZ</t>
  </si>
  <si>
    <t>MARTES Y JUEVES 5:00-5:50 PM</t>
  </si>
  <si>
    <t>Calle Jade #162 FRACC. PRISMAS</t>
  </si>
  <si>
    <t>KDS 2</t>
  </si>
  <si>
    <t>Baja por vacaciones</t>
  </si>
  <si>
    <t xml:space="preserve">LEONEL ORTEGA OLGUIN </t>
  </si>
  <si>
    <t>LOO065</t>
  </si>
  <si>
    <t>LAURA LETICIA GOMEZ LÓPEZ</t>
  </si>
  <si>
    <t>cv_gomez@outlook.com</t>
  </si>
  <si>
    <t>CLAUDIA VERONICA MOYA GOMEZ</t>
  </si>
  <si>
    <t>CALLE CIPRES #100 FRACC. ARRAYANES</t>
  </si>
  <si>
    <t>ROML170501HHGMYNA5</t>
  </si>
  <si>
    <t>LEONARDO ROMERO MOYA</t>
  </si>
  <si>
    <t>LRM097</t>
  </si>
  <si>
    <t xml:space="preserve">DULCE SALGUERO </t>
  </si>
  <si>
    <t>lauraquintero6154@gmail.com</t>
  </si>
  <si>
    <t>Bisabuela</t>
  </si>
  <si>
    <t>MARIA LAURA QUINTERO</t>
  </si>
  <si>
    <t>AV. COYOACAN #110 RANCHO LA COLONIA</t>
  </si>
  <si>
    <t>CASL200108HHGHLBA1</t>
  </si>
  <si>
    <t>KDS 1</t>
  </si>
  <si>
    <t>LEOBARDO ANTUAN CHAVEZ SALGUERO</t>
  </si>
  <si>
    <t>LCS070</t>
  </si>
  <si>
    <t>LAURA LIZET PEDROZA VILLALBA</t>
  </si>
  <si>
    <t>LPV171</t>
  </si>
  <si>
    <t>JUAN MOHEDANO OLIVARES</t>
  </si>
  <si>
    <t>JMO177</t>
  </si>
  <si>
    <t>Hija</t>
  </si>
  <si>
    <t>LILIANA RODRIGUEZ</t>
  </si>
  <si>
    <t>PRIVADA CERVIDUMBRE #107</t>
  </si>
  <si>
    <t>OAPJ540319MDFXRS07</t>
  </si>
  <si>
    <t>luisa_nt@outlook.com</t>
  </si>
  <si>
    <t>JOSEFINA OAXACA PEREZ</t>
  </si>
  <si>
    <t>JOP011</t>
  </si>
  <si>
    <t>Redes sociales (FACEBOOK)</t>
  </si>
  <si>
    <t>ABRIL YOLOTZIN GARCIA SAGAON</t>
  </si>
  <si>
    <t>AGS153</t>
  </si>
  <si>
    <t>JOSÉ RICARDO MALDONADO AGUILAR</t>
  </si>
  <si>
    <t>JMA165</t>
  </si>
  <si>
    <t>RODRIGO ALVAREZ</t>
  </si>
  <si>
    <t>citlaloho77@gmail.com</t>
  </si>
  <si>
    <t>CITLALI HERNÁNDEZ OCTAVIO</t>
  </si>
  <si>
    <t>AV. FERROCARRIL, HIDALGO 212 DEPTO. 1 COL. VILLAS DE PACHUCA</t>
  </si>
  <si>
    <t>AAHL160822HDFLRNA2</t>
  </si>
  <si>
    <t>citlaliho77@gmail.com</t>
  </si>
  <si>
    <t>JOSE LEONARDO ÁLVAREZ HERNÁNDEZ</t>
  </si>
  <si>
    <t>JAH080</t>
  </si>
  <si>
    <t>JOHN ANDREW HUITRÓN LEGORRETA</t>
  </si>
  <si>
    <t>tirezone2010@hotmail.com</t>
  </si>
  <si>
    <t>ADELA LEGORRETA GARDUÑO</t>
  </si>
  <si>
    <t>MARTES Y JUEVES 7:00 -7:50 PM</t>
  </si>
  <si>
    <t>Virtual</t>
  </si>
  <si>
    <t>CARRETERA JILOTEPEC TEPEJI #48</t>
  </si>
  <si>
    <t>HULJ110611HNETGHA</t>
  </si>
  <si>
    <t>Canadiense - Mexicana</t>
  </si>
  <si>
    <t>JRV1</t>
  </si>
  <si>
    <t>JOHN ANDREW HUITRON LEGORRETA</t>
  </si>
  <si>
    <t>JHL006</t>
  </si>
  <si>
    <t>JESSICA SANCHEZ HERNANDEZ</t>
  </si>
  <si>
    <t>JSH192</t>
  </si>
  <si>
    <t>JANITZIN NATALIA MALDONADO AGUILAR</t>
  </si>
  <si>
    <t>JMA164</t>
  </si>
  <si>
    <t>Instagram</t>
  </si>
  <si>
    <t>JADE YETZALI MEDINA SANCHEZ</t>
  </si>
  <si>
    <t>JMS195</t>
  </si>
  <si>
    <t>JACQUELINE HERNANDEZ MORALEZ</t>
  </si>
  <si>
    <t>JHM168</t>
  </si>
  <si>
    <t>CESAR IBARRA GONZALEZ</t>
  </si>
  <si>
    <t>haletseh@live.com.mx</t>
  </si>
  <si>
    <t>ESTELA PIEDRA ROMERO</t>
  </si>
  <si>
    <t>FRACC. PASEOS DE LA PLATA. COL. SAN ANTONIO</t>
  </si>
  <si>
    <t>Ixmiquilpan, Hgo</t>
  </si>
  <si>
    <t>DANIELA VALERIA IBARRA PIEDRA</t>
  </si>
  <si>
    <t>DIP145</t>
  </si>
  <si>
    <t>XIMENA MICHELLE IBARRA PIEDRA</t>
  </si>
  <si>
    <t>XIP144</t>
  </si>
  <si>
    <t>Stand Chitiva</t>
  </si>
  <si>
    <t>EDNITHA SANTILLANO MIRANDA</t>
  </si>
  <si>
    <t>geratorresjr@gmail.com</t>
  </si>
  <si>
    <t>LUIS GERARDO TORRES FERNANDEZ</t>
  </si>
  <si>
    <t>LUNES 6:00 A 6:50 PM Y MARTES 5:00 A 5:50 PM</t>
  </si>
  <si>
    <t>CALLE NISPERO 201 FRACC. PASEO DE LOS SOLARES</t>
  </si>
  <si>
    <t>TOSB161110HHGRNRA4</t>
  </si>
  <si>
    <t>gerardotorresjr@gmail.com</t>
  </si>
  <si>
    <t>BRUNO TORRES SANTILLANO</t>
  </si>
  <si>
    <t>BTS143</t>
  </si>
  <si>
    <t>LUNES 7:00 A 7:50 PM Y VIERNES 5:00 A 5:50 PM</t>
  </si>
  <si>
    <t>TOSL110821HDGRNSA0</t>
  </si>
  <si>
    <t>DURANGO</t>
  </si>
  <si>
    <t>LUIS ANGEL TORRES SANTILLANO</t>
  </si>
  <si>
    <t>LTS142</t>
  </si>
  <si>
    <t>GORI100923MHGNYVA7</t>
  </si>
  <si>
    <t>gonzalez.reyes.ivanna23@gmail.com</t>
  </si>
  <si>
    <t>IVANNA GONZÁLEZ REYES</t>
  </si>
  <si>
    <t>IGR140</t>
  </si>
  <si>
    <t>ISABELLA RENATA PEREZ UGALDE</t>
  </si>
  <si>
    <t>IPU154</t>
  </si>
  <si>
    <t>ZIMRA YERED ANGELES TAJONA</t>
  </si>
  <si>
    <t>donajipinol9626@gmail.com</t>
  </si>
  <si>
    <t>DONAJI MACEDONIA PIÑON MORENO</t>
  </si>
  <si>
    <t>JUEVES 6:00-6:50 PM</t>
  </si>
  <si>
    <t>SEGUNDA CERRADA DE VALLE BLANCO #106</t>
  </si>
  <si>
    <t>PIMA110701HDFXRNA3</t>
  </si>
  <si>
    <t>ANDRÉ KALEV PIÑON MORENO</t>
  </si>
  <si>
    <t>APM139</t>
  </si>
  <si>
    <t>AEPL130711HDFNXMA8</t>
  </si>
  <si>
    <t>LIAM SAMUEL ANGELES PIÑON</t>
  </si>
  <si>
    <t>LAP138</t>
  </si>
  <si>
    <t>MARÍA ENRIQUETA SIERRA</t>
  </si>
  <si>
    <t>ortosms@gmail.com</t>
  </si>
  <si>
    <t>SOFIA MONTALVO SIERRA</t>
  </si>
  <si>
    <t>COLIMA NO 300-A COL. CUBITOS</t>
  </si>
  <si>
    <t>MOSI180804MMCNRLA1</t>
  </si>
  <si>
    <t>ortsms@gmail.com</t>
  </si>
  <si>
    <t>KDSF 1</t>
  </si>
  <si>
    <t>Reingreso</t>
  </si>
  <si>
    <t>ILA MONTALVO SIERRA</t>
  </si>
  <si>
    <t>IMS052F</t>
  </si>
  <si>
    <t>IMS052</t>
  </si>
  <si>
    <t>IKTAN GADIEL RIVERA LÓPEZ</t>
  </si>
  <si>
    <t>IRL117</t>
  </si>
  <si>
    <t>VICTOR HUGO TIBURCIO ALARCON</t>
  </si>
  <si>
    <t>aiiadne.95@hotmail.com</t>
  </si>
  <si>
    <t>ARACELY PEREZ CRUZ</t>
  </si>
  <si>
    <t>LUNES Y MIÉRCOLES 5:00 -5:50 PM</t>
  </si>
  <si>
    <t>FRACCIONAMIENTO RANCHO LA COLONIA, MEXICO, 102</t>
  </si>
  <si>
    <t>PECI130918HHGRRNA6</t>
  </si>
  <si>
    <t>JR 1 Y CO 2</t>
  </si>
  <si>
    <t>Reingreso/ baja</t>
  </si>
  <si>
    <t>IAN RAUL PEREZ CRUZ</t>
  </si>
  <si>
    <t>IPC020</t>
  </si>
  <si>
    <t>VERENICE HERNANDEZ G.</t>
  </si>
  <si>
    <t>verehgnlm@gmail.com</t>
  </si>
  <si>
    <t>Esposo</t>
  </si>
  <si>
    <t>ANGEL ISAAC PRADO PEREZ</t>
  </si>
  <si>
    <t>LUNES 10:00-10:50   VIERNES 9:00-9:50</t>
  </si>
  <si>
    <t>CALLE FRANCISCO NOBLE #126, SAN ANTONIO EL DESMONTE</t>
  </si>
  <si>
    <t>LUHM000928MHGGRNA0</t>
  </si>
  <si>
    <t>monselugo15@gmail.com</t>
  </si>
  <si>
    <t>CE 4</t>
  </si>
  <si>
    <t>B1+</t>
  </si>
  <si>
    <t>MONTSERRAT LUGO HERNÁNDEZ</t>
  </si>
  <si>
    <t>MLH133</t>
  </si>
  <si>
    <t>MARIA ELENA ORTEGA CHAVEZ</t>
  </si>
  <si>
    <t>monse1100@live.com</t>
  </si>
  <si>
    <t>CYNTIA MONSERRAT FLORES ORTEGA</t>
  </si>
  <si>
    <t>PRIVADA ALLOZ #109, FRACC. REAL NAVARRA  ZEMPOALA</t>
  </si>
  <si>
    <t>monse1100@live. Com</t>
  </si>
  <si>
    <t>EDER LEONEL MARTINEZ FLORES</t>
  </si>
  <si>
    <t>EMF132</t>
  </si>
  <si>
    <t>LUIS FRANCISCO ANDRADE TRUJILLO</t>
  </si>
  <si>
    <t>andradet07@hotmail.com</t>
  </si>
  <si>
    <t>ANA LUISA ANDRADE TRUJILLO</t>
  </si>
  <si>
    <t>LUNES Y MIERCOLES 6:00-6:50 PM</t>
  </si>
  <si>
    <t>CALLE TLALOC 160, FRACCIONAMIENTO LA COLONIA, MINERAL DE LA REFOFRMA</t>
  </si>
  <si>
    <t>VIAL161107MHGLNSA0</t>
  </si>
  <si>
    <t>01/08/2026  06/10/26</t>
  </si>
  <si>
    <t>Baja</t>
  </si>
  <si>
    <t>LUISA FERNANDA VILLARREAL ANDRADE</t>
  </si>
  <si>
    <t>LVA131</t>
  </si>
  <si>
    <t>HELIANA GARCIA VAZQUEZ</t>
  </si>
  <si>
    <t>HGV182F</t>
  </si>
  <si>
    <t>HGV182</t>
  </si>
  <si>
    <t>GUADALUPE BEATRIZ NARVAEZ ORTA</t>
  </si>
  <si>
    <t>GNO199</t>
  </si>
  <si>
    <t>GUILLERMO MARTINEZ ROBLEDO</t>
  </si>
  <si>
    <t>yanelianadalay@gmail.com</t>
  </si>
  <si>
    <t>YANELI ROBLEDO SERRANO</t>
  </si>
  <si>
    <t>CALLE SAGRA 121 REAL TOLEDO</t>
  </si>
  <si>
    <t>MARG170407MDFRBRA9</t>
  </si>
  <si>
    <t>GRECIA MARTINEZ ROBLEDO</t>
  </si>
  <si>
    <t>GMR091</t>
  </si>
  <si>
    <t>BENITO HERNÁNDEZ REYES</t>
  </si>
  <si>
    <t>lluviadegatos07@gmail.com</t>
  </si>
  <si>
    <t>MARCELINA ESMERALDA VITE REYES</t>
  </si>
  <si>
    <t>CALLE MIMOSA #533 FRACC. EL SAUCILLO</t>
  </si>
  <si>
    <t>HEVF170315MHGRTRA1</t>
  </si>
  <si>
    <t>FERNANDA MONTSERRAT HERNÁNDEZ VITE</t>
  </si>
  <si>
    <t>FHV136</t>
  </si>
  <si>
    <t>ERICK SAMUEL RIVERA RIVERA</t>
  </si>
  <si>
    <t>ERR166</t>
  </si>
  <si>
    <t>ANDRES MONZALVO</t>
  </si>
  <si>
    <t>ALAMO 34, PRIVADAS DE SAN JAVIER</t>
  </si>
  <si>
    <t>MORE960716HDFNMR02</t>
  </si>
  <si>
    <t>Stsrt4@gmail.com</t>
  </si>
  <si>
    <t>CIUDAD DE MEXICO</t>
  </si>
  <si>
    <t>ERICK DANIEL MONZALVO RAMIREZ</t>
  </si>
  <si>
    <t>EMR187</t>
  </si>
  <si>
    <t>EMILY CAMACHO BELLO</t>
  </si>
  <si>
    <t>ECB204</t>
  </si>
  <si>
    <t>Emmanuel Ortega Resendiz</t>
  </si>
  <si>
    <t>emmanuel.ortega2530@gmail.com</t>
  </si>
  <si>
    <t>ARIADNA LOZADA LEON</t>
  </si>
  <si>
    <t>AMAPOLA 301 FRACC. LAS FLORES, MINERAL DE LA REFORMA</t>
  </si>
  <si>
    <t>Nuevo ingreso/ baja temporal</t>
  </si>
  <si>
    <t>DENISSE ESTEFANIA ORTEGA LOZADA</t>
  </si>
  <si>
    <t>DOL122</t>
  </si>
  <si>
    <t>Empleada</t>
  </si>
  <si>
    <t>URIEL LARA PAREDES</t>
  </si>
  <si>
    <t>mary35_15@hotmail.com</t>
  </si>
  <si>
    <t>MARIELA CRUZ ORTEGA</t>
  </si>
  <si>
    <t>MARTES 6:00-6:50 PM</t>
  </si>
  <si>
    <t>PRIV. DE LOS JILGUEROS #106 FRACC. RANCHO LA COLONIA</t>
  </si>
  <si>
    <t>LACS210714HHGRRBA5</t>
  </si>
  <si>
    <t xml:space="preserve"> KDSF 1</t>
  </si>
  <si>
    <t>BECA</t>
  </si>
  <si>
    <t>SEBASTIAN LARA CRUZ</t>
  </si>
  <si>
    <t>SLC121F</t>
  </si>
  <si>
    <t>KDSS 2</t>
  </si>
  <si>
    <t>SLC121</t>
  </si>
  <si>
    <t>EMILIANO SANTOS BAHENA</t>
  </si>
  <si>
    <t>ESB186</t>
  </si>
  <si>
    <t>EMILIANO ORTEGA OLGUIN</t>
  </si>
  <si>
    <t>EOO066</t>
  </si>
  <si>
    <t>EMILIANO BENITEZ SALINAS</t>
  </si>
  <si>
    <t>EBS155</t>
  </si>
  <si>
    <t>ALEJANDRA JIMENEZ ESTRADA</t>
  </si>
  <si>
    <t>jes78.sophy@gmail.com</t>
  </si>
  <si>
    <t>SOFIA JIMENEZ ESTRADA</t>
  </si>
  <si>
    <t>FRACCIONAMIENTO RANCHO LA COLONIA CALLE ROMA 101</t>
  </si>
  <si>
    <t>JIEX050311MHGMSMA8</t>
  </si>
  <si>
    <t>ximeid.05@gmail</t>
  </si>
  <si>
    <t xml:space="preserve">baja temporal </t>
  </si>
  <si>
    <t>XIMENA IDALID JIMENEZ ESTRADA</t>
  </si>
  <si>
    <t>XJE015</t>
  </si>
  <si>
    <t>EMILIA GARCIA ROMERO</t>
  </si>
  <si>
    <t>EGR208</t>
  </si>
  <si>
    <t>GERARDO CERÓN AMADO</t>
  </si>
  <si>
    <t>CIRCUITO DEL CARBONO #125 PASEOS DE LA PLATA</t>
  </si>
  <si>
    <t>delis22-@yahoo.com</t>
  </si>
  <si>
    <t>ELVIA DELIA NARANJO CORNEJO</t>
  </si>
  <si>
    <t>ENC152</t>
  </si>
  <si>
    <t>ELISA ITZEL CURIEL SANCHEZ</t>
  </si>
  <si>
    <t>ECS181</t>
  </si>
  <si>
    <t>EDUARDO HERNÁNDEZ ORTIZ</t>
  </si>
  <si>
    <t>EHO210</t>
  </si>
  <si>
    <t>arqca77@yahoo.com.mx</t>
  </si>
  <si>
    <t>GERARDO CERON AMADO</t>
  </si>
  <si>
    <t>CENE150728HHGRRDA8</t>
  </si>
  <si>
    <t xml:space="preserve">EDUARDO CERON NARANJO </t>
  </si>
  <si>
    <t>ECN149</t>
  </si>
  <si>
    <t>Baruc Vite</t>
  </si>
  <si>
    <t>vitebere@gmail.com</t>
  </si>
  <si>
    <t>BERENICE VITE ORTIZ</t>
  </si>
  <si>
    <t>Av. Cisnes OTE MZ ll, LOTE 16 CASA 3</t>
  </si>
  <si>
    <t>EDGAR EDER ROLDAN VITE</t>
  </si>
  <si>
    <t>ERV123</t>
  </si>
  <si>
    <t>DYLAN MARQUEZ PEDROZA</t>
  </si>
  <si>
    <t>DMP170</t>
  </si>
  <si>
    <t>Hijo</t>
  </si>
  <si>
    <t>JOHN ALEJANDRO REYES ANGELES</t>
  </si>
  <si>
    <t>LUNES 4:00-4:50PM</t>
  </si>
  <si>
    <t>C. 16 de septiembre #137 Col. Huixmil</t>
  </si>
  <si>
    <t>AEZR770831MHGNMM00</t>
  </si>
  <si>
    <t>Nuevo ingreso/ BAJA</t>
  </si>
  <si>
    <t>RAMONA ANGELES ZAMORA</t>
  </si>
  <si>
    <t>RAZ106</t>
  </si>
  <si>
    <t>CRISTINA</t>
  </si>
  <si>
    <t>OLGA CRISTINA BAUTISTA ARRIAGA</t>
  </si>
  <si>
    <t>SÁBADOS 9:00-10:40 AM</t>
  </si>
  <si>
    <t>Real Toledo Gvadiana lll</t>
  </si>
  <si>
    <t>BAAR980914HHGTRM08</t>
  </si>
  <si>
    <t>alebav@gmail.com</t>
  </si>
  <si>
    <t>RAMÓN ALEJANDRO BAUTISTA ARRIAGA</t>
  </si>
  <si>
    <t>RBA046</t>
  </si>
  <si>
    <t>OSCAR ERNESTO ORTEGA GARCIA</t>
  </si>
  <si>
    <t>dulcezybha@gmail.com</t>
  </si>
  <si>
    <t>ZUBHA HERNANDEZ TARASENA</t>
  </si>
  <si>
    <t>MARTES Y JUEVES 7:00-7:50 PM</t>
  </si>
  <si>
    <t>PRIVADA PALERMA CALLE GLORICIA 110 VIÑEDOS</t>
  </si>
  <si>
    <t>OEHD131126MHGRRLA9</t>
  </si>
  <si>
    <t>dulcezubha@gmail.com</t>
  </si>
  <si>
    <t>DULCE ELI ORTEGA HERNÁNDEZ</t>
  </si>
  <si>
    <t>DOH059</t>
  </si>
  <si>
    <t>ILSE IVONNE ANGELES</t>
  </si>
  <si>
    <t>sosagonzalezvictorhugo@gmail.com</t>
  </si>
  <si>
    <t>VICTOR HUGO SOSA GONZALEZ</t>
  </si>
  <si>
    <t>AV. MEXICO #270B FRACC. RANCHO LA COLONIA</t>
  </si>
  <si>
    <t>SOCN060821MHGSNCA7</t>
  </si>
  <si>
    <t>NICOLLE SOSA CANALES</t>
  </si>
  <si>
    <t>NSC041</t>
  </si>
  <si>
    <t>Escuela Florinda Chapa</t>
  </si>
  <si>
    <t>mary35_15@gmail.com</t>
  </si>
  <si>
    <t>MARTES 6:00- 6:50 PM</t>
  </si>
  <si>
    <t>LACN171206MMCRRTA8</t>
  </si>
  <si>
    <t>beca</t>
  </si>
  <si>
    <t>Beca</t>
  </si>
  <si>
    <t>NATALY ARIADNE LARA CRUZ</t>
  </si>
  <si>
    <t>NLC061F</t>
  </si>
  <si>
    <t>MIÉRCOLES Y VIERNES 4:00- 4:50 PM</t>
  </si>
  <si>
    <t>KDS2</t>
  </si>
  <si>
    <t xml:space="preserve">Beca </t>
  </si>
  <si>
    <t>NLC061</t>
  </si>
  <si>
    <t>JOSE MIGUEL NEGRETE</t>
  </si>
  <si>
    <t>krlaxvt@gmail.com</t>
  </si>
  <si>
    <t>CARLA VELAZQUEZ TENORIO</t>
  </si>
  <si>
    <t>MIÉRCOLES 5:00-5:50 PM Y JUEVES 6:00-6:50PM</t>
  </si>
  <si>
    <t>CALLE DE LA PALMA #305 COL SAN ANTONIO</t>
  </si>
  <si>
    <t>NEVM130403HMCGLGA8</t>
  </si>
  <si>
    <t>Edomex</t>
  </si>
  <si>
    <t>JR 1 Y KDS 4</t>
  </si>
  <si>
    <t>Nuevo ingreso/ baja</t>
  </si>
  <si>
    <t>MIGUEL MATIAS NEGRETE VELAZQUEZ</t>
  </si>
  <si>
    <t>MNV112</t>
  </si>
  <si>
    <t>Recomendación</t>
  </si>
  <si>
    <t xml:space="preserve"> MARTES 5:00 Y JUEVES 6:00- 6:50 PM</t>
  </si>
  <si>
    <t>MHG076</t>
  </si>
  <si>
    <t>VIERNES 6:00-7:50 PM</t>
  </si>
  <si>
    <t>FR CO 1</t>
  </si>
  <si>
    <t>DOH059F</t>
  </si>
  <si>
    <t>DIEGO MARQUEZ PEDROZA</t>
  </si>
  <si>
    <t>DMP169</t>
  </si>
  <si>
    <t>SILVIA RODRIGUEZ</t>
  </si>
  <si>
    <t>Jovana_alva_10@icloud.com</t>
  </si>
  <si>
    <t>JOVANA ALVARADO RODRIGUEZ</t>
  </si>
  <si>
    <t>MARTES Y JUEVES 10:00-10:50 PM</t>
  </si>
  <si>
    <t>COL. MAGISTERIO, CALLE NORTE 2 #801</t>
  </si>
  <si>
    <t>CUAM060422MHGRLLA9</t>
  </si>
  <si>
    <t>meli11cruzalva@gmail.com</t>
  </si>
  <si>
    <t>CE 1</t>
  </si>
  <si>
    <t>MELISSA MOSHE CRUZ ALVARADO</t>
  </si>
  <si>
    <t>MCA111</t>
  </si>
  <si>
    <t>DARLENE FATIMA SANTANDER HERRERA</t>
  </si>
  <si>
    <t>DSH176</t>
  </si>
  <si>
    <t>ITZEE CASTRO MONROY</t>
  </si>
  <si>
    <t>orivera.m@outlook.com</t>
  </si>
  <si>
    <t>OZIEL RIVERA MARTINEZ</t>
  </si>
  <si>
    <t>PRIV. LA ESCONDIDA LOS PINOS SAN ANTONIO PACHUCA</t>
  </si>
  <si>
    <t>RICM150324MMCVSXA0</t>
  </si>
  <si>
    <t>Nuevo ingreso/baja</t>
  </si>
  <si>
    <t>MIA ISABELLA RIVERA CASTRO</t>
  </si>
  <si>
    <t>MRC103</t>
  </si>
  <si>
    <t>ESTEFANI ESPINOZA AYALA</t>
  </si>
  <si>
    <t>marymam1125@gmail.com</t>
  </si>
  <si>
    <t>SANTA MAGDALENA AYALA HERNANDEZ</t>
  </si>
  <si>
    <t>CALLE OMAR FONSECA #5 SAN ANTONIO</t>
  </si>
  <si>
    <t>EIAM170625HHGSYRA6</t>
  </si>
  <si>
    <t>MARIO ALFONSO ESPITIA AYALA</t>
  </si>
  <si>
    <t>MEA090</t>
  </si>
  <si>
    <t>LIZZY YADIRA HERNÁNDEZ</t>
  </si>
  <si>
    <t>CARRETERAS 281, SAHOP CHACON</t>
  </si>
  <si>
    <t>HEHD000404MHGRRNA7</t>
  </si>
  <si>
    <t>daniela.hdez.hernandez@gmail.com</t>
  </si>
  <si>
    <t>DANIELA HERNANDEZ HERNANDEZ</t>
  </si>
  <si>
    <t>DHH119</t>
  </si>
  <si>
    <t>CITLALI ANAHÍ TORRES DÍAZ</t>
  </si>
  <si>
    <t>CTD184</t>
  </si>
  <si>
    <t>GENARO MORAN ORDUÑO</t>
  </si>
  <si>
    <t>amesilvade@gmail.com</t>
  </si>
  <si>
    <t>AMERICA GUADALUPE SILVA DELGADILLO</t>
  </si>
  <si>
    <t>MINA ROSARIO #135 ZONA PLATEADA</t>
  </si>
  <si>
    <t>COSJ150314MHGVLSA0</t>
  </si>
  <si>
    <t>MARIA JOSÉ COVARRUBIAS SILVA</t>
  </si>
  <si>
    <t>MCS109</t>
  </si>
  <si>
    <t>CECILIA REBEKA CASTELAN HERNANDEZ</t>
  </si>
  <si>
    <t>CCH163</t>
  </si>
  <si>
    <t>tonchlanderos@prodigy.com</t>
  </si>
  <si>
    <t>ROBERTO ANTONIO LANDEROS</t>
  </si>
  <si>
    <t>COYOACÁN #200, FRACC. RANCHO LA COLONIA</t>
  </si>
  <si>
    <t xml:space="preserve">misscristicarrillo@gmail.com
</t>
  </si>
  <si>
    <t>MARIA CRISTINA CARRILLO ARTEAGA</t>
  </si>
  <si>
    <t>MCC079</t>
  </si>
  <si>
    <t>CARLOS TORRES MARÍN</t>
  </si>
  <si>
    <t>CTM202</t>
  </si>
  <si>
    <t>JORGE LUIS MARTINEZ GRIJALBA</t>
  </si>
  <si>
    <t>valemendezp5@gmail.com</t>
  </si>
  <si>
    <t>VALENTINA MENDEZ PLATAS</t>
  </si>
  <si>
    <t>LUNES Y MIERCOLES 9:00-9:50 AM</t>
  </si>
  <si>
    <t>PRIMERA CERRADA VILLAS DE SAN ANTONIO #113, COL. SAN ANTONIO</t>
  </si>
  <si>
    <t>MAML180616HVZRNSA4</t>
  </si>
  <si>
    <t>Veracruz</t>
  </si>
  <si>
    <t>LUIS ARIEL MARTINEZ MENDEZ</t>
  </si>
  <si>
    <t>LMM063</t>
  </si>
  <si>
    <t>CAMILA GARCIA ROMERO</t>
  </si>
  <si>
    <t>CGR207</t>
  </si>
  <si>
    <t>Alumno IUNHI</t>
  </si>
  <si>
    <t>EDUARDO JIMENEZ APONTE</t>
  </si>
  <si>
    <t>CALLE 28 DE FEBRERO, SAN PEDRO NOPALCALCO</t>
  </si>
  <si>
    <t>JIVP050708MHGMLRA7</t>
  </si>
  <si>
    <t>pj8741061@gmail.com</t>
  </si>
  <si>
    <t>VIRT JR 1</t>
  </si>
  <si>
    <t>PERLA NAOMI JIMENEZ VALENZUELA</t>
  </si>
  <si>
    <t>PJV027</t>
  </si>
  <si>
    <t>JOSÉ CONCEPCION DOMOINGUEZ LÓPEZ</t>
  </si>
  <si>
    <t>MATES Y JUEVES 7:00-7:50</t>
  </si>
  <si>
    <t>AV. 5 DE MAYO, TEZONTEPEC DE ALDAMA</t>
  </si>
  <si>
    <t>DOCB041027MHGMRRA0</t>
  </si>
  <si>
    <t>etheldominguez27@gmail.com</t>
  </si>
  <si>
    <t>BRENDA ETHEL DOMINGUEZ CORNEJO</t>
  </si>
  <si>
    <t>BDC151</t>
  </si>
  <si>
    <t>MARIA MAGDALENA CORNEJO PORRAS</t>
  </si>
  <si>
    <t>AV. 5 DE MAYO S/N, LA CRUZ</t>
  </si>
  <si>
    <t>DOCA011018MHGRYA4</t>
  </si>
  <si>
    <t>ayleny.dguez@hotmail.com</t>
  </si>
  <si>
    <t>AYLEEN YAMILE DOMINGUEZ CORNEJO</t>
  </si>
  <si>
    <t>ADC148</t>
  </si>
  <si>
    <t>Calle Norte 2#801 Col. Magisterio</t>
  </si>
  <si>
    <t>CUAL091008HHGRLNA7</t>
  </si>
  <si>
    <t>CruzAlvaradoLeo@gmail.com</t>
  </si>
  <si>
    <t>CE1</t>
  </si>
  <si>
    <t>LEONARDO CRUZ ALVARADO</t>
  </si>
  <si>
    <t>LCA113</t>
  </si>
  <si>
    <t>DORA LUZ MONTES RUBIO</t>
  </si>
  <si>
    <t>dora.rubio.13@gmail.com</t>
  </si>
  <si>
    <t>PEDRO PAREDES ROSALES</t>
  </si>
  <si>
    <t>AV. FERROCARRIL, HIDALGO #9</t>
  </si>
  <si>
    <t>PAGM070225MHGRRNA6</t>
  </si>
  <si>
    <t>monzepds02@gmal.com</t>
  </si>
  <si>
    <t>JR3</t>
  </si>
  <si>
    <t>Deserción</t>
  </si>
  <si>
    <t>MONZERRAT PAREDES GARNICA</t>
  </si>
  <si>
    <t>MPG087</t>
  </si>
  <si>
    <t>AXEL ENCISO ENCISO</t>
  </si>
  <si>
    <t>AEE178</t>
  </si>
  <si>
    <t>CASK141115HMCHLVA9</t>
  </si>
  <si>
    <t>KEVIN NOÉ CHAVEZ SALGUERO</t>
  </si>
  <si>
    <t>KCS060</t>
  </si>
  <si>
    <t>ARIEL EDUARDO ALARCON FUENTES</t>
  </si>
  <si>
    <t>AAF173</t>
  </si>
  <si>
    <t>Escuela Tecnica 66</t>
  </si>
  <si>
    <t>MIGUEL ANGEL ESPINOSA SERNA</t>
  </si>
  <si>
    <t>yurihr1@gmail.com</t>
  </si>
  <si>
    <t>YURI HERNANDEZ RAMOS</t>
  </si>
  <si>
    <t>AV. TUCANES #301 FRACCIONAMIENTO TULIPANES</t>
  </si>
  <si>
    <t>EIHM121227MHGSRYA0</t>
  </si>
  <si>
    <t>JR2</t>
  </si>
  <si>
    <t>MAYRA GERALDINE ESPINOZA HERNÁNDEZ</t>
  </si>
  <si>
    <t>MEH068</t>
  </si>
  <si>
    <t>FR KDS 1</t>
  </si>
  <si>
    <t>MEA090F</t>
  </si>
  <si>
    <t>NEVR160920HPLGLDA8</t>
  </si>
  <si>
    <t>Puebla</t>
  </si>
  <si>
    <t>JOSE RODRIGO NEGRETE VELAZQUEZ</t>
  </si>
  <si>
    <t>JNV078</t>
  </si>
  <si>
    <t>ANTONIO IVÁN HERNÁNDEZ VITE</t>
  </si>
  <si>
    <t>AHV135</t>
  </si>
  <si>
    <t>LUNES Y MIERCOLES 5:00-5:50 PM</t>
  </si>
  <si>
    <t>ANGEL OMAR LABRA ACOSTA</t>
  </si>
  <si>
    <t>ALA128</t>
  </si>
  <si>
    <t>JAIME GUTIERREZ GONZALEZ</t>
  </si>
  <si>
    <t>PRIVADA NAVALAN 123, REAL TOLEDO</t>
  </si>
  <si>
    <t>SOBA780111MHGBRN08</t>
  </si>
  <si>
    <t>angiesb777@gmail.com</t>
  </si>
  <si>
    <t>COLLGE1</t>
  </si>
  <si>
    <t>MARIA ANGELICA SOBERANES BARRERA</t>
  </si>
  <si>
    <t>MSB088</t>
  </si>
  <si>
    <t>CLAUDIA REYES VAZQUEZ</t>
  </si>
  <si>
    <t>claudiareyes_crv@hotmail.com</t>
  </si>
  <si>
    <t>MIÉRCOLES 7:00-7:50 PM</t>
  </si>
  <si>
    <t>EDIFICIO APAN, DPTO. 401 COL. JUAN C.DORIA</t>
  </si>
  <si>
    <t>PERJ00928MMCXYHA3</t>
  </si>
  <si>
    <t>claudiareyes_crv@gmail.com</t>
  </si>
  <si>
    <t>JRF 1</t>
  </si>
  <si>
    <t>20/05/2026  Y 17/08/2026</t>
  </si>
  <si>
    <t>BAJA</t>
  </si>
  <si>
    <t>JOHANNA DANIELA PEÑA REYES</t>
  </si>
  <si>
    <t>JPR105F</t>
  </si>
  <si>
    <t>COSJ161021MHGVLMA6</t>
  </si>
  <si>
    <t>JIMENA COVARRUBIAS SILVA</t>
  </si>
  <si>
    <t>JCS108</t>
  </si>
  <si>
    <t>GERARDO ESPINOZA REYES</t>
  </si>
  <si>
    <t>liah.finanzas22@gmail.com</t>
  </si>
  <si>
    <t>JAZMIN ESPINOZA ROSALES</t>
  </si>
  <si>
    <t>CALLE CAMINO REAL #119, PRIVADA VISTAREAL SAN ANTONIO EL DESMONTE</t>
  </si>
  <si>
    <t>SAEL130422MHGYSHA1</t>
  </si>
  <si>
    <t>LIAH NAYRETH SAYAGO ESPINOZA</t>
  </si>
  <si>
    <t>LSE071</t>
  </si>
  <si>
    <t>inglés</t>
  </si>
  <si>
    <t xml:space="preserve">ANDREI CANO HERNANDEZ </t>
  </si>
  <si>
    <t>ACH159</t>
  </si>
  <si>
    <t>JJUAN MANUEL CORTES ALVARADO</t>
  </si>
  <si>
    <t>letymire1724@gmail.com</t>
  </si>
  <si>
    <t>LETICIA MIRELES MARTINEZ</t>
  </si>
  <si>
    <t>Circuito San Antonio #455 PARQUE URBANO</t>
  </si>
  <si>
    <t>COMA11217MHGRRNA1</t>
  </si>
  <si>
    <t>ANDREA NATHALIA CORTES MIRELES</t>
  </si>
  <si>
    <t>ACM094</t>
  </si>
  <si>
    <t xml:space="preserve">Escuela Cuauhtémoc </t>
  </si>
  <si>
    <t>ISRAEL MENDOZA ESPINOZA</t>
  </si>
  <si>
    <t>karina.cienega@gmail.com</t>
  </si>
  <si>
    <t>KARINA FLORES CIENEGA</t>
  </si>
  <si>
    <t>FRACC. VALLE VERDE, CALLE DE LAS FLORES 138</t>
  </si>
  <si>
    <t>MAEFK171225MDFNLRA2</t>
  </si>
  <si>
    <t>mendozaisrael@gmail.com</t>
  </si>
  <si>
    <t>KARIME ANGELES MENDOZA FLORES</t>
  </si>
  <si>
    <t>KMF082</t>
  </si>
  <si>
    <t>ALEJANDRO VITE</t>
  </si>
  <si>
    <t>ILIANA BUTRON AZAMAR</t>
  </si>
  <si>
    <t>PRIVADA LOROS #119 VILLAS DE PACHUCA</t>
  </si>
  <si>
    <t>VIBI130809MHGTTLA6</t>
  </si>
  <si>
    <t>ILIANA CELESTE VITE BUTRÓN</t>
  </si>
  <si>
    <t>IVB101</t>
  </si>
  <si>
    <t>JANET MADRIGAL GARFIAS</t>
  </si>
  <si>
    <t>becerra6812@hotmail.com</t>
  </si>
  <si>
    <t>JOSE CARLOS BECERRA VILLALOBOS</t>
  </si>
  <si>
    <t>MARTES Y JUEVES DE 5:00-5:50 PM</t>
  </si>
  <si>
    <t>VARCACIA 119 PRIV. VENETO, FRACC. LOS VIÑEDOS</t>
  </si>
  <si>
    <t>BEMA150528MMCCDNA3</t>
  </si>
  <si>
    <t>ANDREA BECERRA MADRIGAL</t>
  </si>
  <si>
    <t>ABM150</t>
  </si>
  <si>
    <t>MAPA050319MDFRRNA1</t>
  </si>
  <si>
    <t>v09pame@gmail.com</t>
  </si>
  <si>
    <t>CE2</t>
  </si>
  <si>
    <t>ANA PAMELA MARTINEZ PARDO</t>
  </si>
  <si>
    <t>AMP045</t>
  </si>
  <si>
    <t>VIERNES 6:00 A 7:50 PM</t>
  </si>
  <si>
    <t>FCOLLGE 1</t>
  </si>
  <si>
    <t>JORGE ALRBERTO LOPEZ SANTILLAN</t>
  </si>
  <si>
    <t>JLS019F</t>
  </si>
  <si>
    <t>hernandezzaida365@gmail.com</t>
  </si>
  <si>
    <t>ZAIDA HERNANDEZ GONZALEZ</t>
  </si>
  <si>
    <t>AMPLIACIÓN DEL PALMAR</t>
  </si>
  <si>
    <t>Mexico-Americano</t>
  </si>
  <si>
    <t>Denver, Colorado</t>
  </si>
  <si>
    <t>$800 descuento referidos $750 hasta julio</t>
  </si>
  <si>
    <t>ERNESTO YAEL CHALE</t>
  </si>
  <si>
    <t>EYC114</t>
  </si>
  <si>
    <t>EVELYN COVARRUBIAS</t>
  </si>
  <si>
    <t>Evelyncovarrubias440@gmail.com</t>
  </si>
  <si>
    <t>EVELYN COVARRUBIAS CORTES</t>
  </si>
  <si>
    <t>EMILIANO ZAPATA TEPATPEC HIDALGO</t>
  </si>
  <si>
    <t>SACI040908MHGNVTA9</t>
  </si>
  <si>
    <t>Citzayana867gmail.com</t>
  </si>
  <si>
    <t>ITZAYANA SANCHEZ COVARRUBIAS</t>
  </si>
  <si>
    <t>ISC093</t>
  </si>
  <si>
    <t>RICG201214MMCVSLA9</t>
  </si>
  <si>
    <t>GALA ANTONELLA RIVERA CASTRO</t>
  </si>
  <si>
    <t>GRC102</t>
  </si>
  <si>
    <t>Recomendado alumno</t>
  </si>
  <si>
    <t>ERICK HERNANDEZ ROLDÁN0</t>
  </si>
  <si>
    <t>amarianabarrera@gmail.com</t>
  </si>
  <si>
    <t>ARELY MARIANA BARRERA CASTILLO</t>
  </si>
  <si>
    <t>LUNES Y MIÉRCOLES 6:00- 6:50 PM</t>
  </si>
  <si>
    <t>CALLE OLIN #102 FRACC. LA COLONIA</t>
  </si>
  <si>
    <t>HEBE180302HHGRRRA4</t>
  </si>
  <si>
    <t>ERICK YAEL HERNANDEZ BARRERA</t>
  </si>
  <si>
    <t>EHB089</t>
  </si>
  <si>
    <t>ANA MAGDALENA ALFARO ALMARAZ</t>
  </si>
  <si>
    <t>AV. CISNES SUR #428-D1 VILLAS DE PACHUCA</t>
  </si>
  <si>
    <t>AACA570123MHGLRN02</t>
  </si>
  <si>
    <t>ana_corichi@hotmail.com</t>
  </si>
  <si>
    <t>Tulancingo, Hidalgo</t>
  </si>
  <si>
    <t>ANA MARÍA GUADALUPE ALMARAZ CORICHI</t>
  </si>
  <si>
    <t>AAC156</t>
  </si>
  <si>
    <t>AMIRA FARH TAPIA HERNANDEZ</t>
  </si>
  <si>
    <t>ATH161</t>
  </si>
  <si>
    <t>ALFREDO LIAM CASTILLO CASTILLO</t>
  </si>
  <si>
    <t>ACC194</t>
  </si>
  <si>
    <t>Recomendación Freinet</t>
  </si>
  <si>
    <t>ERENDIDA LEON</t>
  </si>
  <si>
    <t>marigelleon@hotmail.com</t>
  </si>
  <si>
    <t>MARIA DE LOS ANGELES LEON ARREDONDO</t>
  </si>
  <si>
    <t>LUNES Y MARTES 11:00-11:50 AM</t>
  </si>
  <si>
    <t>PRIV. FLOR DE GERBERO, AV. DEL POLEN PASEOS DE CHAVARRIA, MINERAL DE LA REFORMA</t>
  </si>
  <si>
    <t>RALE050830HQTMNMA4</t>
  </si>
  <si>
    <t>emilianoramosleon@gmail.com</t>
  </si>
  <si>
    <t>QUERETARO</t>
  </si>
  <si>
    <t>B2+</t>
  </si>
  <si>
    <t>EMILIANO RAMOS LEON</t>
  </si>
  <si>
    <t>ERL084</t>
  </si>
  <si>
    <t>LUNES Y MARTES 10:00-10:50 AM</t>
  </si>
  <si>
    <t>ERL083</t>
  </si>
  <si>
    <t>TREY</t>
  </si>
  <si>
    <t>yaztag89@gmail.com</t>
  </si>
  <si>
    <t>JUDITH YAZMIN TAGLE VERA</t>
  </si>
  <si>
    <t>MIERCOLES Y VIERNES 4:00-4:50 PM</t>
  </si>
  <si>
    <t>REAL TOLEDO FASE 13 PRIV. TOLIBIA #119</t>
  </si>
  <si>
    <t>GOTE140204MHGNGMA7</t>
  </si>
  <si>
    <t>KDS 3</t>
  </si>
  <si>
    <t>EMMA SUZETTE GONZALEZ TAGLE</t>
  </si>
  <si>
    <t>EGT057</t>
  </si>
  <si>
    <t>Recomendación Monica</t>
  </si>
  <si>
    <t>DIEGO GARCIA CERVANTES</t>
  </si>
  <si>
    <t>alcervantes18@gmail.com</t>
  </si>
  <si>
    <t>MADRE</t>
  </si>
  <si>
    <t>ANA LAURA CERVANTES</t>
  </si>
  <si>
    <t>SAFIRA #102 VALLE ZIRCONIAS</t>
  </si>
  <si>
    <t>GACA020426HHGRRNA4</t>
  </si>
  <si>
    <t>andres.cervantes1208@gmail.com</t>
  </si>
  <si>
    <t>COLLGE 1</t>
  </si>
  <si>
    <t>ANDRES GARCIA CERVANTES</t>
  </si>
  <si>
    <t>AGC056</t>
  </si>
  <si>
    <t>FRANCISCA SOTO</t>
  </si>
  <si>
    <t>alexisalor88@gmail.com</t>
  </si>
  <si>
    <t>PADRE</t>
  </si>
  <si>
    <t>ALEXIS ALOR SOTO</t>
  </si>
  <si>
    <t>LUNES Y MIERCOLES 11:00 A 11:50, MARTES Y JUEVES 9:00 A 9:50 AM</t>
  </si>
  <si>
    <t>COZUMEL 224 FRACCIONAMIENTO SIHUATL 2 COL SAN ANTONIO EL DESMONTE</t>
  </si>
  <si>
    <t>AOOA060920HNLLRLA5</t>
  </si>
  <si>
    <t>alequito2006@gmail.com</t>
  </si>
  <si>
    <t>MONTEMORELOS, NL</t>
  </si>
  <si>
    <t>COLLGE 5</t>
  </si>
  <si>
    <t>ALEXIS ALOR OROZCO</t>
  </si>
  <si>
    <t>AAO055</t>
  </si>
  <si>
    <t>MARIA DEL CARMEN QUINTERO</t>
  </si>
  <si>
    <t>mary95maryk@gmail.com</t>
  </si>
  <si>
    <t>MARIA DE JESUS PIÑA SEGURA</t>
  </si>
  <si>
    <t>MIÉRCOLES Y VIERNES 4:00-4:50 PM</t>
  </si>
  <si>
    <t>FRACCIONAMIENTO RANCHO LA COLONIA, CALLE COYOACAN #137</t>
  </si>
  <si>
    <t>CAPA180724HHGHXLA2</t>
  </si>
  <si>
    <t>ALEXIS YAEL CHAVEZ PIÑA</t>
  </si>
  <si>
    <t>ACP062</t>
  </si>
  <si>
    <t>Recomendado Freinet</t>
  </si>
  <si>
    <t>SÁBADOS 8:00 A 8:50 AM</t>
  </si>
  <si>
    <t>FCOLLGE 2</t>
  </si>
  <si>
    <t>ABRAHAM BALDERAS</t>
  </si>
  <si>
    <t>AB053F</t>
  </si>
  <si>
    <t>LUIS ALBERTO GARCIA HERNANDEZ</t>
  </si>
  <si>
    <t>nallely.vazquez@gmail.com</t>
  </si>
  <si>
    <t>NALLELY VAZQUEZ CRISTOBAL</t>
  </si>
  <si>
    <t>VIERNES 5:00-5:50 PM Y SÁBADO 11:00 A 11:50 AM</t>
  </si>
  <si>
    <t>AV. MEXICO #176 RANCHO LA COLONIA</t>
  </si>
  <si>
    <t>GAVD130805HMCRZYA8</t>
  </si>
  <si>
    <t>KDS 4 Y KDS 5</t>
  </si>
  <si>
    <t>DYLAN GARCIA VAZQUEZ</t>
  </si>
  <si>
    <t>DGV034</t>
  </si>
  <si>
    <t xml:space="preserve">MARIA GUADALUPE TORRES VACA </t>
  </si>
  <si>
    <t>monserratrosales94@gmail.com</t>
  </si>
  <si>
    <t>Monserrat Rosales Jimenez</t>
  </si>
  <si>
    <t>CISNES OTE #506, VILLAS DE PACHUCA</t>
  </si>
  <si>
    <t>MARA140401MDFYSSA2</t>
  </si>
  <si>
    <t>05/05/2026  y 15/07/2026</t>
  </si>
  <si>
    <t>baja</t>
  </si>
  <si>
    <t>inactivo</t>
  </si>
  <si>
    <t>ASHLEY GERALDINNE MAYA ROSALES</t>
  </si>
  <si>
    <t>AMR013</t>
  </si>
  <si>
    <t>ARTEMIO LARA HERNANDEZ</t>
  </si>
  <si>
    <t>diana.lauravh@hotmail.com</t>
  </si>
  <si>
    <t>DIANA LAURA VARGAS HERNANDEZ</t>
  </si>
  <si>
    <t>PRIVADA LENA #118 FRAC. REAL TOLEDO</t>
  </si>
  <si>
    <t>LAVA140826MHGRRRA5</t>
  </si>
  <si>
    <t>Huejutla de Reyes</t>
  </si>
  <si>
    <t>ARANTZA SOFIA LARA VARGAS</t>
  </si>
  <si>
    <t>ALV104</t>
  </si>
  <si>
    <t>LUNES Y MIÉRCOLES 5:00- 5:50</t>
  </si>
  <si>
    <t xml:space="preserve">SAMARA PASARAN </t>
  </si>
  <si>
    <t>SP050</t>
  </si>
  <si>
    <t>LUNES Y MIÉRCOLES 5:00-5:50</t>
  </si>
  <si>
    <t xml:space="preserve">LUISA FERNANDA PASARAN </t>
  </si>
  <si>
    <t>LP049</t>
  </si>
  <si>
    <t>SEBASTIAN CASTAÑEDA ESTRADA</t>
  </si>
  <si>
    <t>JUAN PABLO CASTAÑEDA ESTRADA</t>
  </si>
  <si>
    <t>MIÉRCOLES Y JUEVES 10:00-10:50 AM</t>
  </si>
  <si>
    <t>ORQUIDEAS 301 FRACC. TULIPANES 2</t>
  </si>
  <si>
    <t>gcv.17@gmail.com</t>
  </si>
  <si>
    <t>COLLGE 2</t>
  </si>
  <si>
    <t>GERARDO CASTAÑEDA VELAZQUEZ</t>
  </si>
  <si>
    <t>GCV048</t>
  </si>
  <si>
    <t>RAUL LOPEZ APARICIO</t>
  </si>
  <si>
    <t>aureaarriolaharo@gmail.com</t>
  </si>
  <si>
    <t>AUREA ARRIOLA HARO</t>
  </si>
  <si>
    <t>Colonia Lomas de Nueva Airosa edificio B departamento 304</t>
  </si>
  <si>
    <t>MUAC100703MBCXRRA8</t>
  </si>
  <si>
    <t>carriola962@gmail.com</t>
  </si>
  <si>
    <t>Baja California</t>
  </si>
  <si>
    <t>CAROLINA MUÑOZ ARRIOLA</t>
  </si>
  <si>
    <t>CMA067</t>
  </si>
  <si>
    <t>shahvaisal170@gmail.com</t>
  </si>
  <si>
    <t>VAISHAL SHAH</t>
  </si>
  <si>
    <t>OTE 3 #119 COL. MAGISTERIO, MINERAL DE LA REFORMA</t>
  </si>
  <si>
    <t>RARC940706MHGMML07</t>
  </si>
  <si>
    <t>clo_rz@hotmail.com</t>
  </si>
  <si>
    <t>Debutant</t>
  </si>
  <si>
    <t>CLAUDIA RAMOS RAMIREZ</t>
  </si>
  <si>
    <t>CRR014F</t>
  </si>
  <si>
    <t>ALEXANDRA RUEDA CRUZ</t>
  </si>
  <si>
    <t>ARC206</t>
  </si>
  <si>
    <t xml:space="preserve">ARANZA KARIME ESCALONA </t>
  </si>
  <si>
    <t>mara1211@hotmail.com</t>
  </si>
  <si>
    <t>ALMA DELIA MARTINEZ RAMIREZ</t>
  </si>
  <si>
    <t>CERRADA MARGARITO MUREOS #4 BARRIO SAN MIGUEL</t>
  </si>
  <si>
    <t>EAMA050610MMCSRRA2</t>
  </si>
  <si>
    <t>ariemx@gmail.com</t>
  </si>
  <si>
    <t>ARIADNA XIMENA ESCALONA MARTINEZ</t>
  </si>
  <si>
    <t>AEM086</t>
  </si>
  <si>
    <t>Recomendación Monica por IUNHI</t>
  </si>
  <si>
    <t>LESLY ADRIANA AGUILAR GALINDO</t>
  </si>
  <si>
    <t>LUNES A VIERNES 8 A 2 PM</t>
  </si>
  <si>
    <t>MEAA121106MHGNGSA2</t>
  </si>
  <si>
    <t>________</t>
  </si>
  <si>
    <t>Curso de verano</t>
  </si>
  <si>
    <t>ASHLY RENATA MÉNDEZ AGUILAR</t>
  </si>
  <si>
    <t>AMA043</t>
  </si>
  <si>
    <t>_______</t>
  </si>
  <si>
    <t>ISAAC RODRIGO</t>
  </si>
  <si>
    <t>R042</t>
  </si>
  <si>
    <t>AEM085</t>
  </si>
  <si>
    <t>____</t>
  </si>
  <si>
    <t>ALESSA RENATA SOLIS OLVERA</t>
  </si>
  <si>
    <t>ASO040</t>
  </si>
  <si>
    <t>_____</t>
  </si>
  <si>
    <t>REGINA FERNANDA SOLIS OLVERA</t>
  </si>
  <si>
    <t>RSO039</t>
  </si>
  <si>
    <t>EDAN LEONEL AGUILAR SOLIS</t>
  </si>
  <si>
    <t>ELA038</t>
  </si>
  <si>
    <t>RUTH HERNANDEZ GUTIERREZ</t>
  </si>
  <si>
    <t>ramirezmayda@gmail.com</t>
  </si>
  <si>
    <t>MAYDA HERLINDA RAMIREZ HERNANDEZ</t>
  </si>
  <si>
    <t>CISNES OTE 562, VILLAS DE PACHUCA</t>
  </si>
  <si>
    <t>CARY141003HDFHMRA2</t>
  </si>
  <si>
    <t>YERAY CHARLES RAMIREZ</t>
  </si>
  <si>
    <t>YCR037</t>
  </si>
  <si>
    <t>MARTES Y JUEVES 5-5:50 PM</t>
  </si>
  <si>
    <t>YCR036</t>
  </si>
  <si>
    <t>JOVANY LOZADA ZERMEÑO</t>
  </si>
  <si>
    <t>mar_y_andipm@hotmail.com</t>
  </si>
  <si>
    <t>Mari Carmen Pineda Mendez</t>
  </si>
  <si>
    <t>CISNES OTE # 20, VILLAS DE PACHUCA</t>
  </si>
  <si>
    <t>LOPA041109MHGZNNA3</t>
  </si>
  <si>
    <t>andrealopa04@gmail.com</t>
  </si>
  <si>
    <t>ANDREA LOZADA PINEDA</t>
  </si>
  <si>
    <t>ALP007</t>
  </si>
  <si>
    <t>MAEFA160709HDFLNA</t>
  </si>
  <si>
    <t>ANGEL MAEL MENDOZA FLORES</t>
  </si>
  <si>
    <t>AMF081</t>
  </si>
  <si>
    <t>CUGV110607MHGRRLA4</t>
  </si>
  <si>
    <t>VCG033</t>
  </si>
  <si>
    <t>JOSE LUIS LINARES</t>
  </si>
  <si>
    <t>poletepruneda@gmail.com</t>
  </si>
  <si>
    <t>SUSANA POLETT LINARES PRUNEDA</t>
  </si>
  <si>
    <t>TULIPANES 2, CALLE ABEDUL #61</t>
  </si>
  <si>
    <t>polettpruneda@gmail.com</t>
  </si>
  <si>
    <t>Zumpango</t>
  </si>
  <si>
    <t>ARLETT SHAMARA ROJAS LINARES</t>
  </si>
  <si>
    <t>ARL032</t>
  </si>
  <si>
    <t>JIMENA ARIZBETH ROJAS LINARES</t>
  </si>
  <si>
    <t>JRL031</t>
  </si>
  <si>
    <t>IVON CERECEDO CISNEROS</t>
  </si>
  <si>
    <t>ICC030</t>
  </si>
  <si>
    <t>JONATHAN ALDAIR PACHECO REYES</t>
  </si>
  <si>
    <t>JPR029</t>
  </si>
  <si>
    <t>2DO RETORNO DE CAMELINAS #104, PASEO DE LAS CAMELINAS</t>
  </si>
  <si>
    <t>MOLY030225MHGRNDA0</t>
  </si>
  <si>
    <t>yedidleon7@gmail.com</t>
  </si>
  <si>
    <t>YEDID MORENO LEON</t>
  </si>
  <si>
    <t>YMN028</t>
  </si>
  <si>
    <t>ISABEL FERNANDEZ GUTIERREZ</t>
  </si>
  <si>
    <t>auroraydiego1583@gmail.com</t>
  </si>
  <si>
    <t>BRENDA REYES FERNANDEZ</t>
  </si>
  <si>
    <t>AV. GORRIONES #800 INTERIOR 10</t>
  </si>
  <si>
    <t>REFA090708HMCYRNA4</t>
  </si>
  <si>
    <t>angelreyfer15832@gmail.com</t>
  </si>
  <si>
    <t>ANGEL DIEGO REYES FERNANDEZ</t>
  </si>
  <si>
    <t>ARF064</t>
  </si>
  <si>
    <t>JAVIER SÁNCHEZ OLIVARES</t>
  </si>
  <si>
    <t>yaelfer0480@hotmail.com</t>
  </si>
  <si>
    <t>KARLA ANDRADE VARGAS</t>
  </si>
  <si>
    <t>CALLE TALABARTEROS #5, COLONIA CTM</t>
  </si>
  <si>
    <t>FERNANDA SANCHEZ ANDRADE</t>
  </si>
  <si>
    <t>FSA026</t>
  </si>
  <si>
    <t>Jueves de 11:00-11:50 am
Viernes de 10:00 -10:50 am</t>
  </si>
  <si>
    <t>CALLE CISNES ORIENTE, 107, COLONIA SAN ANTONIO EL DESMONTE</t>
  </si>
  <si>
    <t>SOPR050530HHGLDDA0</t>
  </si>
  <si>
    <t>so507728@uaeh.edu.mx</t>
  </si>
  <si>
    <t>RODOLFO ANGEL SOLER PEDRAZA</t>
  </si>
  <si>
    <t>RSP025</t>
  </si>
  <si>
    <t>CRISTIAN CRUZ MORALES</t>
  </si>
  <si>
    <t>cristiancruzmorales179@gmail.com</t>
  </si>
  <si>
    <t>MARTES 6:00 A 6:50 PM</t>
  </si>
  <si>
    <t>RESIDENCIAL PLATINO</t>
  </si>
  <si>
    <t>RICD060304MHGVRNA4</t>
  </si>
  <si>
    <t>rivascruzdaniela046@gmail.com</t>
  </si>
  <si>
    <t>DANIELA ALEJANDRA RIVAS CRUZ</t>
  </si>
  <si>
    <t>DRC024</t>
  </si>
  <si>
    <t>JUEVES 5:00- 5:50  Y VIERNES 5:00-5:50</t>
  </si>
  <si>
    <t>RICI150606HHGVRVA0</t>
  </si>
  <si>
    <t>KDS 4 Y KDS 2</t>
  </si>
  <si>
    <t>IVAN RIVAS CRUZ</t>
  </si>
  <si>
    <t>IRC023</t>
  </si>
  <si>
    <t>FKIDS 1</t>
  </si>
  <si>
    <t>IRC023F</t>
  </si>
  <si>
    <t>JUEVES 5:00-5:50  Y VIERNES 5:00-5:50</t>
  </si>
  <si>
    <t>RICP130523MHGURLA7</t>
  </si>
  <si>
    <t>PAULINA RIVAS CRUZ</t>
  </si>
  <si>
    <t>PRC022</t>
  </si>
  <si>
    <t>PRC022F</t>
  </si>
  <si>
    <t>MIRIAM ORTIZ ALONSO</t>
  </si>
  <si>
    <t>Herman@</t>
  </si>
  <si>
    <t>LUNES Y MIÉRCOLES 6:00-7:50 PM</t>
  </si>
  <si>
    <t>CIRCUITO LAGO NESS NO. 471 COLONIA BOSQUES DEL PEÑAR</t>
  </si>
  <si>
    <t>OIAJ930614MVZRLS05</t>
  </si>
  <si>
    <t>ae.jessicaoa@gmail.com</t>
  </si>
  <si>
    <t>A2/B1</t>
  </si>
  <si>
    <t>JESSICA ORTIZ ALONSO</t>
  </si>
  <si>
    <t>JOA021</t>
  </si>
  <si>
    <t>NOTA201129MHGRRLA3</t>
  </si>
  <si>
    <t>ALEJANDRA NORIEGA TREJO</t>
  </si>
  <si>
    <t>ANT098</t>
  </si>
  <si>
    <t>ELIZABETH LUNA GOMEZ</t>
  </si>
  <si>
    <t>morsalsal77@gmail.com</t>
  </si>
  <si>
    <t>SALVADOR MORÁN SALGADO</t>
  </si>
  <si>
    <t>JULIO ORTEGA ESTRADA #276 FORJADORES, PACHUCA</t>
  </si>
  <si>
    <t>MOLA120117MHGRNLA3</t>
  </si>
  <si>
    <t>alejandramoranluna17@gmail.com</t>
  </si>
  <si>
    <t xml:space="preserve">ALEJANDRA MORAN LUNA </t>
  </si>
  <si>
    <t>AML001</t>
  </si>
  <si>
    <t>DIEGO GONZALEZ TELLO</t>
  </si>
  <si>
    <t>gbadilloj1@gmail.com</t>
  </si>
  <si>
    <t>GABRIELA BADILLO JIMENEZ</t>
  </si>
  <si>
    <t>JUEVES 5:00 -6:50 PM</t>
  </si>
  <si>
    <t>CELESTE 119 FRACCIONAMIENTO PRIVADA VALLE TURQUESA</t>
  </si>
  <si>
    <t>GOBX160812MHGNDMA9</t>
  </si>
  <si>
    <t>XIMENA GONZALEZ BADILLO</t>
  </si>
  <si>
    <t>XGB018</t>
  </si>
  <si>
    <t>LUNES Y MIÉRCOLES 7-7:50</t>
  </si>
  <si>
    <t>CELESTE 117 SAN ANTONIO EL DESMONTE</t>
  </si>
  <si>
    <t>MAAN841219HHGRLS08</t>
  </si>
  <si>
    <t>nestor.martinez.alvarado@gmail.com</t>
  </si>
  <si>
    <t>NESTOR GUILLERMO MARTINEZ ALVARADO</t>
  </si>
  <si>
    <t>NMA017</t>
  </si>
  <si>
    <t>MOBE840811MMCRDV02</t>
  </si>
  <si>
    <t>evelynzth@gmail.com</t>
  </si>
  <si>
    <t>EVELYN LIZETH MORALES BADILLO</t>
  </si>
  <si>
    <t>EMB016</t>
  </si>
  <si>
    <t>Daniel Godinez Obregon</t>
  </si>
  <si>
    <t>fabalinol@hotmail.com</t>
  </si>
  <si>
    <t>ANA FABIOLA LINARES OLGUIN</t>
  </si>
  <si>
    <t>SÁBADO 8:00-8:50 AM</t>
  </si>
  <si>
    <t>RANCHO LA COLONIA #312</t>
  </si>
  <si>
    <t>GOLA060714MMCDNNA2</t>
  </si>
  <si>
    <t>anafafabscu@gmail.com</t>
  </si>
  <si>
    <t>ANA FABIOLA GODINEZ LINARES</t>
  </si>
  <si>
    <t>AGL012F</t>
  </si>
  <si>
    <t>AIDA ARACELI LOPÉZ CARBAJAL</t>
  </si>
  <si>
    <t>ALC198</t>
  </si>
  <si>
    <t>AOSA770109HNLLTL09</t>
  </si>
  <si>
    <t>Monterrey, NL</t>
  </si>
  <si>
    <t>AAS054</t>
  </si>
  <si>
    <t>HUGO VELOZ GARCIA</t>
  </si>
  <si>
    <t>abrilvg016@gmail.com</t>
  </si>
  <si>
    <t>JENNY GARCIA GUTIERREZ</t>
  </si>
  <si>
    <t>PRIV. MARTINETES #4 VILLAS DE PACHUCA</t>
  </si>
  <si>
    <t>VEGA141016MHGLRBA7</t>
  </si>
  <si>
    <t>ABRIL VELOZ GARCIA</t>
  </si>
  <si>
    <t>AVG077</t>
  </si>
  <si>
    <t>GAVA111109MDFRZSA1</t>
  </si>
  <si>
    <t>AISHA YAMILETH GARCIA VAZQUEZ</t>
  </si>
  <si>
    <t>AGV035</t>
  </si>
  <si>
    <t>STEPHANY OLVERA CABRERA</t>
  </si>
  <si>
    <t>GEORGINA CABRERA PEREZ</t>
  </si>
  <si>
    <t>PRIVADA SANTA PATRICIA, FRACC. LA COLONIA</t>
  </si>
  <si>
    <t>abrilcabrera@gmail.com</t>
  </si>
  <si>
    <t>ABRIL OLVERA CABRERA</t>
  </si>
  <si>
    <t>AOC130</t>
  </si>
  <si>
    <t>LUNES Y MIÉRCOLES 4:00-4:50</t>
  </si>
  <si>
    <t>SAAJ110409HHGNNVA7</t>
  </si>
  <si>
    <t>JAVIER SÁNCHEZ ANDRADE</t>
  </si>
  <si>
    <t>JSA009</t>
  </si>
  <si>
    <t>CRISOFORO GÓMEZ</t>
  </si>
  <si>
    <t>seciamohedano@gmail.com</t>
  </si>
  <si>
    <t>SECIA ROSALES MOHEDANO</t>
  </si>
  <si>
    <t>SÁBADOS 10:00-10:50 AM</t>
  </si>
  <si>
    <t>CISNES ORIENTE #532, VILLAS DE PACHUCA</t>
  </si>
  <si>
    <t>GORD211217HHGMSGA1</t>
  </si>
  <si>
    <t>DIEGO GOMEZ ROSALES</t>
  </si>
  <si>
    <t>DGR008</t>
  </si>
  <si>
    <t>ABRIL SUGEY ESPINOSA HERNÁNDEZ</t>
  </si>
  <si>
    <t>AEH069</t>
  </si>
  <si>
    <t xml:space="preserve"> MARTES 5:00 Y JUEVES 6:00-6:50 PM</t>
  </si>
  <si>
    <t>AIGA141126MMSRNBA6</t>
  </si>
  <si>
    <t>Morelos</t>
  </si>
  <si>
    <t>KDS 2 KDS 4</t>
  </si>
  <si>
    <t>ABIGAIL ARRIETA GONZÁLEZ</t>
  </si>
  <si>
    <t>AAG075</t>
  </si>
  <si>
    <t>MONTSERRAT RIVERA MENESES</t>
  </si>
  <si>
    <t>g.ballesteros@gmail.com</t>
  </si>
  <si>
    <t>GUSTAVO IGNACIO BALLESTEROS G脫MEZ</t>
  </si>
  <si>
    <t>LUNES Y MIÉRCOLES 6:00-6:50PM</t>
  </si>
  <si>
    <t>CALLE NIVEL REAL 201, #312 COLONIA REAL DE LA PLATA</t>
  </si>
  <si>
    <t>EIRF000223HHGNVRA2</t>
  </si>
  <si>
    <t>fran23z2cx@gmail.com</t>
  </si>
  <si>
    <t>MARTÍN ENCISO RIVERA</t>
  </si>
  <si>
    <t>MER005</t>
  </si>
  <si>
    <t>MARTÍN FRANCISCO RIVERA</t>
  </si>
  <si>
    <t>BACM050810MHGLRXA7</t>
  </si>
  <si>
    <t xml:space="preserve">miaballesteros.di@gmail.com
</t>
  </si>
  <si>
    <t>MIA BALLESTEROS DI CARLO</t>
  </si>
  <si>
    <t>MBC004</t>
  </si>
  <si>
    <t>LUNES Y MIÉRCOLES 11:00-11:50</t>
  </si>
  <si>
    <t>isaac.basa100@gmail.com</t>
  </si>
  <si>
    <t>ISAAC BARRIOS SALAZAR</t>
  </si>
  <si>
    <t>IBS003</t>
  </si>
  <si>
    <t>ANA JANIN ARAMBURO DIAZ</t>
  </si>
  <si>
    <t>piliaramdiaz@gmail.com</t>
  </si>
  <si>
    <t>Abuela</t>
  </si>
  <si>
    <t>MARIA DEL PILAR ARAMBURO DIAZ</t>
  </si>
  <si>
    <t>FRACC RANCHO LA COLONIA, PACHUCA HGO.</t>
  </si>
  <si>
    <t>OIAY170327HHGRRKA5</t>
  </si>
  <si>
    <t>YAKIM GERARDO ORTIZ ARAMBURO</t>
  </si>
  <si>
    <t>YOA002</t>
  </si>
  <si>
    <t xml:space="preserve">JR 1 </t>
  </si>
  <si>
    <t>AAG072</t>
  </si>
  <si>
    <t>Referencia de atracción (de dónde nos conoció)</t>
  </si>
  <si>
    <t>Teléfono de contacto de emergencia</t>
  </si>
  <si>
    <t>Nombre del contacto de emergencia</t>
  </si>
  <si>
    <t>Email del tutor</t>
  </si>
  <si>
    <t>Teléfono del tutor</t>
  </si>
  <si>
    <t>Parentesco</t>
  </si>
  <si>
    <t>Nombre del tutor</t>
  </si>
  <si>
    <t>Fecha de inscripción</t>
  </si>
  <si>
    <t>Horario</t>
  </si>
  <si>
    <t>Modalidad</t>
  </si>
  <si>
    <t>Teléfono del alumno</t>
  </si>
  <si>
    <t>C.P.</t>
  </si>
  <si>
    <t>Domicilio</t>
  </si>
  <si>
    <t>CURP</t>
  </si>
  <si>
    <t>Municipio</t>
  </si>
  <si>
    <t>Estado</t>
  </si>
  <si>
    <t>Sexo</t>
  </si>
  <si>
    <t>Email</t>
  </si>
  <si>
    <t>Nacionalidad</t>
  </si>
  <si>
    <t>Estado de nacimiento</t>
  </si>
  <si>
    <t>Edad (formulado)</t>
  </si>
  <si>
    <t>Fecha de nacimiento</t>
  </si>
  <si>
    <t>Salón</t>
  </si>
  <si>
    <t>NIVEL</t>
  </si>
  <si>
    <t>Categoria</t>
  </si>
  <si>
    <t>Idioma</t>
  </si>
  <si>
    <t>Pago mensual abril</t>
  </si>
  <si>
    <t>Pago mensual</t>
  </si>
  <si>
    <t>Fecha reingreso</t>
  </si>
  <si>
    <t>Fecha de baja</t>
  </si>
  <si>
    <t>Detalle de estatus</t>
  </si>
  <si>
    <t>Estatus del alumno</t>
  </si>
  <si>
    <t>Nombre</t>
  </si>
  <si>
    <t>ID alumno</t>
  </si>
  <si>
    <t>Datos generales alumnos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</si>
</sst>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"/>
    <numFmt numFmtId="165" formatCode="_-* #,##0.00_-;\-* #,##0.00_-;_-* &quot;-&quot;??_-;_-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u/>
      <sz val="11"/>
      <color rgb="FF0000FF"/>
      <name val="Calibri"/>
      <family val="2"/>
      <scheme val="minor"/>
    </font>
    <font>
      <u/>
      <sz val="11"/>
      <color rgb="FF0000FF"/>
      <name val="Aptos Display"/>
      <family val="2"/>
    </font>
    <font>
      <sz val="11"/>
      <color rgb="FF1E232B"/>
      <name val="Aptos Display"/>
      <family val="2"/>
    </font>
    <font>
      <sz val="12"/>
      <color theme="1"/>
      <name val="Aptos Display"/>
      <family val="2"/>
    </font>
    <font>
      <sz val="11"/>
      <color rgb="FF1E232B"/>
      <name val="Calibri"/>
      <family val="2"/>
      <scheme val="minor"/>
    </font>
    <font>
      <sz val="11"/>
      <name val="Aptos Display"/>
      <family val="2"/>
    </font>
    <font>
      <u/>
      <sz val="11"/>
      <color rgb="FF800080"/>
      <name val="Aptos Display"/>
      <family val="2"/>
    </font>
    <font>
      <b/>
      <sz val="14"/>
      <color theme="1"/>
      <name val="Aptos Display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/>
    <xf numFmtId="15" fontId="2" fillId="0" borderId="0" xfId="1" applyNumberFormat="1" applyFont="1" applyAlignment="1">
      <alignment horizontal="center"/>
    </xf>
    <xf numFmtId="43" fontId="2" fillId="0" borderId="0" xfId="1" applyFont="1" applyAlignment="1">
      <alignment horizontal="center"/>
    </xf>
    <xf numFmtId="0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4" fontId="2" fillId="0" borderId="0" xfId="1" applyNumberFormat="1" applyFont="1" applyAlignment="1">
      <alignment horizontal="center"/>
    </xf>
    <xf numFmtId="43" fontId="2" fillId="0" borderId="0" xfId="1" applyFont="1" applyAlignment="1">
      <alignment horizontal="left"/>
    </xf>
    <xf numFmtId="43" fontId="3" fillId="0" borderId="0" xfId="2" applyNumberFormat="1" applyAlignment="1">
      <alignment horizontal="center"/>
    </xf>
    <xf numFmtId="2" fontId="2" fillId="0" borderId="0" xfId="1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quotePrefix="1" applyFont="1"/>
    <xf numFmtId="1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0" fontId="3" fillId="0" borderId="0" xfId="2" applyAlignment="1">
      <alignment horizontal="center"/>
    </xf>
    <xf numFmtId="0" fontId="2" fillId="0" borderId="0" xfId="1" applyNumberFormat="1" applyFont="1" applyFill="1" applyAlignment="1">
      <alignment horizontal="center"/>
    </xf>
    <xf numFmtId="43" fontId="2" fillId="0" borderId="0" xfId="1" applyFont="1" applyFill="1" applyAlignment="1">
      <alignment horizontal="center"/>
    </xf>
    <xf numFmtId="15" fontId="2" fillId="0" borderId="0" xfId="1" applyNumberFormat="1" applyFont="1" applyFill="1" applyAlignment="1">
      <alignment horizontal="center"/>
    </xf>
    <xf numFmtId="2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14" fontId="2" fillId="0" borderId="0" xfId="1" applyNumberFormat="1" applyFont="1" applyFill="1" applyAlignment="1">
      <alignment horizontal="center"/>
    </xf>
    <xf numFmtId="43" fontId="2" fillId="2" borderId="0" xfId="1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2" applyFont="1" applyAlignment="1">
      <alignment horizontal="center"/>
    </xf>
    <xf numFmtId="43" fontId="4" fillId="0" borderId="0" xfId="2" applyNumberFormat="1" applyFont="1" applyAlignment="1">
      <alignment horizontal="center"/>
    </xf>
    <xf numFmtId="43" fontId="2" fillId="3" borderId="0" xfId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43" fontId="2" fillId="4" borderId="0" xfId="1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43" fontId="2" fillId="5" borderId="0" xfId="1" applyFont="1" applyFill="1" applyAlignment="1">
      <alignment horizontal="left"/>
    </xf>
    <xf numFmtId="0" fontId="2" fillId="5" borderId="0" xfId="0" applyFont="1" applyFill="1" applyAlignment="1">
      <alignment horizontal="center"/>
    </xf>
    <xf numFmtId="14" fontId="2" fillId="6" borderId="0" xfId="1" applyNumberFormat="1" applyFont="1" applyFill="1" applyAlignment="1">
      <alignment horizont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1" fillId="0" borderId="0" xfId="0" applyFont="1"/>
    <xf numFmtId="0" fontId="2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43" fontId="6" fillId="0" borderId="0" xfId="1" applyFont="1"/>
    <xf numFmtId="0" fontId="3" fillId="0" borderId="0" xfId="2" applyAlignment="1">
      <alignment horizontal="left" vertical="center"/>
    </xf>
    <xf numFmtId="43" fontId="2" fillId="0" borderId="0" xfId="1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43" fontId="2" fillId="0" borderId="0" xfId="1" applyFont="1" applyFill="1" applyBorder="1" applyAlignment="1">
      <alignment horizontal="left"/>
    </xf>
    <xf numFmtId="0" fontId="2" fillId="3" borderId="0" xfId="0" applyFont="1" applyFill="1" applyAlignment="1">
      <alignment horizontal="left" vertical="center"/>
    </xf>
    <xf numFmtId="0" fontId="0" fillId="4" borderId="0" xfId="0" applyFill="1"/>
    <xf numFmtId="0" fontId="0" fillId="0" borderId="0" xfId="0" applyAlignment="1">
      <alignment horizontal="center"/>
    </xf>
    <xf numFmtId="43" fontId="2" fillId="7" borderId="0" xfId="1" applyFont="1" applyFill="1" applyAlignment="1">
      <alignment horizontal="center"/>
    </xf>
    <xf numFmtId="43" fontId="2" fillId="7" borderId="0" xfId="1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43" fontId="3" fillId="0" borderId="0" xfId="2" applyNumberFormat="1" applyAlignment="1">
      <alignment horizontal="center" wrapText="1"/>
    </xf>
    <xf numFmtId="0" fontId="8" fillId="0" borderId="0" xfId="0" applyFont="1" applyAlignment="1">
      <alignment horizontal="center"/>
    </xf>
    <xf numFmtId="43" fontId="9" fillId="0" borderId="0" xfId="2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43" fontId="2" fillId="0" borderId="0" xfId="1" applyFont="1" applyAlignment="1">
      <alignment horizontal="center" wrapText="1"/>
    </xf>
    <xf numFmtId="43" fontId="2" fillId="8" borderId="0" xfId="1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8" borderId="0" xfId="1" applyNumberFormat="1" applyFont="1" applyFill="1" applyAlignment="1">
      <alignment horizontal="center" vertical="center" wrapText="1"/>
    </xf>
    <xf numFmtId="0" fontId="2" fillId="9" borderId="0" xfId="1" applyNumberFormat="1" applyFont="1" applyFill="1" applyAlignment="1">
      <alignment horizontal="center" vertical="center" wrapText="1"/>
    </xf>
    <xf numFmtId="43" fontId="2" fillId="9" borderId="0" xfId="1" applyFont="1" applyFill="1" applyAlignment="1">
      <alignment horizontal="center" vertical="center" wrapText="1"/>
    </xf>
    <xf numFmtId="15" fontId="2" fillId="9" borderId="0" xfId="1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164" fontId="2" fillId="8" borderId="0" xfId="1" applyNumberFormat="1" applyFont="1" applyFill="1" applyAlignment="1">
      <alignment horizontal="center" vertical="center" wrapText="1"/>
    </xf>
    <xf numFmtId="14" fontId="2" fillId="8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left"/>
    </xf>
  </cellXfs>
  <cellStyles count="3">
    <cellStyle name="Hipervínculo" xfId="2" builtinId="8"/>
    <cellStyle name="Millares" xfId="1" builtinId="3"/>
    <cellStyle name="Normal" xfId="0" builtinId="0"/>
  </cellStyles>
  <dxfs count="36">
    <dxf>
      <font>
        <strike val="0"/>
        <outline val="0"/>
        <shadow val="0"/>
        <vertAlign val="baseline"/>
        <name val="Aptos Display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20" formatCode="dd\-mmm\-yy"/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2" formatCode="0.00"/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20" formatCode="dd\-mmm\-yy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6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left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/>
    </dxf>
    <dxf>
      <font>
        <strike val="0"/>
        <outline val="0"/>
        <shadow val="0"/>
        <vertAlign val="baseline"/>
        <name val="Aptos Display"/>
        <family val="2"/>
        <scheme val="none"/>
      </font>
    </dxf>
    <dxf>
      <font>
        <strike val="0"/>
        <outline val="0"/>
        <shadow val="0"/>
        <vertAlign val="baseline"/>
        <name val="Aptos Display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38100</xdr:rowOff>
    </xdr:from>
    <xdr:ext cx="2320215" cy="458019"/>
    <xdr:pic>
      <xdr:nvPicPr>
        <xdr:cNvPr id="2" name="Imagen 1">
          <a:extLst>
            <a:ext uri="{FF2B5EF4-FFF2-40B4-BE49-F238E27FC236}">
              <a16:creationId xmlns:a16="http://schemas.microsoft.com/office/drawing/2014/main" id="{7995A0B4-6DB0-0142-AA02-57C9B59E2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38100"/>
          <a:ext cx="2320215" cy="45801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3DF35-6722-0448-9FA6-44628FCFA5FC}" name="Tabla1" displayName="Tabla1" ref="B7:AI238" totalsRowShown="0" headerRowDxfId="35" dataDxfId="34">
  <autoFilter ref="B7:AI238" xr:uid="{00000000-000C-0000-FFFF-FFFF00000000}">
    <filterColumn colId="2">
      <filters>
        <filter val="Activo"/>
      </filters>
    </filterColumn>
  </autoFilter>
  <sortState xmlns:xlrd2="http://schemas.microsoft.com/office/spreadsheetml/2017/richdata2" ref="B8:AI238">
    <sortCondition ref="C7:C238"/>
  </sortState>
  <tableColumns count="34">
    <tableColumn id="1" xr3:uid="{00000000-0010-0000-0000-000001000000}" name="ID alumno" dataDxfId="33"/>
    <tableColumn id="2" xr3:uid="{00000000-0010-0000-0000-000002000000}" name="Nombre" dataDxfId="32"/>
    <tableColumn id="29" xr3:uid="{593615B9-FD14-443A-AF6B-7C3E0F4D3A06}" name="Estatus del alumno" dataDxfId="31" dataCellStyle="Millares"/>
    <tableColumn id="31" xr3:uid="{ECB8A2D9-2031-4FBD-BC82-0D8667A3943C}" name="Detalle de estatus" dataDxfId="30" dataCellStyle="Millares"/>
    <tableColumn id="34" xr3:uid="{575F5A6A-1CC9-493B-B46E-478EEC2DC5BD}" name="Fecha de baja" dataDxfId="29"/>
    <tableColumn id="36" xr3:uid="{14C9BBF5-889E-4B9E-B0C8-8D553264FD4F}" name="Fecha reingreso" dataDxfId="28" dataCellStyle="Millares"/>
    <tableColumn id="30" xr3:uid="{1E20E3BB-8AD3-4C11-8627-A38DCFA73B39}" name="Pago mensual" dataDxfId="27" dataCellStyle="Millares"/>
    <tableColumn id="33" xr3:uid="{68426D28-F37F-4E02-94CC-AFD6C085071D}" name="Pago mensual abril" dataDxfId="26" dataCellStyle="Millares"/>
    <tableColumn id="3" xr3:uid="{00000000-0010-0000-0000-000003000000}" name="Idioma" dataDxfId="25"/>
    <tableColumn id="4" xr3:uid="{00000000-0010-0000-0000-000004000000}" name="Categoria" dataDxfId="24"/>
    <tableColumn id="5" xr3:uid="{00000000-0010-0000-0000-000005000000}" name="NIVEL" dataDxfId="23"/>
    <tableColumn id="7" xr3:uid="{54332D32-513D-43C5-BFB5-67337473A962}" name="Salón" dataDxfId="22"/>
    <tableColumn id="27" xr3:uid="{00000000-0010-0000-0000-00001B000000}" name="Fecha de nacimiento" dataDxfId="21"/>
    <tableColumn id="28" xr3:uid="{00000000-0010-0000-0000-00001C000000}" name="Edad (formulado)" dataDxfId="20">
      <calculatedColumnFormula>(TODAY()-Tabla1[[#This Row],[Fecha de nacimiento]])/365</calculatedColumnFormula>
    </tableColumn>
    <tableColumn id="8" xr3:uid="{00000000-0010-0000-0000-000008000000}" name="Estado de nacimiento" dataDxfId="19"/>
    <tableColumn id="9" xr3:uid="{00000000-0010-0000-0000-000009000000}" name="Nacionalidad" dataDxfId="18"/>
    <tableColumn id="10" xr3:uid="{00000000-0010-0000-0000-00000A000000}" name="Email" dataDxfId="17"/>
    <tableColumn id="11" xr3:uid="{00000000-0010-0000-0000-00000B000000}" name="Sexo" dataDxfId="16"/>
    <tableColumn id="12" xr3:uid="{00000000-0010-0000-0000-00000C000000}" name="Estado" dataDxfId="15"/>
    <tableColumn id="13" xr3:uid="{00000000-0010-0000-0000-00000D000000}" name="Municipio" dataDxfId="14"/>
    <tableColumn id="14" xr3:uid="{00000000-0010-0000-0000-00000E000000}" name="CURP" dataDxfId="13"/>
    <tableColumn id="15" xr3:uid="{00000000-0010-0000-0000-00000F000000}" name="Domicilio" dataDxfId="12"/>
    <tableColumn id="16" xr3:uid="{00000000-0010-0000-0000-000010000000}" name="C.P." dataDxfId="11"/>
    <tableColumn id="17" xr3:uid="{00000000-0010-0000-0000-000011000000}" name="Teléfono del alumno" dataDxfId="10"/>
    <tableColumn id="18" xr3:uid="{00000000-0010-0000-0000-000012000000}" name="Modalidad" dataDxfId="9"/>
    <tableColumn id="19" xr3:uid="{00000000-0010-0000-0000-000013000000}" name="Horario" dataDxfId="8"/>
    <tableColumn id="20" xr3:uid="{00000000-0010-0000-0000-000014000000}" name="Fecha de inscripción" dataDxfId="7"/>
    <tableColumn id="21" xr3:uid="{00000000-0010-0000-0000-000015000000}" name="Nombre del tutor" dataDxfId="6"/>
    <tableColumn id="22" xr3:uid="{00000000-0010-0000-0000-000016000000}" name="Parentesco" dataDxfId="5"/>
    <tableColumn id="23" xr3:uid="{00000000-0010-0000-0000-000017000000}" name="Teléfono del tutor" dataDxfId="4"/>
    <tableColumn id="24" xr3:uid="{00000000-0010-0000-0000-000018000000}" name="Email del tutor" dataDxfId="3"/>
    <tableColumn id="25" xr3:uid="{00000000-0010-0000-0000-000019000000}" name="Nombre del contacto de emergencia" dataDxfId="2"/>
    <tableColumn id="26" xr3:uid="{00000000-0010-0000-0000-00001A000000}" name="Teléfono de contacto de emergencia" dataDxfId="1"/>
    <tableColumn id="6" xr3:uid="{00000000-0010-0000-0000-000006000000}" name="Referencia de atracción (de dónde nos conoció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orgenoriega1@gmail.com" TargetMode="External"/><Relationship Id="rId21" Type="http://schemas.openxmlformats.org/officeDocument/2006/relationships/hyperlink" Target="mailto:mg.r@live.com.mx" TargetMode="External"/><Relationship Id="rId42" Type="http://schemas.openxmlformats.org/officeDocument/2006/relationships/hyperlink" Target="mailto:valemendezp5@gmail.com" TargetMode="External"/><Relationship Id="rId63" Type="http://schemas.openxmlformats.org/officeDocument/2006/relationships/hyperlink" Target="mailto:citlaloho77@gmail.com" TargetMode="External"/><Relationship Id="rId84" Type="http://schemas.openxmlformats.org/officeDocument/2006/relationships/hyperlink" Target="mailto:yanelianadalay@gmail.com" TargetMode="External"/><Relationship Id="rId138" Type="http://schemas.openxmlformats.org/officeDocument/2006/relationships/hyperlink" Target="mailto:Jovana_alva_10@icloud.com" TargetMode="External"/><Relationship Id="rId159" Type="http://schemas.openxmlformats.org/officeDocument/2006/relationships/hyperlink" Target="mailto:leslylabraacosta@gmail.com" TargetMode="External"/><Relationship Id="rId170" Type="http://schemas.openxmlformats.org/officeDocument/2006/relationships/hyperlink" Target="mailto:andradet07@hotmail.com" TargetMode="External"/><Relationship Id="rId107" Type="http://schemas.openxmlformats.org/officeDocument/2006/relationships/hyperlink" Target="mailto:orivera.m@outlook.com" TargetMode="External"/><Relationship Id="rId11" Type="http://schemas.openxmlformats.org/officeDocument/2006/relationships/hyperlink" Target="mailto:ramirezmayda@gmail.com" TargetMode="External"/><Relationship Id="rId32" Type="http://schemas.openxmlformats.org/officeDocument/2006/relationships/hyperlink" Target="mailto:keniaa149@gmail.com" TargetMode="External"/><Relationship Id="rId53" Type="http://schemas.openxmlformats.org/officeDocument/2006/relationships/hyperlink" Target="mailto:carmen.olguin.cruz@gmail.com" TargetMode="External"/><Relationship Id="rId74" Type="http://schemas.openxmlformats.org/officeDocument/2006/relationships/hyperlink" Target="mailto:ariemx@gmail.com" TargetMode="External"/><Relationship Id="rId128" Type="http://schemas.openxmlformats.org/officeDocument/2006/relationships/hyperlink" Target="mailto:amesilvade@gmail.com" TargetMode="External"/><Relationship Id="rId149" Type="http://schemas.openxmlformats.org/officeDocument/2006/relationships/hyperlink" Target="mailto:mary35_15@hotmail.com" TargetMode="External"/><Relationship Id="rId5" Type="http://schemas.openxmlformats.org/officeDocument/2006/relationships/hyperlink" Target="mailto:polettpruneda@gmail.com" TargetMode="External"/><Relationship Id="rId95" Type="http://schemas.openxmlformats.org/officeDocument/2006/relationships/hyperlink" Target="mailto:lauraquintero6154@gmail.com" TargetMode="External"/><Relationship Id="rId160" Type="http://schemas.openxmlformats.org/officeDocument/2006/relationships/hyperlink" Target="mailto:leslyangel249@gmail.com" TargetMode="External"/><Relationship Id="rId181" Type="http://schemas.openxmlformats.org/officeDocument/2006/relationships/hyperlink" Target="mailto:gerardotorresjr@gmail.com" TargetMode="External"/><Relationship Id="rId22" Type="http://schemas.openxmlformats.org/officeDocument/2006/relationships/hyperlink" Target="mailto:mg.r@live.com.mx" TargetMode="External"/><Relationship Id="rId43" Type="http://schemas.openxmlformats.org/officeDocument/2006/relationships/hyperlink" Target="mailto:angelreyfer15832@gmail.com" TargetMode="External"/><Relationship Id="rId64" Type="http://schemas.openxmlformats.org/officeDocument/2006/relationships/hyperlink" Target="mailto:mendozaisrael@gmail.com" TargetMode="External"/><Relationship Id="rId118" Type="http://schemas.openxmlformats.org/officeDocument/2006/relationships/hyperlink" Target="mailto:jorgenoriega1@gmail.com" TargetMode="External"/><Relationship Id="rId139" Type="http://schemas.openxmlformats.org/officeDocument/2006/relationships/hyperlink" Target="mailto:hernandezzaida365@gmail.com" TargetMode="External"/><Relationship Id="rId85" Type="http://schemas.openxmlformats.org/officeDocument/2006/relationships/hyperlink" Target="mailto:rojoamanecer2019@gmail.com" TargetMode="External"/><Relationship Id="rId150" Type="http://schemas.openxmlformats.org/officeDocument/2006/relationships/hyperlink" Target="mailto:mary35_15@hotmail.com" TargetMode="External"/><Relationship Id="rId171" Type="http://schemas.openxmlformats.org/officeDocument/2006/relationships/hyperlink" Target="mailto:andradet07@hotmail.com" TargetMode="External"/><Relationship Id="rId12" Type="http://schemas.openxmlformats.org/officeDocument/2006/relationships/hyperlink" Target="mailto:sosagonzalezvictorhugo@gmail.com" TargetMode="External"/><Relationship Id="rId33" Type="http://schemas.openxmlformats.org/officeDocument/2006/relationships/hyperlink" Target="mailto:keniaa149@gmail.com" TargetMode="External"/><Relationship Id="rId108" Type="http://schemas.openxmlformats.org/officeDocument/2006/relationships/hyperlink" Target="mailto:orivera.m@outlook.com" TargetMode="External"/><Relationship Id="rId129" Type="http://schemas.openxmlformats.org/officeDocument/2006/relationships/hyperlink" Target="mailto:amesilvade@gmail.com" TargetMode="External"/><Relationship Id="rId54" Type="http://schemas.openxmlformats.org/officeDocument/2006/relationships/hyperlink" Target="mailto:carmen.olguin.cruz@gmail.com" TargetMode="External"/><Relationship Id="rId75" Type="http://schemas.openxmlformats.org/officeDocument/2006/relationships/hyperlink" Target="mailto:mara1211@hotmail.com" TargetMode="External"/><Relationship Id="rId96" Type="http://schemas.openxmlformats.org/officeDocument/2006/relationships/hyperlink" Target="mailto:marymam1125@gmail.com" TargetMode="External"/><Relationship Id="rId140" Type="http://schemas.openxmlformats.org/officeDocument/2006/relationships/hyperlink" Target="mailto:hernandezzaida365@gmail.com" TargetMode="External"/><Relationship Id="rId161" Type="http://schemas.openxmlformats.org/officeDocument/2006/relationships/hyperlink" Target="mailto:leslyangel249@gmail.com" TargetMode="External"/><Relationship Id="rId182" Type="http://schemas.openxmlformats.org/officeDocument/2006/relationships/hyperlink" Target="mailto:gerardotorresjr@gmail.com" TargetMode="External"/><Relationship Id="rId6" Type="http://schemas.openxmlformats.org/officeDocument/2006/relationships/hyperlink" Target="mailto:nallely.vazquez@gmail.com" TargetMode="External"/><Relationship Id="rId23" Type="http://schemas.openxmlformats.org/officeDocument/2006/relationships/hyperlink" Target="mailto:gcv.17@gmail.com" TargetMode="External"/><Relationship Id="rId119" Type="http://schemas.openxmlformats.org/officeDocument/2006/relationships/hyperlink" Target="mailto:jorgenoriega1@gmail.com" TargetMode="External"/><Relationship Id="rId44" Type="http://schemas.openxmlformats.org/officeDocument/2006/relationships/hyperlink" Target="mailto:auroraydiego1583@gmail.com" TargetMode="External"/><Relationship Id="rId65" Type="http://schemas.openxmlformats.org/officeDocument/2006/relationships/hyperlink" Target="mailto:mendozaisrael@gmail.com" TargetMode="External"/><Relationship Id="rId86" Type="http://schemas.openxmlformats.org/officeDocument/2006/relationships/hyperlink" Target="mailto:rojoamanecer2019@gmail.com" TargetMode="External"/><Relationship Id="rId130" Type="http://schemas.openxmlformats.org/officeDocument/2006/relationships/hyperlink" Target="mailto:amesilvade@gmail.com" TargetMode="External"/><Relationship Id="rId151" Type="http://schemas.openxmlformats.org/officeDocument/2006/relationships/hyperlink" Target="mailto:mary35_15@hotmail.com" TargetMode="External"/><Relationship Id="rId172" Type="http://schemas.openxmlformats.org/officeDocument/2006/relationships/hyperlink" Target="mailto:monse1100@live.%20Com" TargetMode="External"/><Relationship Id="rId13" Type="http://schemas.openxmlformats.org/officeDocument/2006/relationships/hyperlink" Target="mailto:sosagonzalezvictorhugo@gmail.com" TargetMode="External"/><Relationship Id="rId18" Type="http://schemas.openxmlformats.org/officeDocument/2006/relationships/hyperlink" Target="mailto:v09pame@gmail.com" TargetMode="External"/><Relationship Id="rId39" Type="http://schemas.openxmlformats.org/officeDocument/2006/relationships/hyperlink" Target="mailto:lauraquintero6154@gmail.com" TargetMode="External"/><Relationship Id="rId109" Type="http://schemas.openxmlformats.org/officeDocument/2006/relationships/hyperlink" Target="mailto:orivera.m@outlook.com" TargetMode="External"/><Relationship Id="rId34" Type="http://schemas.openxmlformats.org/officeDocument/2006/relationships/hyperlink" Target="mailto:dulcezubha@gmail.com" TargetMode="External"/><Relationship Id="rId50" Type="http://schemas.openxmlformats.org/officeDocument/2006/relationships/hyperlink" Target="mailto:liah.finanzas22@gmail.com" TargetMode="External"/><Relationship Id="rId55" Type="http://schemas.openxmlformats.org/officeDocument/2006/relationships/hyperlink" Target="mailto:carmen.olguin.cruz@gmail.com" TargetMode="External"/><Relationship Id="rId76" Type="http://schemas.openxmlformats.org/officeDocument/2006/relationships/hyperlink" Target="mailto:monzepds02@gmal.com" TargetMode="External"/><Relationship Id="rId97" Type="http://schemas.openxmlformats.org/officeDocument/2006/relationships/hyperlink" Target="mailto:marymam1125@gmail.com" TargetMode="External"/><Relationship Id="rId104" Type="http://schemas.openxmlformats.org/officeDocument/2006/relationships/hyperlink" Target="mailto:fer.alanis999@gmail.com" TargetMode="External"/><Relationship Id="rId120" Type="http://schemas.openxmlformats.org/officeDocument/2006/relationships/hyperlink" Target="mailto:jorgenoriega1@gmail.com" TargetMode="External"/><Relationship Id="rId125" Type="http://schemas.openxmlformats.org/officeDocument/2006/relationships/hyperlink" Target="mailto:paulalubuenohornung@gmail.com" TargetMode="External"/><Relationship Id="rId141" Type="http://schemas.openxmlformats.org/officeDocument/2006/relationships/hyperlink" Target="mailto:chuny260609@gmail.com" TargetMode="External"/><Relationship Id="rId146" Type="http://schemas.openxmlformats.org/officeDocument/2006/relationships/hyperlink" Target="mailto:daliaamor9325@gmail.com" TargetMode="External"/><Relationship Id="rId167" Type="http://schemas.openxmlformats.org/officeDocument/2006/relationships/hyperlink" Target="mailto:santiagoriverapachecollin@gmail.com" TargetMode="External"/><Relationship Id="rId188" Type="http://schemas.openxmlformats.org/officeDocument/2006/relationships/printerSettings" Target="../printerSettings/printerSettings1.bin"/><Relationship Id="rId7" Type="http://schemas.openxmlformats.org/officeDocument/2006/relationships/hyperlink" Target="mailto:nallely.vazquez@gmail.com" TargetMode="External"/><Relationship Id="rId71" Type="http://schemas.openxmlformats.org/officeDocument/2006/relationships/hyperlink" Target="mailto:marigelleon@hotmail.com" TargetMode="External"/><Relationship Id="rId92" Type="http://schemas.openxmlformats.org/officeDocument/2006/relationships/hyperlink" Target="mailto:mary35_15@gmail.com" TargetMode="External"/><Relationship Id="rId162" Type="http://schemas.openxmlformats.org/officeDocument/2006/relationships/hyperlink" Target="mailto:leslyangel249@gmail.com" TargetMode="External"/><Relationship Id="rId183" Type="http://schemas.openxmlformats.org/officeDocument/2006/relationships/hyperlink" Target="mailto:haletseh@live.com.mx" TargetMode="External"/><Relationship Id="rId2" Type="http://schemas.openxmlformats.org/officeDocument/2006/relationships/hyperlink" Target="mailto:pj8741061@gmail.com" TargetMode="External"/><Relationship Id="rId29" Type="http://schemas.openxmlformats.org/officeDocument/2006/relationships/hyperlink" Target="mailto:alcervantes18@gmail.com" TargetMode="External"/><Relationship Id="rId24" Type="http://schemas.openxmlformats.org/officeDocument/2006/relationships/hyperlink" Target="mailto:ortsms@gmail.com" TargetMode="External"/><Relationship Id="rId40" Type="http://schemas.openxmlformats.org/officeDocument/2006/relationships/hyperlink" Target="mailto:mary95maryk@gmail.com" TargetMode="External"/><Relationship Id="rId45" Type="http://schemas.openxmlformats.org/officeDocument/2006/relationships/hyperlink" Target="mailto:valemendezp5@gmail.com" TargetMode="External"/><Relationship Id="rId66" Type="http://schemas.openxmlformats.org/officeDocument/2006/relationships/hyperlink" Target="mailto:karina.cienega@gmail.com" TargetMode="External"/><Relationship Id="rId87" Type="http://schemas.openxmlformats.org/officeDocument/2006/relationships/hyperlink" Target="mailto:Evelyncovarrubias440@gmail.com" TargetMode="External"/><Relationship Id="rId110" Type="http://schemas.openxmlformats.org/officeDocument/2006/relationships/hyperlink" Target="mailto:diana.lauravh@hotmail.com" TargetMode="External"/><Relationship Id="rId115" Type="http://schemas.openxmlformats.org/officeDocument/2006/relationships/hyperlink" Target="mailto:cv_gomez@outlook.com" TargetMode="External"/><Relationship Id="rId131" Type="http://schemas.openxmlformats.org/officeDocument/2006/relationships/hyperlink" Target="mailto:mairyalexandragarcia@gmail.com" TargetMode="External"/><Relationship Id="rId136" Type="http://schemas.openxmlformats.org/officeDocument/2006/relationships/hyperlink" Target="mailto:krlaxvt@gmail.com" TargetMode="External"/><Relationship Id="rId157" Type="http://schemas.openxmlformats.org/officeDocument/2006/relationships/hyperlink" Target="mailto:vitebere@gmail.com" TargetMode="External"/><Relationship Id="rId178" Type="http://schemas.openxmlformats.org/officeDocument/2006/relationships/hyperlink" Target="mailto:lluviadegatos07@gmail.com" TargetMode="External"/><Relationship Id="rId61" Type="http://schemas.openxmlformats.org/officeDocument/2006/relationships/hyperlink" Target="mailto:krlaxvt@gmail.com" TargetMode="External"/><Relationship Id="rId82" Type="http://schemas.openxmlformats.org/officeDocument/2006/relationships/hyperlink" Target="mailto:marymam1125@gmail.com" TargetMode="External"/><Relationship Id="rId152" Type="http://schemas.openxmlformats.org/officeDocument/2006/relationships/hyperlink" Target="mailto:daniela.hdez.hernandez@gmail.com" TargetMode="External"/><Relationship Id="rId173" Type="http://schemas.openxmlformats.org/officeDocument/2006/relationships/hyperlink" Target="mailto:monse1100@live.com" TargetMode="External"/><Relationship Id="rId19" Type="http://schemas.openxmlformats.org/officeDocument/2006/relationships/hyperlink" Target="mailto:marypardo100@gmail.com" TargetMode="External"/><Relationship Id="rId14" Type="http://schemas.openxmlformats.org/officeDocument/2006/relationships/hyperlink" Target="mailto:ramirezmayda@gmail.com" TargetMode="External"/><Relationship Id="rId30" Type="http://schemas.openxmlformats.org/officeDocument/2006/relationships/hyperlink" Target="mailto:yaztag89@gmail.com" TargetMode="External"/><Relationship Id="rId35" Type="http://schemas.openxmlformats.org/officeDocument/2006/relationships/hyperlink" Target="mailto:dulcezybha@gmail.com" TargetMode="External"/><Relationship Id="rId56" Type="http://schemas.openxmlformats.org/officeDocument/2006/relationships/hyperlink" Target="mailto:igarcia@spacy.com" TargetMode="External"/><Relationship Id="rId77" Type="http://schemas.openxmlformats.org/officeDocument/2006/relationships/hyperlink" Target="mailto:dora.rubio.13@gmail.com" TargetMode="External"/><Relationship Id="rId100" Type="http://schemas.openxmlformats.org/officeDocument/2006/relationships/hyperlink" Target="mailto:marianahm31@hotmail.com" TargetMode="External"/><Relationship Id="rId105" Type="http://schemas.openxmlformats.org/officeDocument/2006/relationships/hyperlink" Target="mailto:gabyolguin@gmail.com" TargetMode="External"/><Relationship Id="rId126" Type="http://schemas.openxmlformats.org/officeDocument/2006/relationships/hyperlink" Target="mailto:julian_bueno@uaeh.edu.mx" TargetMode="External"/><Relationship Id="rId147" Type="http://schemas.openxmlformats.org/officeDocument/2006/relationships/hyperlink" Target="mailto:daliaamor9325@gmail.com" TargetMode="External"/><Relationship Id="rId168" Type="http://schemas.openxmlformats.org/officeDocument/2006/relationships/hyperlink" Target="mailto:estela-1220@outlook.com" TargetMode="External"/><Relationship Id="rId8" Type="http://schemas.openxmlformats.org/officeDocument/2006/relationships/hyperlink" Target="mailto:nallely.vazquez@gmail.com" TargetMode="External"/><Relationship Id="rId51" Type="http://schemas.openxmlformats.org/officeDocument/2006/relationships/hyperlink" Target="mailto:liah.finanzas22@gmail.com" TargetMode="External"/><Relationship Id="rId72" Type="http://schemas.openxmlformats.org/officeDocument/2006/relationships/hyperlink" Target="mailto:ariemx@gmail.com" TargetMode="External"/><Relationship Id="rId93" Type="http://schemas.openxmlformats.org/officeDocument/2006/relationships/hyperlink" Target="mailto:mary35_15@gmail.com" TargetMode="External"/><Relationship Id="rId98" Type="http://schemas.openxmlformats.org/officeDocument/2006/relationships/hyperlink" Target="mailto:letymire1724@gmail.com" TargetMode="External"/><Relationship Id="rId121" Type="http://schemas.openxmlformats.org/officeDocument/2006/relationships/hyperlink" Target="mailto:misscristicarrillo@gmail.com%0a" TargetMode="External"/><Relationship Id="rId142" Type="http://schemas.openxmlformats.org/officeDocument/2006/relationships/hyperlink" Target="mailto:Karenlopezalfonso9647@gmail.com" TargetMode="External"/><Relationship Id="rId163" Type="http://schemas.openxmlformats.org/officeDocument/2006/relationships/hyperlink" Target="mailto:nancydop@hotmail.com" TargetMode="External"/><Relationship Id="rId184" Type="http://schemas.openxmlformats.org/officeDocument/2006/relationships/hyperlink" Target="mailto:haletseh@live.com.mx" TargetMode="External"/><Relationship Id="rId189" Type="http://schemas.openxmlformats.org/officeDocument/2006/relationships/drawing" Target="../drawings/drawing1.xml"/><Relationship Id="rId3" Type="http://schemas.openxmlformats.org/officeDocument/2006/relationships/hyperlink" Target="mailto:yedidleon7@gmail.com" TargetMode="External"/><Relationship Id="rId25" Type="http://schemas.openxmlformats.org/officeDocument/2006/relationships/hyperlink" Target="mailto:ortosms@gmail.com" TargetMode="External"/><Relationship Id="rId46" Type="http://schemas.openxmlformats.org/officeDocument/2006/relationships/hyperlink" Target="mailto:yurihr1@gmail.com" TargetMode="External"/><Relationship Id="rId67" Type="http://schemas.openxmlformats.org/officeDocument/2006/relationships/hyperlink" Target="mailto:karina.cienega@gmail.com" TargetMode="External"/><Relationship Id="rId116" Type="http://schemas.openxmlformats.org/officeDocument/2006/relationships/hyperlink" Target="mailto:cv_gomez@outlook.com" TargetMode="External"/><Relationship Id="rId137" Type="http://schemas.openxmlformats.org/officeDocument/2006/relationships/hyperlink" Target="mailto:CruzAlvaradoLeo@gmail.com" TargetMode="External"/><Relationship Id="rId158" Type="http://schemas.openxmlformats.org/officeDocument/2006/relationships/hyperlink" Target="mailto:vitebere@gmail.com" TargetMode="External"/><Relationship Id="rId20" Type="http://schemas.openxmlformats.org/officeDocument/2006/relationships/hyperlink" Target="mailto:alebav@gmail.com" TargetMode="External"/><Relationship Id="rId41" Type="http://schemas.openxmlformats.org/officeDocument/2006/relationships/hyperlink" Target="mailto:mary95maryk@gmail.com" TargetMode="External"/><Relationship Id="rId62" Type="http://schemas.openxmlformats.org/officeDocument/2006/relationships/hyperlink" Target="mailto:krlaxvt@gmail.com" TargetMode="External"/><Relationship Id="rId83" Type="http://schemas.openxmlformats.org/officeDocument/2006/relationships/hyperlink" Target="mailto:yanelianadalay@gmail.com" TargetMode="External"/><Relationship Id="rId88" Type="http://schemas.openxmlformats.org/officeDocument/2006/relationships/hyperlink" Target="mailto:ortsms@gmail.com" TargetMode="External"/><Relationship Id="rId111" Type="http://schemas.openxmlformats.org/officeDocument/2006/relationships/hyperlink" Target="mailto:carriola962@gmail.com" TargetMode="External"/><Relationship Id="rId132" Type="http://schemas.openxmlformats.org/officeDocument/2006/relationships/hyperlink" Target="mailto:mmaaiirryt@gmail.com" TargetMode="External"/><Relationship Id="rId153" Type="http://schemas.openxmlformats.org/officeDocument/2006/relationships/hyperlink" Target="mailto:lizzy1badillo@gmail.com" TargetMode="External"/><Relationship Id="rId174" Type="http://schemas.openxmlformats.org/officeDocument/2006/relationships/hyperlink" Target="mailto:monselugo15@gmail.com" TargetMode="External"/><Relationship Id="rId179" Type="http://schemas.openxmlformats.org/officeDocument/2006/relationships/hyperlink" Target="mailto:lluviadegatos07@gmail.com" TargetMode="External"/><Relationship Id="rId190" Type="http://schemas.openxmlformats.org/officeDocument/2006/relationships/table" Target="../tables/table1.xml"/><Relationship Id="rId15" Type="http://schemas.openxmlformats.org/officeDocument/2006/relationships/hyperlink" Target="mailto:ramirezmayda@gmail.com" TargetMode="External"/><Relationship Id="rId36" Type="http://schemas.openxmlformats.org/officeDocument/2006/relationships/hyperlink" Target="mailto:mary35_15@hotmail.com" TargetMode="External"/><Relationship Id="rId57" Type="http://schemas.openxmlformats.org/officeDocument/2006/relationships/hyperlink" Target="mailto:igarcia@spacy@gmail.com" TargetMode="External"/><Relationship Id="rId106" Type="http://schemas.openxmlformats.org/officeDocument/2006/relationships/hyperlink" Target="mailto:orivera.m@outlook.com" TargetMode="External"/><Relationship Id="rId127" Type="http://schemas.openxmlformats.org/officeDocument/2006/relationships/hyperlink" Target="mailto:amesilvade@gmail.com" TargetMode="External"/><Relationship Id="rId10" Type="http://schemas.openxmlformats.org/officeDocument/2006/relationships/hyperlink" Target="mailto:ramirezmayda@gmail.com" TargetMode="External"/><Relationship Id="rId31" Type="http://schemas.openxmlformats.org/officeDocument/2006/relationships/hyperlink" Target="mailto:yaztag89@gmail.com" TargetMode="External"/><Relationship Id="rId52" Type="http://schemas.openxmlformats.org/officeDocument/2006/relationships/hyperlink" Target="mailto:carmen.olguin.cruz@gmail.com" TargetMode="External"/><Relationship Id="rId73" Type="http://schemas.openxmlformats.org/officeDocument/2006/relationships/hyperlink" Target="mailto:mara1211@hotmail.com" TargetMode="External"/><Relationship Id="rId78" Type="http://schemas.openxmlformats.org/officeDocument/2006/relationships/hyperlink" Target="mailto:angiesb777@gmail.com" TargetMode="External"/><Relationship Id="rId94" Type="http://schemas.openxmlformats.org/officeDocument/2006/relationships/hyperlink" Target="mailto:lauraquintero6154@gmail.com" TargetMode="External"/><Relationship Id="rId99" Type="http://schemas.openxmlformats.org/officeDocument/2006/relationships/hyperlink" Target="mailto:letymire1724@gmail.com" TargetMode="External"/><Relationship Id="rId101" Type="http://schemas.openxmlformats.org/officeDocument/2006/relationships/hyperlink" Target="mailto:marianahm31@hotmail.com" TargetMode="External"/><Relationship Id="rId122" Type="http://schemas.openxmlformats.org/officeDocument/2006/relationships/hyperlink" Target="mailto:tonchlanderos@prodigy.com" TargetMode="External"/><Relationship Id="rId143" Type="http://schemas.openxmlformats.org/officeDocument/2006/relationships/hyperlink" Target="mailto:Karenlopezalfonso9647@gmail.com" TargetMode="External"/><Relationship Id="rId148" Type="http://schemas.openxmlformats.org/officeDocument/2006/relationships/hyperlink" Target="mailto:mary35_15@hotmail.com" TargetMode="External"/><Relationship Id="rId164" Type="http://schemas.openxmlformats.org/officeDocument/2006/relationships/hyperlink" Target="mailto:victormanuelvarg200@gmail.com" TargetMode="External"/><Relationship Id="rId169" Type="http://schemas.openxmlformats.org/officeDocument/2006/relationships/hyperlink" Target="mailto:abrilcabrera@gmail.com" TargetMode="External"/><Relationship Id="rId185" Type="http://schemas.openxmlformats.org/officeDocument/2006/relationships/hyperlink" Target="mailto:ana_corichi@hotmail.com" TargetMode="External"/><Relationship Id="rId4" Type="http://schemas.openxmlformats.org/officeDocument/2006/relationships/hyperlink" Target="mailto:polettpruneda@gmail.com" TargetMode="External"/><Relationship Id="rId9" Type="http://schemas.openxmlformats.org/officeDocument/2006/relationships/hyperlink" Target="mailto:nallely.vazquez@gmail.com" TargetMode="External"/><Relationship Id="rId180" Type="http://schemas.openxmlformats.org/officeDocument/2006/relationships/hyperlink" Target="mailto:lluviadegatos07@gmail.com" TargetMode="External"/><Relationship Id="rId26" Type="http://schemas.openxmlformats.org/officeDocument/2006/relationships/hyperlink" Target="mailto:alexisalor88@gmail.com" TargetMode="External"/><Relationship Id="rId47" Type="http://schemas.openxmlformats.org/officeDocument/2006/relationships/hyperlink" Target="mailto:yurihr1@gmail.com" TargetMode="External"/><Relationship Id="rId68" Type="http://schemas.openxmlformats.org/officeDocument/2006/relationships/hyperlink" Target="mailto:emilianoramosleon@gmail.com" TargetMode="External"/><Relationship Id="rId89" Type="http://schemas.openxmlformats.org/officeDocument/2006/relationships/hyperlink" Target="mailto:ortosms@gmail.com" TargetMode="External"/><Relationship Id="rId112" Type="http://schemas.openxmlformats.org/officeDocument/2006/relationships/hyperlink" Target="mailto:aureaarriolaharo@gmail.com" TargetMode="External"/><Relationship Id="rId133" Type="http://schemas.openxmlformats.org/officeDocument/2006/relationships/hyperlink" Target="mailto:meli11cruzalva@gmail.com" TargetMode="External"/><Relationship Id="rId154" Type="http://schemas.openxmlformats.org/officeDocument/2006/relationships/hyperlink" Target="mailto:lizzy1badillo@gmail.com" TargetMode="External"/><Relationship Id="rId175" Type="http://schemas.openxmlformats.org/officeDocument/2006/relationships/hyperlink" Target="mailto:verehgnlm@gmail.com" TargetMode="External"/><Relationship Id="rId16" Type="http://schemas.openxmlformats.org/officeDocument/2006/relationships/hyperlink" Target="mailto:marianmart.0130@gmail.com" TargetMode="External"/><Relationship Id="rId37" Type="http://schemas.openxmlformats.org/officeDocument/2006/relationships/hyperlink" Target="mailto:mary35_15@gmail.com" TargetMode="External"/><Relationship Id="rId58" Type="http://schemas.openxmlformats.org/officeDocument/2006/relationships/hyperlink" Target="mailto:abrilvg016@gmail.com" TargetMode="External"/><Relationship Id="rId79" Type="http://schemas.openxmlformats.org/officeDocument/2006/relationships/hyperlink" Target="mailto:amarianabarrera@gmail.com" TargetMode="External"/><Relationship Id="rId102" Type="http://schemas.openxmlformats.org/officeDocument/2006/relationships/hyperlink" Target="mailto:marianahm31@hotmail.com" TargetMode="External"/><Relationship Id="rId123" Type="http://schemas.openxmlformats.org/officeDocument/2006/relationships/hyperlink" Target="mailto:claudiareyes_crv@gmail.com" TargetMode="External"/><Relationship Id="rId144" Type="http://schemas.openxmlformats.org/officeDocument/2006/relationships/hyperlink" Target="mailto:Karenlopezalfonso9647@gmail.com" TargetMode="External"/><Relationship Id="rId90" Type="http://schemas.openxmlformats.org/officeDocument/2006/relationships/hyperlink" Target="mailto:dulcezubha@gmail.com" TargetMode="External"/><Relationship Id="rId165" Type="http://schemas.openxmlformats.org/officeDocument/2006/relationships/hyperlink" Target="mailto:nancydop@hotmail.com" TargetMode="External"/><Relationship Id="rId186" Type="http://schemas.openxmlformats.org/officeDocument/2006/relationships/hyperlink" Target="mailto:Stsrt4@gmail.com" TargetMode="External"/><Relationship Id="rId27" Type="http://schemas.openxmlformats.org/officeDocument/2006/relationships/hyperlink" Target="mailto:alequito2006@gmail.com" TargetMode="External"/><Relationship Id="rId48" Type="http://schemas.openxmlformats.org/officeDocument/2006/relationships/hyperlink" Target="mailto:yurihr1@gmail.com" TargetMode="External"/><Relationship Id="rId69" Type="http://schemas.openxmlformats.org/officeDocument/2006/relationships/hyperlink" Target="mailto:marigelleon@hotmail.com" TargetMode="External"/><Relationship Id="rId113" Type="http://schemas.openxmlformats.org/officeDocument/2006/relationships/hyperlink" Target="mailto:ortizaguilarzuleyka@gmail.com" TargetMode="External"/><Relationship Id="rId134" Type="http://schemas.openxmlformats.org/officeDocument/2006/relationships/hyperlink" Target="mailto:Jovana_alva_10@icloud.com" TargetMode="External"/><Relationship Id="rId80" Type="http://schemas.openxmlformats.org/officeDocument/2006/relationships/hyperlink" Target="mailto:amarianabarrera@gmail.com" TargetMode="External"/><Relationship Id="rId155" Type="http://schemas.openxmlformats.org/officeDocument/2006/relationships/hyperlink" Target="mailto:emmanuel.ortega2530@gmail.com" TargetMode="External"/><Relationship Id="rId176" Type="http://schemas.openxmlformats.org/officeDocument/2006/relationships/hyperlink" Target="mailto:saidrg25@gmail.com" TargetMode="External"/><Relationship Id="rId17" Type="http://schemas.openxmlformats.org/officeDocument/2006/relationships/hyperlink" Target="mailto:marypardo100@gmail.com" TargetMode="External"/><Relationship Id="rId38" Type="http://schemas.openxmlformats.org/officeDocument/2006/relationships/hyperlink" Target="mailto:lauraquintero6154@gmail.com" TargetMode="External"/><Relationship Id="rId59" Type="http://schemas.openxmlformats.org/officeDocument/2006/relationships/hyperlink" Target="mailto:ag6868802@gmail.com" TargetMode="External"/><Relationship Id="rId103" Type="http://schemas.openxmlformats.org/officeDocument/2006/relationships/hyperlink" Target="mailto:marianahm31@hotmail.com" TargetMode="External"/><Relationship Id="rId124" Type="http://schemas.openxmlformats.org/officeDocument/2006/relationships/hyperlink" Target="mailto:claudiareyes_crv@hotmail.com" TargetMode="External"/><Relationship Id="rId70" Type="http://schemas.openxmlformats.org/officeDocument/2006/relationships/hyperlink" Target="mailto:emilianoramosleon@gmail.com" TargetMode="External"/><Relationship Id="rId91" Type="http://schemas.openxmlformats.org/officeDocument/2006/relationships/hyperlink" Target="mailto:dulcezybha@gmail.com" TargetMode="External"/><Relationship Id="rId145" Type="http://schemas.openxmlformats.org/officeDocument/2006/relationships/hyperlink" Target="mailto:Karenlopezalfonso9647@gmail.com" TargetMode="External"/><Relationship Id="rId166" Type="http://schemas.openxmlformats.org/officeDocument/2006/relationships/hyperlink" Target="mailto:nancydop@hotmai.com" TargetMode="External"/><Relationship Id="rId187" Type="http://schemas.openxmlformats.org/officeDocument/2006/relationships/hyperlink" Target="mailto:joseluiscamm@yahoo.com.mx" TargetMode="External"/><Relationship Id="rId1" Type="http://schemas.openxmlformats.org/officeDocument/2006/relationships/hyperlink" Target="mailto:so507728@uaeh.edu.mx" TargetMode="External"/><Relationship Id="rId28" Type="http://schemas.openxmlformats.org/officeDocument/2006/relationships/hyperlink" Target="mailto:andres.cervantes1208@gmail.com" TargetMode="External"/><Relationship Id="rId49" Type="http://schemas.openxmlformats.org/officeDocument/2006/relationships/hyperlink" Target="mailto:yurihr1@gmail.com" TargetMode="External"/><Relationship Id="rId114" Type="http://schemas.openxmlformats.org/officeDocument/2006/relationships/hyperlink" Target="mailto:monicaaguilarlugo@gmail.com" TargetMode="External"/><Relationship Id="rId60" Type="http://schemas.openxmlformats.org/officeDocument/2006/relationships/hyperlink" Target="mailto:ag6868802@gmail.com" TargetMode="External"/><Relationship Id="rId81" Type="http://schemas.openxmlformats.org/officeDocument/2006/relationships/hyperlink" Target="mailto:marymam1125@gmail.com" TargetMode="External"/><Relationship Id="rId135" Type="http://schemas.openxmlformats.org/officeDocument/2006/relationships/hyperlink" Target="mailto:krlaxvt@gmail.com" TargetMode="External"/><Relationship Id="rId156" Type="http://schemas.openxmlformats.org/officeDocument/2006/relationships/hyperlink" Target="mailto:emmanuel.ortega2530@gmail.com" TargetMode="External"/><Relationship Id="rId177" Type="http://schemas.openxmlformats.org/officeDocument/2006/relationships/hyperlink" Target="mailto:lluviadegatos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FA7D-FA8A-C540-BD68-8270D0910212}">
  <dimension ref="A5:AI238"/>
  <sheetViews>
    <sheetView showGridLines="0" tabSelected="1" zoomScale="83" zoomScaleNormal="99" workbookViewId="0">
      <pane xSplit="3" ySplit="7" topLeftCell="D8" activePane="bottomRight" state="frozen"/>
      <selection pane="topRight"/>
      <selection pane="bottomLeft"/>
      <selection pane="bottomRight" activeCell="C78" sqref="C78"/>
    </sheetView>
  </sheetViews>
  <sheetFormatPr baseColWidth="10" defaultColWidth="11.5" defaultRowHeight="15" x14ac:dyDescent="0.2"/>
  <cols>
    <col min="1" max="1" width="20" style="1" bestFit="1" customWidth="1"/>
    <col min="2" max="2" width="12.33203125" style="2" customWidth="1"/>
    <col min="3" max="3" width="24.5" style="9" customWidth="1"/>
    <col min="4" max="4" width="18.83203125" style="2" customWidth="1"/>
    <col min="5" max="5" width="13.5" style="2" customWidth="1"/>
    <col min="6" max="6" width="13.5" style="8" customWidth="1"/>
    <col min="7" max="7" width="13.5" style="7" customWidth="1"/>
    <col min="8" max="8" width="13.5" style="2" customWidth="1"/>
    <col min="9" max="9" width="14.33203125" style="2" customWidth="1"/>
    <col min="10" max="11" width="15.83203125" style="2" customWidth="1"/>
    <col min="12" max="12" width="15.1640625" style="4" customWidth="1"/>
    <col min="13" max="13" width="12.83203125" style="6" customWidth="1"/>
    <col min="14" max="14" width="15.83203125" style="5" customWidth="1"/>
    <col min="15" max="15" width="24.5" style="5" customWidth="1"/>
    <col min="16" max="16" width="36.5" style="5" customWidth="1"/>
    <col min="17" max="17" width="13" style="2" customWidth="1"/>
    <col min="18" max="19" width="11.5" style="2"/>
    <col min="20" max="20" width="27.5" style="2" customWidth="1"/>
    <col min="21" max="21" width="66" style="1" customWidth="1"/>
    <col min="22" max="22" width="10.1640625" style="2" customWidth="1"/>
    <col min="23" max="23" width="18.5" style="2" customWidth="1"/>
    <col min="24" max="24" width="16" style="2" customWidth="1"/>
    <col min="25" max="25" width="37.5" style="2" customWidth="1"/>
    <col min="26" max="26" width="15.1640625" style="4" customWidth="1"/>
    <col min="27" max="27" width="46.5" style="1" customWidth="1"/>
    <col min="28" max="28" width="13.83203125" style="2" customWidth="1"/>
    <col min="29" max="29" width="18.5" style="2" customWidth="1"/>
    <col min="30" max="30" width="35.1640625" style="2" customWidth="1"/>
    <col min="31" max="31" width="42.5" style="3" customWidth="1"/>
    <col min="32" max="32" width="18.5" style="2" customWidth="1"/>
    <col min="33" max="33" width="25.33203125" style="1" customWidth="1"/>
    <col min="34" max="34" width="12.1640625" style="1" bestFit="1" customWidth="1"/>
    <col min="35" max="16384" width="11.5" style="1"/>
  </cols>
  <sheetData>
    <row r="5" spans="1:35" ht="18" x14ac:dyDescent="0.25">
      <c r="B5" s="70" t="s">
        <v>1259</v>
      </c>
    </row>
    <row r="7" spans="1:35" s="61" customFormat="1" ht="70.25" customHeight="1" x14ac:dyDescent="0.2">
      <c r="B7" s="67" t="s">
        <v>1258</v>
      </c>
      <c r="C7" s="64" t="s">
        <v>1257</v>
      </c>
      <c r="D7" s="66" t="s">
        <v>1256</v>
      </c>
      <c r="E7" s="66" t="s">
        <v>1255</v>
      </c>
      <c r="F7" s="69" t="s">
        <v>1254</v>
      </c>
      <c r="G7" s="66" t="s">
        <v>1253</v>
      </c>
      <c r="H7" s="68" t="s">
        <v>1252</v>
      </c>
      <c r="I7" s="68" t="s">
        <v>1251</v>
      </c>
      <c r="J7" s="67" t="s">
        <v>1250</v>
      </c>
      <c r="K7" s="67" t="s">
        <v>1249</v>
      </c>
      <c r="L7" s="67" t="s">
        <v>1248</v>
      </c>
      <c r="M7" s="66" t="s">
        <v>1247</v>
      </c>
      <c r="N7" s="65" t="s">
        <v>1246</v>
      </c>
      <c r="O7" s="63" t="s">
        <v>1245</v>
      </c>
      <c r="P7" s="64" t="s">
        <v>1244</v>
      </c>
      <c r="Q7" s="64" t="s">
        <v>1243</v>
      </c>
      <c r="R7" s="64" t="s">
        <v>1242</v>
      </c>
      <c r="S7" s="64" t="s">
        <v>1241</v>
      </c>
      <c r="T7" s="64" t="s">
        <v>1240</v>
      </c>
      <c r="U7" s="64" t="s">
        <v>1239</v>
      </c>
      <c r="V7" s="64" t="s">
        <v>1238</v>
      </c>
      <c r="W7" s="64" t="s">
        <v>1237</v>
      </c>
      <c r="X7" s="63" t="s">
        <v>1236</v>
      </c>
      <c r="Y7" s="63" t="s">
        <v>1235</v>
      </c>
      <c r="Z7" s="64" t="s">
        <v>1234</v>
      </c>
      <c r="AA7" s="64" t="s">
        <v>1233</v>
      </c>
      <c r="AB7" s="65" t="s">
        <v>1232</v>
      </c>
      <c r="AC7" s="64" t="s">
        <v>1231</v>
      </c>
      <c r="AD7" s="64" t="s">
        <v>1230</v>
      </c>
      <c r="AE7" s="63" t="s">
        <v>1229</v>
      </c>
      <c r="AF7" s="64" t="s">
        <v>1228</v>
      </c>
      <c r="AG7" s="64" t="s">
        <v>1227</v>
      </c>
      <c r="AH7" s="63" t="s">
        <v>1226</v>
      </c>
      <c r="AI7" s="62" t="s">
        <v>1225</v>
      </c>
    </row>
    <row r="8" spans="1:35" ht="20.5" customHeight="1" x14ac:dyDescent="0.2">
      <c r="A8" s="13">
        <f>SUBTOTAL(3,B$8:B8)</f>
        <v>1</v>
      </c>
      <c r="B8" s="2" t="s">
        <v>1224</v>
      </c>
      <c r="C8" s="9" t="s">
        <v>1195</v>
      </c>
      <c r="D8" s="2" t="s">
        <v>18</v>
      </c>
      <c r="E8" s="2" t="s">
        <v>216</v>
      </c>
      <c r="F8" s="12">
        <v>46157</v>
      </c>
      <c r="G8" s="12">
        <v>46252</v>
      </c>
      <c r="H8" s="7">
        <v>750</v>
      </c>
      <c r="I8" s="7">
        <v>650</v>
      </c>
      <c r="J8" s="2" t="s">
        <v>17</v>
      </c>
      <c r="K8" s="2" t="s">
        <v>22</v>
      </c>
      <c r="L8" s="2" t="s">
        <v>258</v>
      </c>
      <c r="M8" s="2" t="s">
        <v>1223</v>
      </c>
      <c r="N8" s="4">
        <v>41969</v>
      </c>
      <c r="O8" s="11">
        <f ca="1">DATEDIF(Tabla1[[#This Row],[Fecha de nacimiento]],TODAY(),"Y")</f>
        <v>11</v>
      </c>
      <c r="P8" s="5" t="s">
        <v>1193</v>
      </c>
      <c r="Q8" s="5" t="s">
        <v>13</v>
      </c>
      <c r="R8" s="53" t="s">
        <v>214</v>
      </c>
      <c r="S8" s="2" t="s">
        <v>11</v>
      </c>
      <c r="T8" s="2" t="s">
        <v>10</v>
      </c>
      <c r="U8" s="2" t="s">
        <v>9</v>
      </c>
      <c r="V8" s="2" t="s">
        <v>1192</v>
      </c>
      <c r="W8" s="1" t="s">
        <v>212</v>
      </c>
      <c r="X8" s="2">
        <v>42083</v>
      </c>
      <c r="Y8" s="53">
        <v>7712212621</v>
      </c>
      <c r="Z8" s="2" t="s">
        <v>6</v>
      </c>
      <c r="AA8" s="5" t="s">
        <v>211</v>
      </c>
      <c r="AB8" s="4">
        <v>45951</v>
      </c>
      <c r="AC8" s="1" t="s">
        <v>210</v>
      </c>
      <c r="AD8" s="2" t="s">
        <v>3</v>
      </c>
      <c r="AE8" s="2">
        <v>7712212621</v>
      </c>
      <c r="AG8" s="40" t="s">
        <v>209</v>
      </c>
      <c r="AH8" s="2">
        <v>7712366408</v>
      </c>
      <c r="AI8" s="1" t="s">
        <v>54</v>
      </c>
    </row>
    <row r="9" spans="1:35" ht="22.75" hidden="1" customHeight="1" x14ac:dyDescent="0.2">
      <c r="A9" s="13">
        <f>SUBTOTAL(3,B$8:B9)</f>
        <v>1</v>
      </c>
      <c r="B9" s="2" t="s">
        <v>1222</v>
      </c>
      <c r="C9" s="9" t="s">
        <v>1221</v>
      </c>
      <c r="D9" s="2" t="s">
        <v>113</v>
      </c>
      <c r="E9" s="2" t="s">
        <v>490</v>
      </c>
      <c r="F9" s="12"/>
      <c r="G9" s="2"/>
      <c r="H9" s="7"/>
      <c r="I9" s="7"/>
      <c r="J9" s="2" t="s">
        <v>17</v>
      </c>
      <c r="K9" s="2" t="s">
        <v>22</v>
      </c>
      <c r="L9" s="2" t="s">
        <v>39</v>
      </c>
      <c r="M9" s="2"/>
      <c r="N9" s="4">
        <v>42821</v>
      </c>
      <c r="O9" s="11">
        <f ca="1">(TODAY()-Tabla1[[#This Row],[Fecha de nacimiento]])/365</f>
        <v>9.5698630136986296</v>
      </c>
      <c r="P9" s="5" t="s">
        <v>10</v>
      </c>
      <c r="Q9" s="5" t="s">
        <v>13</v>
      </c>
      <c r="R9" s="5" t="s">
        <v>1216</v>
      </c>
      <c r="S9" s="5" t="s">
        <v>36</v>
      </c>
      <c r="T9" s="5" t="s">
        <v>10</v>
      </c>
      <c r="U9" s="5" t="s">
        <v>9</v>
      </c>
      <c r="V9" s="5" t="s">
        <v>1220</v>
      </c>
      <c r="W9" s="3" t="s">
        <v>1219</v>
      </c>
      <c r="X9" s="6">
        <v>42083</v>
      </c>
      <c r="Y9" s="6">
        <v>7713188646</v>
      </c>
      <c r="Z9" s="5" t="s">
        <v>6</v>
      </c>
      <c r="AA9" s="5" t="s">
        <v>334</v>
      </c>
      <c r="AB9" s="4">
        <v>45796</v>
      </c>
      <c r="AC9" s="3" t="s">
        <v>1218</v>
      </c>
      <c r="AD9" s="5" t="s">
        <v>1217</v>
      </c>
      <c r="AE9" s="6">
        <v>7713188646</v>
      </c>
      <c r="AF9" s="5" t="s">
        <v>1216</v>
      </c>
      <c r="AG9" s="3" t="s">
        <v>1215</v>
      </c>
      <c r="AH9" s="6">
        <v>9842557569</v>
      </c>
      <c r="AI9" s="1" t="s">
        <v>904</v>
      </c>
    </row>
    <row r="10" spans="1:35" ht="20.5" hidden="1" customHeight="1" x14ac:dyDescent="0.2">
      <c r="A10" s="13">
        <f>SUBTOTAL(3,B$8:B10)</f>
        <v>1</v>
      </c>
      <c r="B10" s="2" t="s">
        <v>1214</v>
      </c>
      <c r="C10" s="9" t="s">
        <v>1213</v>
      </c>
      <c r="D10" s="2" t="s">
        <v>113</v>
      </c>
      <c r="E10" s="2" t="s">
        <v>490</v>
      </c>
      <c r="F10" s="12"/>
      <c r="G10" s="2"/>
      <c r="H10" s="7"/>
      <c r="I10" s="7"/>
      <c r="J10" s="2" t="s">
        <v>17</v>
      </c>
      <c r="K10" s="2" t="s">
        <v>26</v>
      </c>
      <c r="L10" s="2" t="s">
        <v>258</v>
      </c>
      <c r="M10" s="2"/>
      <c r="N10" s="4"/>
      <c r="O10" s="11"/>
      <c r="Q10" s="5" t="s">
        <v>13</v>
      </c>
      <c r="R10" s="5" t="s">
        <v>1212</v>
      </c>
      <c r="S10" s="5" t="s">
        <v>36</v>
      </c>
      <c r="T10" s="5" t="s">
        <v>10</v>
      </c>
      <c r="U10" s="5" t="s">
        <v>9</v>
      </c>
      <c r="V10" s="5"/>
      <c r="W10" s="3"/>
      <c r="X10" s="6"/>
      <c r="Y10" s="6">
        <v>7711944228</v>
      </c>
      <c r="Z10" s="5" t="s">
        <v>384</v>
      </c>
      <c r="AA10" s="5" t="s">
        <v>1211</v>
      </c>
      <c r="AB10" s="4">
        <v>45796</v>
      </c>
      <c r="AC10" s="3"/>
      <c r="AD10" s="5" t="s">
        <v>3</v>
      </c>
      <c r="AE10" s="6"/>
      <c r="AF10" s="5"/>
      <c r="AG10" s="3"/>
      <c r="AH10" s="6"/>
      <c r="AI10" s="1" t="s">
        <v>637</v>
      </c>
    </row>
    <row r="11" spans="1:35" ht="17.5" hidden="1" customHeight="1" x14ac:dyDescent="0.2">
      <c r="A11" s="13">
        <f>SUBTOTAL(3,B$8:B11)</f>
        <v>1</v>
      </c>
      <c r="B11" s="2" t="s">
        <v>1210</v>
      </c>
      <c r="C11" s="9" t="s">
        <v>1209</v>
      </c>
      <c r="D11" s="2" t="s">
        <v>113</v>
      </c>
      <c r="E11" s="2" t="s">
        <v>490</v>
      </c>
      <c r="F11" s="12"/>
      <c r="G11" s="2"/>
      <c r="H11" s="7"/>
      <c r="I11" s="7"/>
      <c r="J11" s="2" t="s">
        <v>17</v>
      </c>
      <c r="K11" s="2" t="s">
        <v>26</v>
      </c>
      <c r="L11" s="2" t="s">
        <v>194</v>
      </c>
      <c r="M11" s="2"/>
      <c r="N11" s="4">
        <v>38574</v>
      </c>
      <c r="O11" s="11">
        <f ca="1">(TODAY()-Tabla1[[#This Row],[Fecha de nacimiento]])/365</f>
        <v>21.205479452054796</v>
      </c>
      <c r="P11" s="5" t="s">
        <v>10</v>
      </c>
      <c r="Q11" s="5" t="s">
        <v>13</v>
      </c>
      <c r="R11" s="5" t="s">
        <v>1208</v>
      </c>
      <c r="S11" s="5" t="s">
        <v>11</v>
      </c>
      <c r="T11" s="5" t="s">
        <v>10</v>
      </c>
      <c r="U11" s="5" t="s">
        <v>9</v>
      </c>
      <c r="V11" s="5" t="s">
        <v>1207</v>
      </c>
      <c r="W11" s="3" t="s">
        <v>1201</v>
      </c>
      <c r="X11" s="6">
        <v>42083</v>
      </c>
      <c r="Y11" s="6">
        <v>7712348833</v>
      </c>
      <c r="Z11" s="5" t="s">
        <v>6</v>
      </c>
      <c r="AA11" s="5" t="s">
        <v>1200</v>
      </c>
      <c r="AB11" s="4">
        <v>45798</v>
      </c>
      <c r="AC11" s="3" t="s">
        <v>1199</v>
      </c>
      <c r="AD11" s="5" t="s">
        <v>118</v>
      </c>
      <c r="AE11" s="6">
        <v>7711297412</v>
      </c>
      <c r="AF11" s="5" t="s">
        <v>1198</v>
      </c>
      <c r="AG11" s="3" t="s">
        <v>1206</v>
      </c>
      <c r="AH11" s="6">
        <v>7711438154</v>
      </c>
      <c r="AI11" s="1" t="s">
        <v>935</v>
      </c>
    </row>
    <row r="12" spans="1:35" ht="15.5" hidden="1" customHeight="1" x14ac:dyDescent="0.2">
      <c r="A12" s="13">
        <f>SUBTOTAL(3,B$8:B12)</f>
        <v>1</v>
      </c>
      <c r="B12" s="2" t="s">
        <v>1205</v>
      </c>
      <c r="C12" s="9" t="s">
        <v>1204</v>
      </c>
      <c r="D12" s="2" t="s">
        <v>113</v>
      </c>
      <c r="E12" s="2" t="s">
        <v>490</v>
      </c>
      <c r="F12" s="12"/>
      <c r="G12" s="2"/>
      <c r="H12" s="7"/>
      <c r="I12" s="7"/>
      <c r="J12" s="2" t="s">
        <v>17</v>
      </c>
      <c r="K12" s="2" t="s">
        <v>26</v>
      </c>
      <c r="L12" s="2" t="s">
        <v>194</v>
      </c>
      <c r="M12" s="2"/>
      <c r="N12" s="4">
        <v>36548</v>
      </c>
      <c r="O12" s="11">
        <f ca="1">(TODAY()-Tabla1[[#This Row],[Fecha de nacimiento]])/365</f>
        <v>26.756164383561643</v>
      </c>
      <c r="P12" s="5" t="s">
        <v>10</v>
      </c>
      <c r="Q12" s="5" t="s">
        <v>13</v>
      </c>
      <c r="R12" s="5" t="s">
        <v>1203</v>
      </c>
      <c r="S12" s="5" t="s">
        <v>36</v>
      </c>
      <c r="T12" s="5" t="s">
        <v>10</v>
      </c>
      <c r="U12" s="5" t="s">
        <v>9</v>
      </c>
      <c r="V12" s="5" t="s">
        <v>1202</v>
      </c>
      <c r="W12" s="3" t="s">
        <v>1201</v>
      </c>
      <c r="X12" s="6">
        <v>42083</v>
      </c>
      <c r="Y12" s="6">
        <v>7711438154</v>
      </c>
      <c r="Z12" s="5" t="s">
        <v>6</v>
      </c>
      <c r="AA12" s="5" t="s">
        <v>1200</v>
      </c>
      <c r="AB12" s="4">
        <v>45798</v>
      </c>
      <c r="AC12" s="3" t="s">
        <v>1199</v>
      </c>
      <c r="AD12" s="5" t="s">
        <v>118</v>
      </c>
      <c r="AE12" s="6">
        <v>7711297412</v>
      </c>
      <c r="AF12" s="5" t="s">
        <v>1198</v>
      </c>
      <c r="AG12" s="3" t="s">
        <v>1197</v>
      </c>
      <c r="AH12" s="6">
        <v>7711297412</v>
      </c>
      <c r="AI12" s="1" t="s">
        <v>935</v>
      </c>
    </row>
    <row r="13" spans="1:35" ht="15.5" hidden="1" customHeight="1" x14ac:dyDescent="0.2">
      <c r="A13" s="13">
        <f>SUBTOTAL(3,B$8:B13)</f>
        <v>1</v>
      </c>
      <c r="B13" s="2" t="s">
        <v>1196</v>
      </c>
      <c r="C13" s="9" t="s">
        <v>1195</v>
      </c>
      <c r="D13" s="2" t="s">
        <v>113</v>
      </c>
      <c r="E13" s="2" t="s">
        <v>216</v>
      </c>
      <c r="F13" s="12">
        <v>46157</v>
      </c>
      <c r="G13" s="12"/>
      <c r="H13" s="7">
        <v>550</v>
      </c>
      <c r="I13" s="7">
        <v>650</v>
      </c>
      <c r="J13" s="2" t="s">
        <v>17</v>
      </c>
      <c r="K13" s="2" t="s">
        <v>22</v>
      </c>
      <c r="L13" s="2" t="s">
        <v>258</v>
      </c>
      <c r="M13" s="2" t="s">
        <v>1194</v>
      </c>
      <c r="N13" s="4">
        <v>41969</v>
      </c>
      <c r="O13" s="11">
        <f ca="1">(TODAY()-Tabla1[[#This Row],[Fecha de nacimiento]])/365</f>
        <v>11.904109589041095</v>
      </c>
      <c r="P13" s="5" t="s">
        <v>1193</v>
      </c>
      <c r="Q13" s="5" t="s">
        <v>13</v>
      </c>
      <c r="R13" s="53" t="s">
        <v>214</v>
      </c>
      <c r="S13" s="2" t="s">
        <v>11</v>
      </c>
      <c r="T13" s="2" t="s">
        <v>10</v>
      </c>
      <c r="U13" s="2" t="s">
        <v>9</v>
      </c>
      <c r="V13" s="2" t="s">
        <v>1192</v>
      </c>
      <c r="W13" s="1" t="s">
        <v>212</v>
      </c>
      <c r="X13" s="2">
        <v>42083</v>
      </c>
      <c r="Y13" s="53">
        <v>7712212621</v>
      </c>
      <c r="Z13" s="2" t="s">
        <v>6</v>
      </c>
      <c r="AA13" s="2" t="s">
        <v>1191</v>
      </c>
      <c r="AB13" s="4">
        <v>45951</v>
      </c>
      <c r="AC13" s="1" t="s">
        <v>210</v>
      </c>
      <c r="AD13" s="2" t="s">
        <v>3</v>
      </c>
      <c r="AE13" s="2">
        <v>7712212621</v>
      </c>
      <c r="AG13" s="40" t="s">
        <v>209</v>
      </c>
      <c r="AH13" s="2">
        <v>7712366408</v>
      </c>
      <c r="AI13" s="1" t="s">
        <v>637</v>
      </c>
    </row>
    <row r="14" spans="1:35" ht="15.5" hidden="1" customHeight="1" x14ac:dyDescent="0.2">
      <c r="A14" s="13">
        <f>SUBTOTAL(3,B$8:B14)</f>
        <v>1</v>
      </c>
      <c r="B14" s="2" t="s">
        <v>1190</v>
      </c>
      <c r="C14" s="9" t="s">
        <v>1189</v>
      </c>
      <c r="D14" s="2" t="s">
        <v>113</v>
      </c>
      <c r="E14" s="2" t="s">
        <v>490</v>
      </c>
      <c r="F14" s="12"/>
      <c r="G14" s="2"/>
      <c r="H14" s="7">
        <v>600</v>
      </c>
      <c r="I14" s="7"/>
      <c r="J14" s="2" t="s">
        <v>17</v>
      </c>
      <c r="K14" s="2" t="s">
        <v>16</v>
      </c>
      <c r="L14" s="2" t="s">
        <v>39</v>
      </c>
      <c r="M14" s="2" t="s">
        <v>758</v>
      </c>
      <c r="N14" s="4">
        <v>41832</v>
      </c>
      <c r="O14" s="11">
        <f ca="1">(TODAY()-Tabla1[[#This Row],[Fecha de nacimiento]])/365</f>
        <v>12.27945205479452</v>
      </c>
      <c r="P14" s="5" t="s">
        <v>10</v>
      </c>
      <c r="Q14" s="5" t="s">
        <v>13</v>
      </c>
      <c r="R14" s="26" t="s">
        <v>754</v>
      </c>
      <c r="S14" s="5" t="s">
        <v>11</v>
      </c>
      <c r="T14" s="5" t="s">
        <v>10</v>
      </c>
      <c r="U14" s="5" t="s">
        <v>9</v>
      </c>
      <c r="V14" s="5"/>
      <c r="W14" s="3" t="s">
        <v>756</v>
      </c>
      <c r="X14" s="6">
        <v>42185</v>
      </c>
      <c r="Y14" s="6">
        <v>7711821502</v>
      </c>
      <c r="Z14" s="5" t="s">
        <v>6</v>
      </c>
      <c r="AA14" s="5" t="s">
        <v>153</v>
      </c>
      <c r="AB14" s="4">
        <v>45947</v>
      </c>
      <c r="AC14" s="3" t="s">
        <v>755</v>
      </c>
      <c r="AD14" s="5" t="s">
        <v>3</v>
      </c>
      <c r="AE14" s="6">
        <v>7711821502</v>
      </c>
      <c r="AF14" s="26" t="s">
        <v>754</v>
      </c>
      <c r="AG14" s="3" t="s">
        <v>753</v>
      </c>
      <c r="AH14" s="6">
        <v>7711008581</v>
      </c>
      <c r="AI14" s="1" t="s">
        <v>752</v>
      </c>
    </row>
    <row r="15" spans="1:35" ht="27" hidden="1" customHeight="1" x14ac:dyDescent="0.2">
      <c r="A15" s="13">
        <f>SUBTOTAL(3,B$8:B15)</f>
        <v>1</v>
      </c>
      <c r="B15" s="2" t="s">
        <v>1188</v>
      </c>
      <c r="C15" s="9" t="s">
        <v>1187</v>
      </c>
      <c r="D15" s="2" t="s">
        <v>113</v>
      </c>
      <c r="E15" s="2" t="s">
        <v>490</v>
      </c>
      <c r="F15" s="12"/>
      <c r="G15" s="2"/>
      <c r="H15" s="7"/>
      <c r="I15" s="7"/>
      <c r="J15" s="2" t="s">
        <v>17</v>
      </c>
      <c r="K15" s="2" t="s">
        <v>159</v>
      </c>
      <c r="L15" s="2" t="s">
        <v>39</v>
      </c>
      <c r="M15" s="2"/>
      <c r="N15" s="4">
        <v>44547</v>
      </c>
      <c r="O15" s="11">
        <f ca="1">(TODAY()-Tabla1[[#This Row],[Fecha de nacimiento]])/365</f>
        <v>4.8410958904109593</v>
      </c>
      <c r="P15" s="5" t="s">
        <v>10</v>
      </c>
      <c r="Q15" s="5" t="s">
        <v>13</v>
      </c>
      <c r="R15" s="5" t="s">
        <v>1182</v>
      </c>
      <c r="S15" s="5" t="s">
        <v>36</v>
      </c>
      <c r="T15" s="5" t="s">
        <v>10</v>
      </c>
      <c r="U15" s="5" t="s">
        <v>9</v>
      </c>
      <c r="V15" s="5" t="s">
        <v>1186</v>
      </c>
      <c r="W15" s="3" t="s">
        <v>1185</v>
      </c>
      <c r="X15" s="6">
        <v>42083</v>
      </c>
      <c r="Y15" s="6">
        <v>5545418262</v>
      </c>
      <c r="Z15" s="5" t="s">
        <v>6</v>
      </c>
      <c r="AA15" s="5" t="s">
        <v>1184</v>
      </c>
      <c r="AB15" s="4">
        <v>45801</v>
      </c>
      <c r="AC15" s="3" t="s">
        <v>1183</v>
      </c>
      <c r="AD15" s="5" t="s">
        <v>3</v>
      </c>
      <c r="AE15" s="6">
        <v>5545418262</v>
      </c>
      <c r="AF15" s="5" t="s">
        <v>1182</v>
      </c>
      <c r="AG15" s="3" t="s">
        <v>1181</v>
      </c>
      <c r="AH15" s="6">
        <v>5525549918</v>
      </c>
      <c r="AI15" s="1" t="s">
        <v>84</v>
      </c>
    </row>
    <row r="16" spans="1:35" ht="14.5" hidden="1" customHeight="1" x14ac:dyDescent="0.2">
      <c r="A16" s="13">
        <f>SUBTOTAL(3,B$8:B16)</f>
        <v>1</v>
      </c>
      <c r="B16" s="2" t="s">
        <v>1180</v>
      </c>
      <c r="C16" s="9" t="s">
        <v>1179</v>
      </c>
      <c r="D16" s="2" t="s">
        <v>113</v>
      </c>
      <c r="E16" s="2" t="s">
        <v>490</v>
      </c>
      <c r="F16" s="12"/>
      <c r="G16" s="2"/>
      <c r="H16" s="7"/>
      <c r="I16" s="7"/>
      <c r="J16" s="2" t="s">
        <v>17</v>
      </c>
      <c r="K16" s="2" t="s">
        <v>16</v>
      </c>
      <c r="L16" s="2" t="s">
        <v>258</v>
      </c>
      <c r="M16" s="2"/>
      <c r="N16" s="4">
        <v>40642</v>
      </c>
      <c r="O16" s="11">
        <f ca="1">(TODAY()-Tabla1[[#This Row],[Fecha de nacimiento]])/365</f>
        <v>15.53972602739726</v>
      </c>
      <c r="P16" s="5" t="s">
        <v>10</v>
      </c>
      <c r="Q16" s="5" t="s">
        <v>13</v>
      </c>
      <c r="R16" s="5" t="s">
        <v>1078</v>
      </c>
      <c r="S16" s="5" t="s">
        <v>36</v>
      </c>
      <c r="T16" s="5" t="s">
        <v>10</v>
      </c>
      <c r="U16" s="5" t="s">
        <v>9</v>
      </c>
      <c r="V16" s="5" t="s">
        <v>1178</v>
      </c>
      <c r="W16" s="3" t="s">
        <v>1080</v>
      </c>
      <c r="X16" s="6">
        <v>42184</v>
      </c>
      <c r="Y16" s="6">
        <v>7711097666</v>
      </c>
      <c r="Z16" s="5" t="s">
        <v>6</v>
      </c>
      <c r="AA16" s="5" t="s">
        <v>1177</v>
      </c>
      <c r="AB16" s="4">
        <v>45803</v>
      </c>
      <c r="AC16" s="3" t="s">
        <v>1079</v>
      </c>
      <c r="AD16" s="5" t="s">
        <v>3</v>
      </c>
      <c r="AE16" s="6">
        <v>7711097666</v>
      </c>
      <c r="AF16" s="5" t="s">
        <v>1078</v>
      </c>
      <c r="AG16" s="3" t="s">
        <v>1077</v>
      </c>
      <c r="AH16" s="6">
        <v>7711250707</v>
      </c>
      <c r="AI16" s="1" t="s">
        <v>935</v>
      </c>
    </row>
    <row r="17" spans="1:35" x14ac:dyDescent="0.2">
      <c r="A17" s="13">
        <f>SUBTOTAL(3,B$8:B17)</f>
        <v>2</v>
      </c>
      <c r="B17" s="24" t="s">
        <v>1176</v>
      </c>
      <c r="C17" s="23" t="s">
        <v>1175</v>
      </c>
      <c r="D17" s="60" t="s">
        <v>18</v>
      </c>
      <c r="E17" s="5" t="s">
        <v>23</v>
      </c>
      <c r="F17" s="12">
        <v>46204</v>
      </c>
      <c r="G17" s="8">
        <v>46298</v>
      </c>
      <c r="H17" s="7">
        <v>800</v>
      </c>
      <c r="I17" s="7"/>
      <c r="J17" s="2" t="s">
        <v>17</v>
      </c>
      <c r="K17" s="2" t="s">
        <v>26</v>
      </c>
      <c r="L17" s="4" t="s">
        <v>15</v>
      </c>
      <c r="M17" s="6" t="s">
        <v>193</v>
      </c>
      <c r="N17" s="4">
        <v>36232</v>
      </c>
      <c r="O17" s="11">
        <f ca="1">(TODAY()-Tabla1[[#This Row],[Fecha de nacimiento]])/365</f>
        <v>27.621917808219177</v>
      </c>
      <c r="P17" s="5" t="s">
        <v>59</v>
      </c>
      <c r="Q17" s="2" t="s">
        <v>13</v>
      </c>
      <c r="R17" s="16" t="s">
        <v>1174</v>
      </c>
      <c r="S17" s="2" t="s">
        <v>11</v>
      </c>
      <c r="T17" s="2" t="s">
        <v>10</v>
      </c>
      <c r="U17" s="2" t="s">
        <v>9</v>
      </c>
      <c r="W17" s="2" t="s">
        <v>1173</v>
      </c>
      <c r="X17" s="2">
        <v>42083</v>
      </c>
      <c r="Y17" s="2">
        <v>7712064983</v>
      </c>
      <c r="Z17" s="4" t="s">
        <v>6</v>
      </c>
      <c r="AA17" s="2" t="s">
        <v>244</v>
      </c>
      <c r="AB17" s="14">
        <v>46172</v>
      </c>
      <c r="AC17" s="2" t="s">
        <v>1172</v>
      </c>
      <c r="AD17" s="2" t="s">
        <v>3</v>
      </c>
      <c r="AE17" s="6">
        <v>7711587773</v>
      </c>
      <c r="AG17" s="1" t="s">
        <v>1171</v>
      </c>
      <c r="AH17" s="2">
        <v>7712586175</v>
      </c>
      <c r="AI17" s="1" t="s">
        <v>21</v>
      </c>
    </row>
    <row r="18" spans="1:35" hidden="1" x14ac:dyDescent="0.2">
      <c r="A18" s="13">
        <f>SUBTOTAL(3,B$8:B18)</f>
        <v>2</v>
      </c>
      <c r="B18" s="2" t="s">
        <v>1170</v>
      </c>
      <c r="C18" s="9" t="s">
        <v>1169</v>
      </c>
      <c r="D18" s="2" t="s">
        <v>113</v>
      </c>
      <c r="F18" s="12"/>
      <c r="G18" s="2"/>
      <c r="H18" s="7">
        <v>550</v>
      </c>
      <c r="I18" s="7"/>
      <c r="J18" s="2" t="s">
        <v>17</v>
      </c>
      <c r="K18" s="2" t="s">
        <v>16</v>
      </c>
      <c r="L18" s="2" t="s">
        <v>51</v>
      </c>
      <c r="M18" s="2" t="s">
        <v>38</v>
      </c>
      <c r="N18" s="4">
        <v>40856</v>
      </c>
      <c r="O18" s="11">
        <f ca="1">(TODAY()-Tabla1[[#This Row],[Fecha de nacimiento]])/365</f>
        <v>14.953424657534246</v>
      </c>
      <c r="P18" s="5" t="s">
        <v>91</v>
      </c>
      <c r="Q18" s="5" t="s">
        <v>13</v>
      </c>
      <c r="R18" s="26" t="s">
        <v>941</v>
      </c>
      <c r="S18" s="5" t="s">
        <v>11</v>
      </c>
      <c r="T18" s="5" t="s">
        <v>10</v>
      </c>
      <c r="U18" s="5" t="s">
        <v>9</v>
      </c>
      <c r="V18" s="5" t="s">
        <v>1168</v>
      </c>
      <c r="W18" s="3" t="s">
        <v>944</v>
      </c>
      <c r="X18" s="6">
        <v>42083</v>
      </c>
      <c r="Y18" s="6" t="s">
        <v>127</v>
      </c>
      <c r="Z18" s="5" t="s">
        <v>6</v>
      </c>
      <c r="AA18" s="5" t="s">
        <v>592</v>
      </c>
      <c r="AB18" s="4">
        <v>45854</v>
      </c>
      <c r="AC18" s="3" t="s">
        <v>942</v>
      </c>
      <c r="AD18" s="5" t="s">
        <v>3</v>
      </c>
      <c r="AE18" s="6">
        <v>7713752469</v>
      </c>
      <c r="AF18" s="26" t="s">
        <v>941</v>
      </c>
      <c r="AG18" s="3" t="s">
        <v>940</v>
      </c>
      <c r="AH18" s="6">
        <v>7713752469</v>
      </c>
      <c r="AI18" s="1" t="s">
        <v>84</v>
      </c>
    </row>
    <row r="19" spans="1:35" x14ac:dyDescent="0.2">
      <c r="A19" s="13">
        <f>SUBTOTAL(3,B$8:B19)</f>
        <v>3</v>
      </c>
      <c r="B19" s="2" t="s">
        <v>1167</v>
      </c>
      <c r="C19" s="9" t="s">
        <v>1166</v>
      </c>
      <c r="D19" s="5" t="s">
        <v>18</v>
      </c>
      <c r="E19" s="5"/>
      <c r="G19" s="5"/>
      <c r="H19" s="7">
        <v>800</v>
      </c>
      <c r="I19" s="7">
        <v>800</v>
      </c>
      <c r="J19" s="2" t="s">
        <v>17</v>
      </c>
      <c r="K19" s="2" t="s">
        <v>22</v>
      </c>
      <c r="L19" s="2" t="s">
        <v>258</v>
      </c>
      <c r="M19" s="2" t="s">
        <v>220</v>
      </c>
      <c r="N19" s="4">
        <v>41927</v>
      </c>
      <c r="O19" s="11">
        <f ca="1">(TODAY()-Tabla1[[#This Row],[Fecha de nacimiento]])/365</f>
        <v>12.019178082191781</v>
      </c>
      <c r="P19" s="5" t="s">
        <v>10</v>
      </c>
      <c r="Q19" s="5" t="s">
        <v>13</v>
      </c>
      <c r="R19" s="53" t="s">
        <v>1162</v>
      </c>
      <c r="S19" s="2" t="s">
        <v>11</v>
      </c>
      <c r="T19" s="2" t="s">
        <v>10</v>
      </c>
      <c r="U19" s="2" t="s">
        <v>9</v>
      </c>
      <c r="V19" s="31" t="s">
        <v>1165</v>
      </c>
      <c r="W19" s="1" t="s">
        <v>1164</v>
      </c>
      <c r="X19" s="2">
        <v>42083</v>
      </c>
      <c r="Y19" s="2">
        <v>7714709829</v>
      </c>
      <c r="Z19" s="2" t="s">
        <v>6</v>
      </c>
      <c r="AA19" s="2" t="s">
        <v>153</v>
      </c>
      <c r="AB19" s="4">
        <v>45960</v>
      </c>
      <c r="AC19" s="1" t="s">
        <v>1163</v>
      </c>
      <c r="AD19" s="2" t="s">
        <v>3</v>
      </c>
      <c r="AE19" s="2">
        <v>7714709829</v>
      </c>
      <c r="AF19" s="16" t="s">
        <v>1162</v>
      </c>
      <c r="AG19" s="3" t="s">
        <v>1161</v>
      </c>
      <c r="AH19" s="2">
        <v>7714251406</v>
      </c>
      <c r="AI19" s="1" t="s">
        <v>132</v>
      </c>
    </row>
    <row r="20" spans="1:35" hidden="1" x14ac:dyDescent="0.2">
      <c r="A20" s="13">
        <f>SUBTOTAL(3,B$8:B20)</f>
        <v>3</v>
      </c>
      <c r="B20" s="2" t="s">
        <v>1160</v>
      </c>
      <c r="C20" s="9" t="s">
        <v>918</v>
      </c>
      <c r="D20" s="2" t="s">
        <v>113</v>
      </c>
      <c r="E20" s="2" t="s">
        <v>490</v>
      </c>
      <c r="F20" s="12"/>
      <c r="G20" s="2"/>
      <c r="H20" s="7">
        <v>700</v>
      </c>
      <c r="I20" s="7"/>
      <c r="J20" s="2" t="s">
        <v>17</v>
      </c>
      <c r="K20" s="2" t="s">
        <v>26</v>
      </c>
      <c r="L20" s="2"/>
      <c r="M20" s="2" t="s">
        <v>924</v>
      </c>
      <c r="N20" s="4">
        <v>28134</v>
      </c>
      <c r="O20" s="11">
        <f ca="1">(TODAY()-Tabla1[[#This Row],[Fecha de nacimiento]])/365</f>
        <v>49.80821917808219</v>
      </c>
      <c r="P20" s="5" t="s">
        <v>1159</v>
      </c>
      <c r="Q20" s="5" t="s">
        <v>13</v>
      </c>
      <c r="R20" s="26" t="s">
        <v>916</v>
      </c>
      <c r="S20" s="5" t="s">
        <v>36</v>
      </c>
      <c r="T20" s="5" t="s">
        <v>10</v>
      </c>
      <c r="U20" s="5" t="s">
        <v>9</v>
      </c>
      <c r="V20" s="5" t="s">
        <v>1158</v>
      </c>
      <c r="W20" s="3" t="s">
        <v>920</v>
      </c>
      <c r="X20" s="6">
        <v>42082</v>
      </c>
      <c r="Y20" s="6">
        <v>5534837212</v>
      </c>
      <c r="Z20" s="5" t="s">
        <v>6</v>
      </c>
      <c r="AA20" s="5" t="s">
        <v>244</v>
      </c>
      <c r="AB20" s="4">
        <v>45908</v>
      </c>
      <c r="AC20" s="3" t="s">
        <v>915</v>
      </c>
      <c r="AD20" s="5" t="s">
        <v>907</v>
      </c>
      <c r="AE20" s="6">
        <v>5553938664</v>
      </c>
      <c r="AF20" s="5"/>
      <c r="AG20" s="3"/>
      <c r="AH20" s="6"/>
    </row>
    <row r="21" spans="1:35" x14ac:dyDescent="0.2">
      <c r="A21" s="13">
        <f>SUBTOTAL(3,B$8:B21)</f>
        <v>4</v>
      </c>
      <c r="B21" s="28" t="s">
        <v>1157</v>
      </c>
      <c r="C21" s="47" t="s">
        <v>1156</v>
      </c>
      <c r="D21" s="5" t="s">
        <v>18</v>
      </c>
      <c r="E21" s="5" t="s">
        <v>23</v>
      </c>
      <c r="H21" s="7">
        <v>750</v>
      </c>
      <c r="I21" s="7"/>
      <c r="J21" s="2" t="s">
        <v>17</v>
      </c>
      <c r="K21" s="2" t="s">
        <v>26</v>
      </c>
      <c r="N21" s="4"/>
      <c r="O21" s="11">
        <f ca="1">(TODAY()-Tabla1[[#This Row],[Fecha de nacimiento]])/365</f>
        <v>126.88767123287671</v>
      </c>
      <c r="U21" s="2"/>
      <c r="Z21" s="4" t="s">
        <v>6</v>
      </c>
      <c r="AA21" s="2"/>
      <c r="AB21" s="14">
        <v>46298</v>
      </c>
      <c r="AE21" s="6"/>
      <c r="AH21" s="2"/>
      <c r="AI21" s="1" t="s">
        <v>21</v>
      </c>
    </row>
    <row r="22" spans="1:35" hidden="1" x14ac:dyDescent="0.2">
      <c r="A22" s="13">
        <f>SUBTOTAL(3,B$8:B22)</f>
        <v>4</v>
      </c>
      <c r="B22" s="2" t="s">
        <v>1155</v>
      </c>
      <c r="C22" s="9" t="s">
        <v>1154</v>
      </c>
      <c r="D22" s="2" t="s">
        <v>113</v>
      </c>
      <c r="F22" s="12"/>
      <c r="G22" s="2"/>
      <c r="H22" s="7">
        <v>350</v>
      </c>
      <c r="I22" s="7"/>
      <c r="J22" s="2" t="s">
        <v>105</v>
      </c>
      <c r="K22" s="2" t="s">
        <v>26</v>
      </c>
      <c r="L22" s="2" t="s">
        <v>995</v>
      </c>
      <c r="M22" s="2" t="s">
        <v>839</v>
      </c>
      <c r="N22" s="4">
        <v>38912</v>
      </c>
      <c r="O22" s="11">
        <f ca="1">(TODAY()-Tabla1[[#This Row],[Fecha de nacimiento]])/365</f>
        <v>20.279452054794522</v>
      </c>
      <c r="P22" s="5" t="s">
        <v>632</v>
      </c>
      <c r="Q22" s="5" t="s">
        <v>13</v>
      </c>
      <c r="R22" s="5" t="s">
        <v>1153</v>
      </c>
      <c r="S22" s="5" t="s">
        <v>11</v>
      </c>
      <c r="T22" s="5" t="s">
        <v>10</v>
      </c>
      <c r="U22" s="5" t="s">
        <v>9</v>
      </c>
      <c r="V22" s="5" t="s">
        <v>1152</v>
      </c>
      <c r="W22" s="3" t="s">
        <v>1151</v>
      </c>
      <c r="X22" s="6">
        <v>42083</v>
      </c>
      <c r="Y22" s="6">
        <v>7711834553</v>
      </c>
      <c r="Z22" s="5" t="s">
        <v>6</v>
      </c>
      <c r="AA22" s="5" t="s">
        <v>1150</v>
      </c>
      <c r="AB22" s="4">
        <v>45810</v>
      </c>
      <c r="AC22" s="3" t="s">
        <v>1149</v>
      </c>
      <c r="AD22" s="5" t="s">
        <v>3</v>
      </c>
      <c r="AE22" s="6">
        <v>5566769735</v>
      </c>
      <c r="AF22" s="5" t="s">
        <v>1148</v>
      </c>
      <c r="AG22" s="3" t="s">
        <v>1147</v>
      </c>
      <c r="AH22" s="6">
        <v>5581433169</v>
      </c>
      <c r="AI22" s="1" t="s">
        <v>84</v>
      </c>
    </row>
    <row r="23" spans="1:35" hidden="1" x14ac:dyDescent="0.2">
      <c r="A23" s="13">
        <f>SUBTOTAL(3,B$8:B23)</f>
        <v>4</v>
      </c>
      <c r="B23" s="2" t="s">
        <v>1146</v>
      </c>
      <c r="C23" s="9" t="s">
        <v>1145</v>
      </c>
      <c r="D23" s="2" t="s">
        <v>113</v>
      </c>
      <c r="E23" s="2" t="s">
        <v>490</v>
      </c>
      <c r="F23" s="12"/>
      <c r="G23" s="2"/>
      <c r="H23" s="7"/>
      <c r="I23" s="7"/>
      <c r="J23" s="2" t="s">
        <v>17</v>
      </c>
      <c r="K23" s="2" t="s">
        <v>26</v>
      </c>
      <c r="L23" s="2" t="s">
        <v>258</v>
      </c>
      <c r="M23" s="2"/>
      <c r="N23" s="4">
        <v>30905</v>
      </c>
      <c r="O23" s="11">
        <f ca="1">(TODAY()-Tabla1[[#This Row],[Fecha de nacimiento]])/365</f>
        <v>42.216438356164382</v>
      </c>
      <c r="P23" s="5" t="s">
        <v>10</v>
      </c>
      <c r="Q23" s="5" t="s">
        <v>13</v>
      </c>
      <c r="R23" s="5" t="s">
        <v>1144</v>
      </c>
      <c r="S23" s="5" t="s">
        <v>11</v>
      </c>
      <c r="T23" s="5" t="s">
        <v>10</v>
      </c>
      <c r="U23" s="5" t="s">
        <v>9</v>
      </c>
      <c r="V23" s="5" t="s">
        <v>1143</v>
      </c>
      <c r="W23" s="3" t="s">
        <v>1138</v>
      </c>
      <c r="X23" s="6">
        <v>42083</v>
      </c>
      <c r="Y23" s="6">
        <v>7712902381</v>
      </c>
      <c r="Z23" s="5" t="s">
        <v>6</v>
      </c>
      <c r="AA23" s="5" t="s">
        <v>1137</v>
      </c>
      <c r="AB23" s="4">
        <v>45819</v>
      </c>
      <c r="AC23" s="3"/>
      <c r="AD23" s="5"/>
      <c r="AE23" s="6"/>
      <c r="AF23" s="5"/>
      <c r="AG23" s="3"/>
      <c r="AH23" s="6">
        <v>5544720306</v>
      </c>
      <c r="AI23" s="1" t="s">
        <v>84</v>
      </c>
    </row>
    <row r="24" spans="1:35" hidden="1" x14ac:dyDescent="0.2">
      <c r="A24" s="13">
        <f>SUBTOTAL(3,B$8:B24)</f>
        <v>4</v>
      </c>
      <c r="B24" s="2" t="s">
        <v>1142</v>
      </c>
      <c r="C24" s="9" t="s">
        <v>1141</v>
      </c>
      <c r="D24" s="2" t="s">
        <v>113</v>
      </c>
      <c r="E24" s="2" t="s">
        <v>490</v>
      </c>
      <c r="F24" s="12"/>
      <c r="G24" s="2"/>
      <c r="H24" s="7"/>
      <c r="I24" s="7"/>
      <c r="J24" s="2" t="s">
        <v>17</v>
      </c>
      <c r="K24" s="2" t="s">
        <v>26</v>
      </c>
      <c r="L24" s="2" t="s">
        <v>194</v>
      </c>
      <c r="M24" s="2"/>
      <c r="N24" s="4">
        <v>31035</v>
      </c>
      <c r="O24" s="11">
        <f ca="1">(TODAY()-Tabla1[[#This Row],[Fecha de nacimiento]])/365</f>
        <v>41.860273972602741</v>
      </c>
      <c r="P24" s="5" t="s">
        <v>10</v>
      </c>
      <c r="Q24" s="5" t="s">
        <v>13</v>
      </c>
      <c r="R24" s="5" t="s">
        <v>1140</v>
      </c>
      <c r="S24" s="5" t="s">
        <v>36</v>
      </c>
      <c r="T24" s="5" t="s">
        <v>10</v>
      </c>
      <c r="U24" s="5" t="s">
        <v>9</v>
      </c>
      <c r="V24" s="5" t="s">
        <v>1139</v>
      </c>
      <c r="W24" s="3" t="s">
        <v>1138</v>
      </c>
      <c r="X24" s="6">
        <v>42083</v>
      </c>
      <c r="Y24" s="6">
        <v>5544720306</v>
      </c>
      <c r="Z24" s="5" t="s">
        <v>6</v>
      </c>
      <c r="AA24" s="5" t="s">
        <v>1137</v>
      </c>
      <c r="AB24" s="4">
        <v>45819</v>
      </c>
      <c r="AC24" s="3"/>
      <c r="AD24" s="5"/>
      <c r="AE24" s="6"/>
      <c r="AF24" s="5"/>
      <c r="AG24" s="3"/>
      <c r="AH24" s="6">
        <v>7712902381</v>
      </c>
      <c r="AI24" s="1" t="s">
        <v>84</v>
      </c>
    </row>
    <row r="25" spans="1:35" hidden="1" x14ac:dyDescent="0.2">
      <c r="A25" s="13">
        <f>SUBTOTAL(3,B$8:B25)</f>
        <v>4</v>
      </c>
      <c r="B25" s="2" t="s">
        <v>1136</v>
      </c>
      <c r="C25" s="9" t="s">
        <v>1135</v>
      </c>
      <c r="D25" s="2" t="s">
        <v>113</v>
      </c>
      <c r="E25" s="2" t="s">
        <v>490</v>
      </c>
      <c r="F25" s="12"/>
      <c r="G25" s="2"/>
      <c r="H25" s="7"/>
      <c r="I25" s="7"/>
      <c r="J25" s="2" t="s">
        <v>17</v>
      </c>
      <c r="K25" s="2" t="s">
        <v>26</v>
      </c>
      <c r="L25" s="2" t="s">
        <v>258</v>
      </c>
      <c r="M25" s="2"/>
      <c r="N25" s="4">
        <v>42594</v>
      </c>
      <c r="O25" s="11">
        <f ca="1">(TODAY()-Tabla1[[#This Row],[Fecha de nacimiento]])/365</f>
        <v>10.191780821917808</v>
      </c>
      <c r="P25" s="5" t="s">
        <v>10</v>
      </c>
      <c r="Q25" s="5" t="s">
        <v>13</v>
      </c>
      <c r="R25" s="5" t="s">
        <v>1130</v>
      </c>
      <c r="S25" s="5" t="s">
        <v>11</v>
      </c>
      <c r="T25" s="5" t="s">
        <v>10</v>
      </c>
      <c r="U25" s="5" t="s">
        <v>9</v>
      </c>
      <c r="V25" s="5" t="s">
        <v>1134</v>
      </c>
      <c r="W25" s="3" t="s">
        <v>1133</v>
      </c>
      <c r="X25" s="6">
        <v>42083</v>
      </c>
      <c r="Y25" s="6">
        <v>7715670875</v>
      </c>
      <c r="Z25" s="5" t="s">
        <v>6</v>
      </c>
      <c r="AA25" s="5" t="s">
        <v>1132</v>
      </c>
      <c r="AB25" s="4">
        <v>45819</v>
      </c>
      <c r="AC25" s="3" t="s">
        <v>1131</v>
      </c>
      <c r="AD25" s="5" t="s">
        <v>3</v>
      </c>
      <c r="AE25" s="6">
        <v>7715670875</v>
      </c>
      <c r="AF25" s="5" t="s">
        <v>1130</v>
      </c>
      <c r="AG25" s="3" t="s">
        <v>1129</v>
      </c>
      <c r="AH25" s="6">
        <v>7713963631</v>
      </c>
      <c r="AI25" s="1" t="s">
        <v>84</v>
      </c>
    </row>
    <row r="26" spans="1:35" x14ac:dyDescent="0.2">
      <c r="A26" s="13">
        <f>SUBTOTAL(3,B$8:B26)</f>
        <v>5</v>
      </c>
      <c r="B26" s="2" t="s">
        <v>1128</v>
      </c>
      <c r="C26" s="9" t="s">
        <v>1127</v>
      </c>
      <c r="D26" s="2" t="s">
        <v>18</v>
      </c>
      <c r="F26" s="12"/>
      <c r="G26" s="2"/>
      <c r="H26" s="7">
        <v>700</v>
      </c>
      <c r="I26" s="7">
        <v>800</v>
      </c>
      <c r="J26" s="2" t="s">
        <v>17</v>
      </c>
      <c r="K26" s="2" t="s">
        <v>16</v>
      </c>
      <c r="L26" s="2"/>
      <c r="M26" s="2" t="s">
        <v>328</v>
      </c>
      <c r="N26" s="4">
        <v>40925</v>
      </c>
      <c r="O26" s="11">
        <f ca="1">(TODAY()-Tabla1[[#This Row],[Fecha de nacimiento]])/365</f>
        <v>14.764383561643836</v>
      </c>
      <c r="P26" s="5" t="s">
        <v>10</v>
      </c>
      <c r="Q26" s="5" t="s">
        <v>13</v>
      </c>
      <c r="R26" s="5" t="s">
        <v>1126</v>
      </c>
      <c r="S26" s="5" t="s">
        <v>11</v>
      </c>
      <c r="T26" s="5" t="s">
        <v>10</v>
      </c>
      <c r="U26" s="5" t="s">
        <v>9</v>
      </c>
      <c r="V26" s="5" t="s">
        <v>1125</v>
      </c>
      <c r="W26" s="3" t="s">
        <v>1124</v>
      </c>
      <c r="X26" s="6">
        <v>42185</v>
      </c>
      <c r="Y26" s="6">
        <v>7713216648</v>
      </c>
      <c r="Z26" s="5" t="s">
        <v>6</v>
      </c>
      <c r="AA26" s="5" t="s">
        <v>5</v>
      </c>
      <c r="AB26" s="4">
        <v>45796</v>
      </c>
      <c r="AC26" s="3" t="s">
        <v>1123</v>
      </c>
      <c r="AD26" s="5" t="s">
        <v>118</v>
      </c>
      <c r="AE26" s="6">
        <v>7712160369</v>
      </c>
      <c r="AF26" s="5" t="s">
        <v>1122</v>
      </c>
      <c r="AG26" s="3" t="s">
        <v>1121</v>
      </c>
      <c r="AH26" s="6">
        <v>7711130133</v>
      </c>
      <c r="AI26" s="1" t="s">
        <v>0</v>
      </c>
    </row>
    <row r="27" spans="1:35" x14ac:dyDescent="0.2">
      <c r="A27" s="13">
        <f>SUBTOTAL(3,B$8:B27)</f>
        <v>6</v>
      </c>
      <c r="B27" s="2" t="s">
        <v>1120</v>
      </c>
      <c r="C27" s="9" t="s">
        <v>1119</v>
      </c>
      <c r="D27" s="5" t="s">
        <v>18</v>
      </c>
      <c r="E27" s="5" t="s">
        <v>23</v>
      </c>
      <c r="G27" s="5"/>
      <c r="H27" s="7">
        <v>750</v>
      </c>
      <c r="I27" s="7">
        <v>750</v>
      </c>
      <c r="J27" s="2" t="s">
        <v>17</v>
      </c>
      <c r="K27" s="2" t="s">
        <v>22</v>
      </c>
      <c r="L27" s="2" t="s">
        <v>39</v>
      </c>
      <c r="M27" s="2" t="s">
        <v>92</v>
      </c>
      <c r="N27" s="4">
        <v>44164</v>
      </c>
      <c r="O27" s="11">
        <f ca="1">(TODAY()-Tabla1[[#This Row],[Fecha de nacimiento]])/365</f>
        <v>5.8904109589041092</v>
      </c>
      <c r="P27" s="5" t="s">
        <v>10</v>
      </c>
      <c r="Q27" s="5" t="s">
        <v>13</v>
      </c>
      <c r="R27" s="10" t="s">
        <v>124</v>
      </c>
      <c r="S27" s="2" t="s">
        <v>11</v>
      </c>
      <c r="T27" s="2" t="s">
        <v>10</v>
      </c>
      <c r="U27" s="2" t="s">
        <v>9</v>
      </c>
      <c r="V27" s="2" t="s">
        <v>1118</v>
      </c>
      <c r="W27" s="1" t="s">
        <v>128</v>
      </c>
      <c r="X27" s="2">
        <v>42083</v>
      </c>
      <c r="Y27" s="2" t="s">
        <v>127</v>
      </c>
      <c r="Z27" s="2" t="s">
        <v>6</v>
      </c>
      <c r="AA27" s="2" t="s">
        <v>126</v>
      </c>
      <c r="AB27" s="4">
        <v>46048</v>
      </c>
      <c r="AC27" s="1" t="s">
        <v>125</v>
      </c>
      <c r="AD27" s="2" t="s">
        <v>118</v>
      </c>
      <c r="AE27" s="2">
        <v>7715666466</v>
      </c>
      <c r="AF27" s="16" t="s">
        <v>124</v>
      </c>
      <c r="AG27" s="3" t="s">
        <v>123</v>
      </c>
      <c r="AH27" s="2">
        <v>771221059</v>
      </c>
      <c r="AI27" s="1" t="s">
        <v>0</v>
      </c>
    </row>
    <row r="28" spans="1:35" hidden="1" x14ac:dyDescent="0.2">
      <c r="A28" s="13">
        <f>SUBTOTAL(3,B$8:B28)</f>
        <v>6</v>
      </c>
      <c r="B28" s="2" t="s">
        <v>1117</v>
      </c>
      <c r="C28" s="9" t="s">
        <v>1116</v>
      </c>
      <c r="D28" s="2" t="s">
        <v>113</v>
      </c>
      <c r="E28" s="2" t="s">
        <v>490</v>
      </c>
      <c r="F28" s="12"/>
      <c r="G28" s="2"/>
      <c r="H28" s="7"/>
      <c r="I28" s="7"/>
      <c r="J28" s="2" t="s">
        <v>17</v>
      </c>
      <c r="K28" s="2" t="s">
        <v>26</v>
      </c>
      <c r="L28" s="2" t="s">
        <v>1115</v>
      </c>
      <c r="M28" s="2"/>
      <c r="N28" s="4">
        <v>34134</v>
      </c>
      <c r="O28" s="11">
        <f ca="1">(TODAY()-Tabla1[[#This Row],[Fecha de nacimiento]])/365</f>
        <v>33.369863013698627</v>
      </c>
      <c r="P28" s="5" t="s">
        <v>10</v>
      </c>
      <c r="Q28" s="5" t="s">
        <v>13</v>
      </c>
      <c r="R28" s="5" t="s">
        <v>1114</v>
      </c>
      <c r="S28" s="5" t="s">
        <v>11</v>
      </c>
      <c r="T28" s="5" t="s">
        <v>10</v>
      </c>
      <c r="U28" s="5" t="s">
        <v>9</v>
      </c>
      <c r="V28" s="5" t="s">
        <v>1113</v>
      </c>
      <c r="W28" s="3" t="s">
        <v>1112</v>
      </c>
      <c r="X28" s="6">
        <v>42094</v>
      </c>
      <c r="Y28" s="6">
        <v>7712210557</v>
      </c>
      <c r="Z28" s="5" t="s">
        <v>6</v>
      </c>
      <c r="AA28" s="5" t="s">
        <v>1111</v>
      </c>
      <c r="AB28" s="4">
        <v>45826</v>
      </c>
      <c r="AC28" s="3" t="s">
        <v>1109</v>
      </c>
      <c r="AD28" s="5" t="s">
        <v>1110</v>
      </c>
      <c r="AE28" s="6">
        <v>7711239494</v>
      </c>
      <c r="AF28" s="5" t="s">
        <v>46</v>
      </c>
      <c r="AG28" s="3" t="s">
        <v>1109</v>
      </c>
      <c r="AH28" s="6">
        <v>7711239494</v>
      </c>
      <c r="AI28" s="1" t="s">
        <v>54</v>
      </c>
    </row>
    <row r="29" spans="1:35" hidden="1" x14ac:dyDescent="0.2">
      <c r="A29" s="13">
        <f>SUBTOTAL(3,B$8:B29)</f>
        <v>6</v>
      </c>
      <c r="B29" s="2" t="s">
        <v>1108</v>
      </c>
      <c r="C29" s="9" t="s">
        <v>1106</v>
      </c>
      <c r="D29" s="5" t="s">
        <v>113</v>
      </c>
      <c r="E29" s="5" t="s">
        <v>490</v>
      </c>
      <c r="G29" s="5"/>
      <c r="H29" s="7"/>
      <c r="I29" s="7"/>
      <c r="J29" s="2" t="s">
        <v>105</v>
      </c>
      <c r="K29" s="2" t="s">
        <v>22</v>
      </c>
      <c r="L29" s="2" t="s">
        <v>39</v>
      </c>
      <c r="M29" s="2" t="s">
        <v>1102</v>
      </c>
      <c r="N29" s="4"/>
      <c r="O29" s="11">
        <f ca="1">(TODAY()-Tabla1[[#This Row],[Fecha de nacimiento]])/365</f>
        <v>126.88767123287671</v>
      </c>
      <c r="Q29" s="5"/>
      <c r="R29" s="5"/>
      <c r="S29" s="5"/>
      <c r="T29" s="5"/>
      <c r="U29" s="5"/>
      <c r="V29" s="5"/>
      <c r="W29" s="3"/>
      <c r="X29" s="6"/>
      <c r="Y29" s="6"/>
      <c r="Z29" s="5"/>
      <c r="AA29" s="5" t="s">
        <v>1091</v>
      </c>
      <c r="AB29" s="4">
        <v>45826</v>
      </c>
      <c r="AC29" s="3" t="s">
        <v>1089</v>
      </c>
      <c r="AD29" s="5" t="s">
        <v>3</v>
      </c>
      <c r="AE29" s="6">
        <v>7711200091</v>
      </c>
      <c r="AF29" s="5" t="s">
        <v>1090</v>
      </c>
      <c r="AG29" s="3" t="s">
        <v>1089</v>
      </c>
      <c r="AH29" s="6">
        <v>7711200091</v>
      </c>
      <c r="AI29" s="1" t="s">
        <v>84</v>
      </c>
    </row>
    <row r="30" spans="1:35" hidden="1" x14ac:dyDescent="0.2">
      <c r="A30" s="13">
        <f>SUBTOTAL(3,B$8:B30)</f>
        <v>6</v>
      </c>
      <c r="B30" s="2" t="s">
        <v>1107</v>
      </c>
      <c r="C30" s="9" t="s">
        <v>1106</v>
      </c>
      <c r="D30" s="2" t="s">
        <v>113</v>
      </c>
      <c r="E30" s="2" t="s">
        <v>490</v>
      </c>
      <c r="F30" s="12"/>
      <c r="G30" s="2"/>
      <c r="H30" s="7"/>
      <c r="I30" s="7"/>
      <c r="J30" s="2" t="s">
        <v>17</v>
      </c>
      <c r="K30" s="2" t="s">
        <v>22</v>
      </c>
      <c r="L30" s="2" t="s">
        <v>39</v>
      </c>
      <c r="M30" s="2" t="s">
        <v>1099</v>
      </c>
      <c r="N30" s="4">
        <v>41417</v>
      </c>
      <c r="O30" s="11">
        <f ca="1">(TODAY()-Tabla1[[#This Row],[Fecha de nacimiento]])/365</f>
        <v>13.416438356164383</v>
      </c>
      <c r="P30" s="5" t="s">
        <v>10</v>
      </c>
      <c r="Q30" s="5" t="s">
        <v>13</v>
      </c>
      <c r="R30" s="5" t="s">
        <v>1090</v>
      </c>
      <c r="S30" s="5" t="s">
        <v>11</v>
      </c>
      <c r="T30" s="5" t="s">
        <v>10</v>
      </c>
      <c r="U30" s="5" t="s">
        <v>9</v>
      </c>
      <c r="V30" s="5" t="s">
        <v>1105</v>
      </c>
      <c r="W30" s="3" t="s">
        <v>1092</v>
      </c>
      <c r="X30" s="6">
        <v>42084</v>
      </c>
      <c r="Y30" s="6">
        <v>7711200091</v>
      </c>
      <c r="Z30" s="5" t="s">
        <v>6</v>
      </c>
      <c r="AA30" s="5" t="s">
        <v>1104</v>
      </c>
      <c r="AB30" s="4">
        <v>45826</v>
      </c>
      <c r="AC30" s="3" t="s">
        <v>1089</v>
      </c>
      <c r="AD30" s="5" t="s">
        <v>3</v>
      </c>
      <c r="AE30" s="6">
        <v>7711200091</v>
      </c>
      <c r="AF30" s="5" t="s">
        <v>1090</v>
      </c>
      <c r="AG30" s="3" t="s">
        <v>1089</v>
      </c>
      <c r="AH30" s="6">
        <v>7711200091</v>
      </c>
      <c r="AI30" s="1" t="s">
        <v>84</v>
      </c>
    </row>
    <row r="31" spans="1:35" hidden="1" x14ac:dyDescent="0.2">
      <c r="A31" s="13">
        <f>SUBTOTAL(3,B$8:B31)</f>
        <v>6</v>
      </c>
      <c r="B31" s="2" t="s">
        <v>1103</v>
      </c>
      <c r="C31" s="9" t="s">
        <v>1100</v>
      </c>
      <c r="D31" s="5" t="s">
        <v>113</v>
      </c>
      <c r="E31" s="5" t="s">
        <v>490</v>
      </c>
      <c r="G31" s="5"/>
      <c r="H31" s="7"/>
      <c r="I31" s="7"/>
      <c r="J31" s="2" t="s">
        <v>105</v>
      </c>
      <c r="K31" s="2" t="s">
        <v>22</v>
      </c>
      <c r="L31" s="2" t="s">
        <v>39</v>
      </c>
      <c r="M31" s="2" t="s">
        <v>1102</v>
      </c>
      <c r="N31" s="4"/>
      <c r="O31" s="11">
        <f ca="1">(TODAY()-Tabla1[[#This Row],[Fecha de nacimiento]])/365</f>
        <v>126.88767123287671</v>
      </c>
      <c r="Q31" s="5"/>
      <c r="R31" s="5"/>
      <c r="S31" s="5"/>
      <c r="T31" s="5"/>
      <c r="U31" s="5"/>
      <c r="V31" s="5"/>
      <c r="W31" s="3"/>
      <c r="X31" s="6"/>
      <c r="Y31" s="6"/>
      <c r="Z31" s="5"/>
      <c r="AA31" s="5" t="s">
        <v>1091</v>
      </c>
      <c r="AB31" s="4">
        <v>45826</v>
      </c>
      <c r="AC31" s="3" t="s">
        <v>1089</v>
      </c>
      <c r="AD31" s="5" t="s">
        <v>3</v>
      </c>
      <c r="AE31" s="6">
        <v>7711200091</v>
      </c>
      <c r="AF31" s="5" t="s">
        <v>1090</v>
      </c>
      <c r="AG31" s="3" t="s">
        <v>1089</v>
      </c>
      <c r="AH31" s="6">
        <v>7711200091</v>
      </c>
      <c r="AI31" s="1" t="s">
        <v>84</v>
      </c>
    </row>
    <row r="32" spans="1:35" hidden="1" x14ac:dyDescent="0.2">
      <c r="A32" s="13">
        <f>SUBTOTAL(3,B$8:B32)</f>
        <v>6</v>
      </c>
      <c r="B32" s="2" t="s">
        <v>1101</v>
      </c>
      <c r="C32" s="9" t="s">
        <v>1100</v>
      </c>
      <c r="D32" s="2" t="s">
        <v>113</v>
      </c>
      <c r="E32" s="2" t="s">
        <v>490</v>
      </c>
      <c r="F32" s="12"/>
      <c r="G32" s="2"/>
      <c r="H32" s="7"/>
      <c r="I32" s="7"/>
      <c r="J32" s="2" t="s">
        <v>17</v>
      </c>
      <c r="K32" s="2" t="s">
        <v>22</v>
      </c>
      <c r="L32" s="2" t="s">
        <v>39</v>
      </c>
      <c r="M32" s="2" t="s">
        <v>1099</v>
      </c>
      <c r="N32" s="4">
        <v>42161</v>
      </c>
      <c r="O32" s="11">
        <f ca="1">(TODAY()-Tabla1[[#This Row],[Fecha de nacimiento]])/365</f>
        <v>11.378082191780821</v>
      </c>
      <c r="P32" s="5" t="s">
        <v>10</v>
      </c>
      <c r="Q32" s="5" t="s">
        <v>13</v>
      </c>
      <c r="R32" s="5" t="s">
        <v>1090</v>
      </c>
      <c r="S32" s="5" t="s">
        <v>36</v>
      </c>
      <c r="T32" s="5" t="s">
        <v>10</v>
      </c>
      <c r="U32" s="5" t="s">
        <v>9</v>
      </c>
      <c r="V32" s="5" t="s">
        <v>1098</v>
      </c>
      <c r="W32" s="3" t="s">
        <v>1092</v>
      </c>
      <c r="X32" s="6">
        <v>42084</v>
      </c>
      <c r="Y32" s="6">
        <v>7711200091</v>
      </c>
      <c r="Z32" s="5" t="s">
        <v>6</v>
      </c>
      <c r="AA32" s="5" t="s">
        <v>1097</v>
      </c>
      <c r="AB32" s="4">
        <v>45826</v>
      </c>
      <c r="AC32" s="3" t="s">
        <v>1089</v>
      </c>
      <c r="AD32" s="5" t="s">
        <v>3</v>
      </c>
      <c r="AE32" s="6">
        <v>7711200091</v>
      </c>
      <c r="AF32" s="5" t="s">
        <v>1090</v>
      </c>
      <c r="AG32" s="3" t="s">
        <v>1089</v>
      </c>
      <c r="AH32" s="6">
        <v>7711200091</v>
      </c>
      <c r="AI32" s="1" t="s">
        <v>84</v>
      </c>
    </row>
    <row r="33" spans="1:35" hidden="1" x14ac:dyDescent="0.2">
      <c r="A33" s="13">
        <f>SUBTOTAL(3,B$8:B33)</f>
        <v>6</v>
      </c>
      <c r="B33" s="2" t="s">
        <v>1096</v>
      </c>
      <c r="C33" s="9" t="s">
        <v>1095</v>
      </c>
      <c r="D33" s="2" t="s">
        <v>113</v>
      </c>
      <c r="E33" s="2" t="s">
        <v>490</v>
      </c>
      <c r="F33" s="12"/>
      <c r="G33" s="2"/>
      <c r="H33" s="7"/>
      <c r="I33" s="7"/>
      <c r="J33" s="2" t="s">
        <v>17</v>
      </c>
      <c r="K33" s="2" t="s">
        <v>26</v>
      </c>
      <c r="L33" s="2" t="s">
        <v>39</v>
      </c>
      <c r="M33" s="2"/>
      <c r="N33" s="4">
        <v>38780</v>
      </c>
      <c r="O33" s="11">
        <f ca="1">(TODAY()-Tabla1[[#This Row],[Fecha de nacimiento]])/365</f>
        <v>20.641095890410959</v>
      </c>
      <c r="P33" s="5" t="s">
        <v>10</v>
      </c>
      <c r="Q33" s="5" t="s">
        <v>13</v>
      </c>
      <c r="R33" s="5" t="s">
        <v>1094</v>
      </c>
      <c r="S33" s="5" t="s">
        <v>11</v>
      </c>
      <c r="T33" s="5" t="s">
        <v>10</v>
      </c>
      <c r="U33" s="5" t="s">
        <v>9</v>
      </c>
      <c r="V33" s="5" t="s">
        <v>1093</v>
      </c>
      <c r="W33" s="3" t="s">
        <v>1092</v>
      </c>
      <c r="X33" s="6">
        <v>42084</v>
      </c>
      <c r="Y33" s="6">
        <v>7711040912</v>
      </c>
      <c r="Z33" s="5" t="s">
        <v>6</v>
      </c>
      <c r="AA33" s="5" t="s">
        <v>1091</v>
      </c>
      <c r="AB33" s="4">
        <v>45826</v>
      </c>
      <c r="AC33" s="3" t="s">
        <v>1089</v>
      </c>
      <c r="AD33" s="5" t="s">
        <v>3</v>
      </c>
      <c r="AE33" s="6">
        <v>7711200091</v>
      </c>
      <c r="AF33" s="5" t="s">
        <v>1090</v>
      </c>
      <c r="AG33" s="3" t="s">
        <v>1089</v>
      </c>
      <c r="AH33" s="6">
        <v>7711200091</v>
      </c>
      <c r="AI33" s="1" t="s">
        <v>84</v>
      </c>
    </row>
    <row r="34" spans="1:35" ht="32" hidden="1" x14ac:dyDescent="0.2">
      <c r="A34" s="13">
        <f>SUBTOTAL(3,B$8:B34)</f>
        <v>6</v>
      </c>
      <c r="B34" s="2" t="s">
        <v>1088</v>
      </c>
      <c r="C34" s="9" t="s">
        <v>1087</v>
      </c>
      <c r="D34" s="2" t="s">
        <v>113</v>
      </c>
      <c r="E34" s="2" t="s">
        <v>490</v>
      </c>
      <c r="F34" s="12"/>
      <c r="G34" s="2"/>
      <c r="H34" s="7"/>
      <c r="I34" s="7"/>
      <c r="J34" s="2" t="s">
        <v>17</v>
      </c>
      <c r="K34" s="2" t="s">
        <v>26</v>
      </c>
      <c r="L34" s="2" t="s">
        <v>258</v>
      </c>
      <c r="M34" s="2"/>
      <c r="N34" s="4">
        <v>38502</v>
      </c>
      <c r="O34" s="11">
        <f ca="1">(TODAY()-Tabla1[[#This Row],[Fecha de nacimiento]])/365</f>
        <v>21.402739726027399</v>
      </c>
      <c r="P34" s="5" t="s">
        <v>10</v>
      </c>
      <c r="Q34" s="5" t="s">
        <v>13</v>
      </c>
      <c r="R34" s="26" t="s">
        <v>1086</v>
      </c>
      <c r="S34" s="5" t="s">
        <v>36</v>
      </c>
      <c r="T34" s="5" t="s">
        <v>10</v>
      </c>
      <c r="U34" s="5" t="s">
        <v>9</v>
      </c>
      <c r="V34" s="5" t="s">
        <v>1085</v>
      </c>
      <c r="W34" s="3" t="s">
        <v>1084</v>
      </c>
      <c r="X34" s="6">
        <v>42084</v>
      </c>
      <c r="Y34" s="6">
        <v>7713489669</v>
      </c>
      <c r="Z34" s="5" t="s">
        <v>6</v>
      </c>
      <c r="AA34" s="59" t="s">
        <v>1083</v>
      </c>
      <c r="AB34" s="4">
        <v>45835</v>
      </c>
      <c r="AC34" s="3"/>
      <c r="AD34" s="5"/>
      <c r="AE34" s="6"/>
      <c r="AF34" s="5"/>
      <c r="AG34" s="3"/>
      <c r="AH34" s="6"/>
    </row>
    <row r="35" spans="1:35" hidden="1" x14ac:dyDescent="0.2">
      <c r="A35" s="13">
        <f>SUBTOTAL(3,B$8:B35)</f>
        <v>6</v>
      </c>
      <c r="B35" s="2" t="s">
        <v>1082</v>
      </c>
      <c r="C35" s="9" t="s">
        <v>1081</v>
      </c>
      <c r="D35" s="2" t="s">
        <v>113</v>
      </c>
      <c r="E35" s="2" t="s">
        <v>490</v>
      </c>
      <c r="F35" s="12"/>
      <c r="G35" s="2"/>
      <c r="H35" s="7"/>
      <c r="I35" s="7"/>
      <c r="J35" s="2" t="s">
        <v>17</v>
      </c>
      <c r="K35" s="2" t="s">
        <v>26</v>
      </c>
      <c r="L35" s="2" t="s">
        <v>194</v>
      </c>
      <c r="M35" s="2"/>
      <c r="N35" s="4"/>
      <c r="O35" s="11">
        <f ca="1">(TODAY()-Tabla1[[#This Row],[Fecha de nacimiento]])/365</f>
        <v>126.88767123287671</v>
      </c>
      <c r="P35" s="5" t="s">
        <v>10</v>
      </c>
      <c r="Q35" s="5" t="s">
        <v>13</v>
      </c>
      <c r="R35" s="5"/>
      <c r="S35" s="5" t="s">
        <v>11</v>
      </c>
      <c r="T35" s="5" t="s">
        <v>10</v>
      </c>
      <c r="U35" s="5" t="s">
        <v>9</v>
      </c>
      <c r="V35" s="5"/>
      <c r="W35" s="3" t="s">
        <v>1080</v>
      </c>
      <c r="X35" s="6">
        <v>42184</v>
      </c>
      <c r="Y35" s="6">
        <v>7711097666</v>
      </c>
      <c r="Z35" s="5" t="s">
        <v>6</v>
      </c>
      <c r="AA35" s="5"/>
      <c r="AB35" s="4">
        <v>45838</v>
      </c>
      <c r="AC35" s="3" t="s">
        <v>1079</v>
      </c>
      <c r="AD35" s="5" t="s">
        <v>3</v>
      </c>
      <c r="AE35" s="6">
        <v>7711097666</v>
      </c>
      <c r="AF35" s="5" t="s">
        <v>1078</v>
      </c>
      <c r="AG35" s="3" t="s">
        <v>1077</v>
      </c>
      <c r="AH35" s="6">
        <v>7711250707</v>
      </c>
      <c r="AI35" s="1" t="s">
        <v>881</v>
      </c>
    </row>
    <row r="36" spans="1:35" hidden="1" x14ac:dyDescent="0.2">
      <c r="A36" s="13">
        <f>SUBTOTAL(3,B$8:B36)</f>
        <v>6</v>
      </c>
      <c r="B36" s="2" t="s">
        <v>1076</v>
      </c>
      <c r="C36" s="9" t="s">
        <v>1075</v>
      </c>
      <c r="D36" s="2" t="s">
        <v>113</v>
      </c>
      <c r="E36" s="2" t="s">
        <v>490</v>
      </c>
      <c r="F36" s="12"/>
      <c r="G36" s="2"/>
      <c r="H36" s="7">
        <v>700</v>
      </c>
      <c r="I36" s="7"/>
      <c r="J36" s="2" t="s">
        <v>17</v>
      </c>
      <c r="K36" s="2" t="s">
        <v>16</v>
      </c>
      <c r="L36" s="2" t="s">
        <v>39</v>
      </c>
      <c r="M36" s="2" t="s">
        <v>758</v>
      </c>
      <c r="N36" s="4">
        <v>40002</v>
      </c>
      <c r="O36" s="11">
        <f ca="1">(TODAY()-Tabla1[[#This Row],[Fecha de nacimiento]])/365</f>
        <v>17.293150684931508</v>
      </c>
      <c r="P36" s="5" t="s">
        <v>231</v>
      </c>
      <c r="Q36" s="5" t="s">
        <v>13</v>
      </c>
      <c r="R36" s="26" t="s">
        <v>1074</v>
      </c>
      <c r="S36" s="5" t="s">
        <v>36</v>
      </c>
      <c r="T36" s="5" t="s">
        <v>10</v>
      </c>
      <c r="U36" s="5" t="s">
        <v>9</v>
      </c>
      <c r="V36" s="5" t="s">
        <v>1073</v>
      </c>
      <c r="W36" s="3" t="s">
        <v>1072</v>
      </c>
      <c r="X36" s="6">
        <v>42083</v>
      </c>
      <c r="Y36" s="6">
        <v>7711139674</v>
      </c>
      <c r="Z36" s="5" t="s">
        <v>6</v>
      </c>
      <c r="AA36" s="5" t="s">
        <v>153</v>
      </c>
      <c r="AB36" s="4">
        <v>45937</v>
      </c>
      <c r="AC36" s="3" t="s">
        <v>1071</v>
      </c>
      <c r="AD36" s="5" t="s">
        <v>3</v>
      </c>
      <c r="AE36" s="6">
        <v>5549575952</v>
      </c>
      <c r="AF36" s="26" t="s">
        <v>1070</v>
      </c>
      <c r="AG36" s="3" t="s">
        <v>1069</v>
      </c>
      <c r="AH36" s="6">
        <v>7713850885</v>
      </c>
      <c r="AI36" s="1" t="s">
        <v>84</v>
      </c>
    </row>
    <row r="37" spans="1:35" hidden="1" x14ac:dyDescent="0.2">
      <c r="A37" s="13">
        <f>SUBTOTAL(3,B$8:B37)</f>
        <v>6</v>
      </c>
      <c r="B37" s="2" t="s">
        <v>1068</v>
      </c>
      <c r="C37" s="9" t="s">
        <v>1067</v>
      </c>
      <c r="D37" s="2" t="s">
        <v>113</v>
      </c>
      <c r="E37" s="2" t="s">
        <v>490</v>
      </c>
      <c r="F37" s="12"/>
      <c r="G37" s="2"/>
      <c r="H37" s="7"/>
      <c r="I37" s="7"/>
      <c r="J37" s="2" t="s">
        <v>17</v>
      </c>
      <c r="K37" s="2" t="s">
        <v>26</v>
      </c>
      <c r="L37" s="2" t="s">
        <v>258</v>
      </c>
      <c r="M37" s="2" t="s">
        <v>713</v>
      </c>
      <c r="N37" s="4">
        <v>37677</v>
      </c>
      <c r="O37" s="11">
        <f ca="1">(TODAY()-Tabla1[[#This Row],[Fecha de nacimiento]])/365</f>
        <v>23.663013698630138</v>
      </c>
      <c r="P37" s="5" t="s">
        <v>10</v>
      </c>
      <c r="Q37" s="5" t="s">
        <v>13</v>
      </c>
      <c r="R37" s="26" t="s">
        <v>1066</v>
      </c>
      <c r="S37" s="5" t="s">
        <v>11</v>
      </c>
      <c r="T37" s="5" t="s">
        <v>10</v>
      </c>
      <c r="U37" s="5" t="s">
        <v>9</v>
      </c>
      <c r="V37" s="5" t="s">
        <v>1065</v>
      </c>
      <c r="W37" s="3" t="s">
        <v>1064</v>
      </c>
      <c r="X37" s="6">
        <v>42084</v>
      </c>
      <c r="Y37" s="6">
        <v>7712662919</v>
      </c>
      <c r="Z37" s="5" t="s">
        <v>384</v>
      </c>
      <c r="AA37" s="5" t="s">
        <v>601</v>
      </c>
      <c r="AB37" s="4">
        <v>45839</v>
      </c>
      <c r="AC37" s="3"/>
      <c r="AD37" s="5"/>
      <c r="AE37" s="6"/>
      <c r="AF37" s="5"/>
      <c r="AG37" s="3"/>
      <c r="AH37" s="6"/>
      <c r="AI37" s="1" t="s">
        <v>708</v>
      </c>
    </row>
    <row r="38" spans="1:35" hidden="1" x14ac:dyDescent="0.2">
      <c r="A38" s="13">
        <f>SUBTOTAL(3,B$8:B38)</f>
        <v>6</v>
      </c>
      <c r="B38" s="2" t="s">
        <v>1063</v>
      </c>
      <c r="C38" s="9" t="s">
        <v>1062</v>
      </c>
      <c r="D38" s="2" t="s">
        <v>113</v>
      </c>
      <c r="E38" s="2" t="s">
        <v>490</v>
      </c>
      <c r="F38" s="12"/>
      <c r="G38" s="2"/>
      <c r="H38" s="7"/>
      <c r="I38" s="7"/>
      <c r="J38" s="2" t="s">
        <v>105</v>
      </c>
      <c r="K38" s="2" t="s">
        <v>26</v>
      </c>
      <c r="L38" s="2" t="s">
        <v>258</v>
      </c>
      <c r="M38" s="2"/>
      <c r="N38" s="4"/>
      <c r="O38" s="11">
        <f ca="1">(TODAY()-Tabla1[[#This Row],[Fecha de nacimiento]])/365</f>
        <v>126.88767123287671</v>
      </c>
      <c r="P38" s="5" t="s">
        <v>10</v>
      </c>
      <c r="Q38" s="5" t="s">
        <v>13</v>
      </c>
      <c r="R38" s="5"/>
      <c r="S38" s="5"/>
      <c r="T38" s="5"/>
      <c r="U38" s="5"/>
      <c r="V38" s="5"/>
      <c r="W38" s="3"/>
      <c r="X38" s="6"/>
      <c r="Y38" s="6"/>
      <c r="Z38" s="5"/>
      <c r="AA38" s="5"/>
      <c r="AB38" s="4"/>
      <c r="AC38" s="3"/>
      <c r="AD38" s="5"/>
      <c r="AE38" s="6"/>
      <c r="AF38" s="5"/>
      <c r="AG38" s="3"/>
      <c r="AH38" s="6"/>
      <c r="AI38" s="1" t="s">
        <v>84</v>
      </c>
    </row>
    <row r="39" spans="1:35" hidden="1" x14ac:dyDescent="0.2">
      <c r="A39" s="13">
        <f>SUBTOTAL(3,B$8:B39)</f>
        <v>6</v>
      </c>
      <c r="B39" s="2" t="s">
        <v>1061</v>
      </c>
      <c r="C39" s="9" t="s">
        <v>1060</v>
      </c>
      <c r="D39" s="2" t="s">
        <v>113</v>
      </c>
      <c r="E39" s="2" t="s">
        <v>490</v>
      </c>
      <c r="F39" s="12"/>
      <c r="G39" s="2"/>
      <c r="H39" s="7"/>
      <c r="I39" s="7"/>
      <c r="J39" s="2" t="s">
        <v>17</v>
      </c>
      <c r="K39" s="2" t="s">
        <v>26</v>
      </c>
      <c r="L39" s="2" t="s">
        <v>194</v>
      </c>
      <c r="M39" s="2"/>
      <c r="N39" s="4"/>
      <c r="O39" s="11">
        <f ca="1">(TODAY()-Tabla1[[#This Row],[Fecha de nacimiento]])/365</f>
        <v>126.88767123287671</v>
      </c>
      <c r="P39" s="5" t="s">
        <v>10</v>
      </c>
      <c r="Q39" s="5" t="s">
        <v>13</v>
      </c>
      <c r="R39" s="5"/>
      <c r="S39" s="5"/>
      <c r="T39" s="5"/>
      <c r="U39" s="5"/>
      <c r="V39" s="5"/>
      <c r="W39" s="3"/>
      <c r="X39" s="6"/>
      <c r="Y39" s="6"/>
      <c r="Z39" s="5"/>
      <c r="AA39" s="5"/>
      <c r="AB39" s="4"/>
      <c r="AC39" s="3"/>
      <c r="AD39" s="5"/>
      <c r="AE39" s="6"/>
      <c r="AF39" s="5"/>
      <c r="AG39" s="3"/>
      <c r="AH39" s="6"/>
      <c r="AI39" s="1" t="s">
        <v>84</v>
      </c>
    </row>
    <row r="40" spans="1:35" hidden="1" x14ac:dyDescent="0.2">
      <c r="A40" s="13">
        <f>SUBTOTAL(3,B$8:B40)</f>
        <v>6</v>
      </c>
      <c r="B40" s="2" t="s">
        <v>1059</v>
      </c>
      <c r="C40" s="9" t="s">
        <v>1058</v>
      </c>
      <c r="D40" s="2" t="s">
        <v>113</v>
      </c>
      <c r="E40" s="2" t="s">
        <v>490</v>
      </c>
      <c r="F40" s="12"/>
      <c r="G40" s="2"/>
      <c r="H40" s="7"/>
      <c r="I40" s="7"/>
      <c r="J40" s="2" t="s">
        <v>17</v>
      </c>
      <c r="K40" s="2" t="s">
        <v>22</v>
      </c>
      <c r="L40" s="2" t="s">
        <v>39</v>
      </c>
      <c r="M40" s="2"/>
      <c r="N40" s="4">
        <v>43010</v>
      </c>
      <c r="O40" s="11">
        <f ca="1">(TODAY()-Tabla1[[#This Row],[Fecha de nacimiento]])/365</f>
        <v>9.0520547945205472</v>
      </c>
      <c r="P40" s="5" t="s">
        <v>1055</v>
      </c>
      <c r="Q40" s="5" t="s">
        <v>13</v>
      </c>
      <c r="R40" s="26" t="s">
        <v>1054</v>
      </c>
      <c r="S40" s="5" t="s">
        <v>11</v>
      </c>
      <c r="T40" s="5" t="s">
        <v>10</v>
      </c>
      <c r="U40" s="5" t="s">
        <v>9</v>
      </c>
      <c r="V40" s="5"/>
      <c r="W40" s="58" t="s">
        <v>1053</v>
      </c>
      <c r="X40" s="6">
        <v>42083</v>
      </c>
      <c r="Y40" s="6" t="s">
        <v>127</v>
      </c>
      <c r="Z40" s="5" t="s">
        <v>6</v>
      </c>
      <c r="AA40" s="5" t="s">
        <v>1035</v>
      </c>
      <c r="AB40" s="4">
        <v>45848</v>
      </c>
      <c r="AC40" s="58" t="s">
        <v>1052</v>
      </c>
      <c r="AD40" s="5" t="s">
        <v>3</v>
      </c>
      <c r="AE40" s="57">
        <v>5627358935</v>
      </c>
      <c r="AF40" s="57" t="s">
        <v>1051</v>
      </c>
      <c r="AG40" s="3" t="s">
        <v>1050</v>
      </c>
      <c r="AH40" s="57">
        <v>7131582281</v>
      </c>
    </row>
    <row r="41" spans="1:35" hidden="1" x14ac:dyDescent="0.2">
      <c r="A41" s="13">
        <f>SUBTOTAL(3,B$8:B41)</f>
        <v>6</v>
      </c>
      <c r="B41" s="2" t="s">
        <v>1057</v>
      </c>
      <c r="C41" s="9" t="s">
        <v>1056</v>
      </c>
      <c r="D41" s="2" t="s">
        <v>113</v>
      </c>
      <c r="E41" s="2" t="s">
        <v>490</v>
      </c>
      <c r="F41" s="12"/>
      <c r="G41" s="2"/>
      <c r="H41" s="7"/>
      <c r="I41" s="7"/>
      <c r="J41" s="2" t="s">
        <v>17</v>
      </c>
      <c r="K41" s="2" t="s">
        <v>22</v>
      </c>
      <c r="L41" s="2" t="s">
        <v>39</v>
      </c>
      <c r="M41" s="2"/>
      <c r="N41" s="4">
        <v>43573</v>
      </c>
      <c r="O41" s="11">
        <f ca="1">(TODAY()-Tabla1[[#This Row],[Fecha de nacimiento]])/365</f>
        <v>7.5095890410958903</v>
      </c>
      <c r="P41" s="5" t="s">
        <v>1055</v>
      </c>
      <c r="Q41" s="5" t="s">
        <v>13</v>
      </c>
      <c r="R41" s="26" t="s">
        <v>1054</v>
      </c>
      <c r="S41" s="5" t="s">
        <v>11</v>
      </c>
      <c r="T41" s="5" t="s">
        <v>10</v>
      </c>
      <c r="U41" s="5" t="s">
        <v>9</v>
      </c>
      <c r="V41" s="5"/>
      <c r="W41" s="58" t="s">
        <v>1053</v>
      </c>
      <c r="X41" s="6">
        <v>42083</v>
      </c>
      <c r="Y41" s="6" t="s">
        <v>127</v>
      </c>
      <c r="Z41" s="5" t="s">
        <v>6</v>
      </c>
      <c r="AA41" s="5" t="s">
        <v>1035</v>
      </c>
      <c r="AB41" s="4">
        <v>45848</v>
      </c>
      <c r="AC41" s="58" t="s">
        <v>1052</v>
      </c>
      <c r="AD41" s="5" t="s">
        <v>3</v>
      </c>
      <c r="AE41" s="57">
        <v>5627358935</v>
      </c>
      <c r="AF41" s="57" t="s">
        <v>1051</v>
      </c>
      <c r="AG41" s="3" t="s">
        <v>1050</v>
      </c>
      <c r="AH41" s="57">
        <v>7131582281</v>
      </c>
    </row>
    <row r="42" spans="1:35" hidden="1" x14ac:dyDescent="0.2">
      <c r="A42" s="13">
        <f>SUBTOTAL(3,B$8:B42)</f>
        <v>6</v>
      </c>
      <c r="B42" s="2" t="s">
        <v>1049</v>
      </c>
      <c r="C42" s="9" t="s">
        <v>52</v>
      </c>
      <c r="D42" s="2" t="s">
        <v>113</v>
      </c>
      <c r="E42" s="2" t="s">
        <v>490</v>
      </c>
      <c r="F42" s="12"/>
      <c r="G42" s="2"/>
      <c r="H42" s="7"/>
      <c r="I42" s="7"/>
      <c r="J42" s="2" t="s">
        <v>1013</v>
      </c>
      <c r="K42" s="2" t="s">
        <v>22</v>
      </c>
      <c r="L42" s="2" t="s">
        <v>1020</v>
      </c>
      <c r="M42" s="2"/>
      <c r="N42" s="4">
        <v>40701</v>
      </c>
      <c r="O42" s="11">
        <f ca="1">(TODAY()-Tabla1[[#This Row],[Fecha de nacimiento]])/365</f>
        <v>15.378082191780821</v>
      </c>
      <c r="P42" s="5" t="s">
        <v>10</v>
      </c>
      <c r="Q42" s="5" t="s">
        <v>13</v>
      </c>
      <c r="R42" s="5"/>
      <c r="S42" s="5" t="s">
        <v>11</v>
      </c>
      <c r="T42" s="5" t="s">
        <v>10</v>
      </c>
      <c r="U42" s="5" t="s">
        <v>9</v>
      </c>
      <c r="V42" s="5" t="s">
        <v>1048</v>
      </c>
      <c r="W42" s="3"/>
      <c r="X42" s="6"/>
      <c r="Y42" s="6" t="s">
        <v>127</v>
      </c>
      <c r="Z42" s="5" t="s">
        <v>6</v>
      </c>
      <c r="AA42" s="5" t="s">
        <v>1010</v>
      </c>
      <c r="AB42" s="4"/>
      <c r="AC42" s="3" t="s">
        <v>44</v>
      </c>
      <c r="AD42" s="5" t="s">
        <v>3</v>
      </c>
      <c r="AE42" s="6"/>
      <c r="AF42" s="5"/>
      <c r="AG42" s="3"/>
      <c r="AH42" s="6"/>
      <c r="AI42" s="1" t="s">
        <v>637</v>
      </c>
    </row>
    <row r="43" spans="1:35" hidden="1" x14ac:dyDescent="0.2">
      <c r="A43" s="13">
        <f>SUBTOTAL(3,B$8:B43)</f>
        <v>6</v>
      </c>
      <c r="B43" s="2" t="s">
        <v>1047</v>
      </c>
      <c r="C43" s="9" t="s">
        <v>1046</v>
      </c>
      <c r="D43" s="5" t="s">
        <v>113</v>
      </c>
      <c r="E43" s="5" t="s">
        <v>490</v>
      </c>
      <c r="G43" s="5"/>
      <c r="H43" s="7">
        <v>600</v>
      </c>
      <c r="I43" s="7"/>
      <c r="J43" s="2" t="s">
        <v>17</v>
      </c>
      <c r="K43" s="2" t="s">
        <v>22</v>
      </c>
      <c r="L43" s="2" t="s">
        <v>39</v>
      </c>
      <c r="M43" s="2" t="s">
        <v>336</v>
      </c>
      <c r="N43" s="4">
        <v>42560</v>
      </c>
      <c r="O43" s="11">
        <f ca="1">(TODAY()-Tabla1[[#This Row],[Fecha de nacimiento]])/365</f>
        <v>10.284931506849315</v>
      </c>
      <c r="P43" s="5" t="s">
        <v>91</v>
      </c>
      <c r="Q43" s="5" t="s">
        <v>13</v>
      </c>
      <c r="R43" s="10" t="s">
        <v>816</v>
      </c>
      <c r="S43" s="2" t="s">
        <v>36</v>
      </c>
      <c r="T43" s="2" t="s">
        <v>10</v>
      </c>
      <c r="U43" s="2" t="s">
        <v>9</v>
      </c>
      <c r="V43" s="2" t="s">
        <v>1045</v>
      </c>
      <c r="W43" s="1" t="s">
        <v>814</v>
      </c>
      <c r="X43" s="2">
        <v>43845</v>
      </c>
      <c r="Y43" s="2">
        <v>5544811110</v>
      </c>
      <c r="Z43" s="2" t="s">
        <v>6</v>
      </c>
      <c r="AA43" s="2" t="s">
        <v>334</v>
      </c>
      <c r="AB43" s="4">
        <v>45988</v>
      </c>
      <c r="AC43" s="1" t="s">
        <v>813</v>
      </c>
      <c r="AD43" s="2" t="s">
        <v>3</v>
      </c>
      <c r="AE43" s="2">
        <v>5577343812</v>
      </c>
      <c r="AF43" s="16" t="s">
        <v>812</v>
      </c>
      <c r="AG43" s="3" t="s">
        <v>811</v>
      </c>
      <c r="AH43" s="2">
        <v>5544811110</v>
      </c>
      <c r="AI43" s="1" t="s">
        <v>810</v>
      </c>
    </row>
    <row r="44" spans="1:35" hidden="1" x14ac:dyDescent="0.2">
      <c r="A44" s="13">
        <f>SUBTOTAL(3,B$8:B44)</f>
        <v>6</v>
      </c>
      <c r="B44" s="2" t="s">
        <v>1044</v>
      </c>
      <c r="C44" s="9" t="s">
        <v>1043</v>
      </c>
      <c r="D44" s="2" t="s">
        <v>113</v>
      </c>
      <c r="E44" s="2" t="s">
        <v>490</v>
      </c>
      <c r="F44" s="12"/>
      <c r="G44" s="2"/>
      <c r="H44" s="7">
        <v>700</v>
      </c>
      <c r="I44" s="7">
        <v>800</v>
      </c>
      <c r="J44" s="2" t="s">
        <v>17</v>
      </c>
      <c r="K44" s="2" t="s">
        <v>26</v>
      </c>
      <c r="L44" s="2" t="s">
        <v>194</v>
      </c>
      <c r="M44" s="2" t="s">
        <v>193</v>
      </c>
      <c r="N44" s="4">
        <v>38300</v>
      </c>
      <c r="O44" s="11">
        <f ca="1">(TODAY()-Tabla1[[#This Row],[Fecha de nacimiento]])/365</f>
        <v>21.956164383561642</v>
      </c>
      <c r="P44" s="5" t="s">
        <v>10</v>
      </c>
      <c r="Q44" s="5" t="s">
        <v>13</v>
      </c>
      <c r="R44" s="5" t="s">
        <v>1042</v>
      </c>
      <c r="S44" s="5" t="s">
        <v>11</v>
      </c>
      <c r="T44" s="5" t="s">
        <v>10</v>
      </c>
      <c r="U44" s="5" t="s">
        <v>9</v>
      </c>
      <c r="V44" s="5" t="s">
        <v>1041</v>
      </c>
      <c r="W44" s="3" t="s">
        <v>1040</v>
      </c>
      <c r="X44" s="6">
        <v>42083</v>
      </c>
      <c r="Y44" s="6">
        <v>7751268233</v>
      </c>
      <c r="Z44" s="5" t="s">
        <v>6</v>
      </c>
      <c r="AA44" s="5" t="s">
        <v>592</v>
      </c>
      <c r="AB44" s="4">
        <v>45801</v>
      </c>
      <c r="AC44" s="3" t="s">
        <v>1039</v>
      </c>
      <c r="AD44" s="5" t="s">
        <v>3</v>
      </c>
      <c r="AE44" s="6">
        <v>7713592610</v>
      </c>
      <c r="AF44" s="5" t="s">
        <v>1038</v>
      </c>
      <c r="AG44" s="3" t="s">
        <v>1037</v>
      </c>
      <c r="AH44" s="6">
        <v>7711033702</v>
      </c>
      <c r="AI44" s="1" t="s">
        <v>84</v>
      </c>
    </row>
    <row r="45" spans="1:35" hidden="1" x14ac:dyDescent="0.2">
      <c r="A45" s="13">
        <f>SUBTOTAL(3,B$8:B45)</f>
        <v>6</v>
      </c>
      <c r="B45" s="2" t="s">
        <v>1036</v>
      </c>
      <c r="C45" s="9" t="s">
        <v>1033</v>
      </c>
      <c r="D45" s="2" t="s">
        <v>113</v>
      </c>
      <c r="E45" s="2" t="s">
        <v>490</v>
      </c>
      <c r="F45" s="12"/>
      <c r="G45" s="2"/>
      <c r="H45" s="7"/>
      <c r="I45" s="7"/>
      <c r="J45" s="2" t="s">
        <v>17</v>
      </c>
      <c r="K45" s="2" t="s">
        <v>22</v>
      </c>
      <c r="L45" s="2" t="s">
        <v>39</v>
      </c>
      <c r="M45" s="2"/>
      <c r="N45" s="4">
        <v>41915</v>
      </c>
      <c r="O45" s="11">
        <f ca="1">(TODAY()-Tabla1[[#This Row],[Fecha de nacimiento]])/365</f>
        <v>12.052054794520547</v>
      </c>
      <c r="P45" s="5" t="s">
        <v>91</v>
      </c>
      <c r="Q45" s="5" t="s">
        <v>13</v>
      </c>
      <c r="R45" s="56" t="s">
        <v>1029</v>
      </c>
      <c r="S45" s="5" t="s">
        <v>36</v>
      </c>
      <c r="T45" s="5" t="s">
        <v>10</v>
      </c>
      <c r="U45" s="5" t="s">
        <v>9</v>
      </c>
      <c r="V45" s="5" t="s">
        <v>1032</v>
      </c>
      <c r="W45" s="3" t="s">
        <v>1031</v>
      </c>
      <c r="X45" s="6">
        <v>42083</v>
      </c>
      <c r="Y45" s="6">
        <v>5574387913</v>
      </c>
      <c r="Z45" s="5" t="s">
        <v>6</v>
      </c>
      <c r="AA45" s="5" t="s">
        <v>1035</v>
      </c>
      <c r="AB45" s="4">
        <v>45855</v>
      </c>
      <c r="AC45" s="3" t="s">
        <v>1030</v>
      </c>
      <c r="AD45" s="5" t="s">
        <v>3</v>
      </c>
      <c r="AE45" s="6">
        <v>5574387913</v>
      </c>
      <c r="AF45" s="26" t="s">
        <v>1029</v>
      </c>
      <c r="AG45" s="3" t="s">
        <v>1028</v>
      </c>
      <c r="AH45" s="6">
        <v>77132655910</v>
      </c>
      <c r="AI45" s="1" t="s">
        <v>54</v>
      </c>
    </row>
    <row r="46" spans="1:35" hidden="1" x14ac:dyDescent="0.2">
      <c r="A46" s="13">
        <f>SUBTOTAL(3,B$8:B46)</f>
        <v>6</v>
      </c>
      <c r="B46" s="2" t="s">
        <v>1034</v>
      </c>
      <c r="C46" s="9" t="s">
        <v>1033</v>
      </c>
      <c r="D46" s="2" t="s">
        <v>113</v>
      </c>
      <c r="E46" s="2" t="s">
        <v>490</v>
      </c>
      <c r="F46" s="12"/>
      <c r="G46" s="2"/>
      <c r="H46" s="7"/>
      <c r="I46" s="7"/>
      <c r="J46" s="2" t="s">
        <v>105</v>
      </c>
      <c r="K46" s="2" t="s">
        <v>22</v>
      </c>
      <c r="L46" s="2" t="s">
        <v>995</v>
      </c>
      <c r="M46" s="2"/>
      <c r="N46" s="4">
        <v>41915</v>
      </c>
      <c r="O46" s="11">
        <f ca="1">(TODAY()-Tabla1[[#This Row],[Fecha de nacimiento]])/365</f>
        <v>12.052054794520547</v>
      </c>
      <c r="P46" s="5" t="s">
        <v>91</v>
      </c>
      <c r="Q46" s="5" t="s">
        <v>13</v>
      </c>
      <c r="R46" s="56" t="s">
        <v>1029</v>
      </c>
      <c r="S46" s="5" t="s">
        <v>36</v>
      </c>
      <c r="T46" s="5" t="s">
        <v>10</v>
      </c>
      <c r="U46" s="5" t="s">
        <v>9</v>
      </c>
      <c r="V46" s="5" t="s">
        <v>1032</v>
      </c>
      <c r="W46" s="3" t="s">
        <v>1031</v>
      </c>
      <c r="X46" s="6">
        <v>42083</v>
      </c>
      <c r="Y46" s="6">
        <v>5574387913</v>
      </c>
      <c r="Z46" s="5" t="s">
        <v>6</v>
      </c>
      <c r="AA46" s="5" t="s">
        <v>433</v>
      </c>
      <c r="AB46" s="4">
        <v>45855</v>
      </c>
      <c r="AC46" s="3" t="s">
        <v>1030</v>
      </c>
      <c r="AD46" s="5" t="s">
        <v>3</v>
      </c>
      <c r="AE46" s="6">
        <v>5574387913</v>
      </c>
      <c r="AF46" s="26" t="s">
        <v>1029</v>
      </c>
      <c r="AG46" s="3" t="s">
        <v>1028</v>
      </c>
      <c r="AH46" s="6">
        <v>77132655910</v>
      </c>
      <c r="AI46" s="1" t="s">
        <v>54</v>
      </c>
    </row>
    <row r="47" spans="1:35" hidden="1" x14ac:dyDescent="0.2">
      <c r="A47" s="13">
        <f>SUBTOTAL(3,B$8:B47)</f>
        <v>6</v>
      </c>
      <c r="B47" s="2" t="s">
        <v>1027</v>
      </c>
      <c r="C47" s="9" t="s">
        <v>1026</v>
      </c>
      <c r="D47" s="2" t="s">
        <v>113</v>
      </c>
      <c r="E47" s="2" t="s">
        <v>490</v>
      </c>
      <c r="F47" s="12"/>
      <c r="G47" s="2"/>
      <c r="H47" s="7"/>
      <c r="I47" s="7"/>
      <c r="J47" s="2" t="s">
        <v>1013</v>
      </c>
      <c r="L47" s="2" t="s">
        <v>1023</v>
      </c>
      <c r="M47" s="2"/>
      <c r="N47" s="4"/>
      <c r="O47" s="11">
        <f ca="1">(TODAY()-Tabla1[[#This Row],[Fecha de nacimiento]])/365</f>
        <v>126.88767123287671</v>
      </c>
      <c r="Q47" s="5" t="s">
        <v>13</v>
      </c>
      <c r="R47" s="56"/>
      <c r="S47" s="5" t="s">
        <v>36</v>
      </c>
      <c r="T47" s="5" t="s">
        <v>10</v>
      </c>
      <c r="U47" s="5" t="s">
        <v>9</v>
      </c>
      <c r="V47" s="5"/>
      <c r="W47" s="3"/>
      <c r="X47" s="6"/>
      <c r="Y47" s="6"/>
      <c r="Z47" s="5" t="s">
        <v>6</v>
      </c>
      <c r="AA47" s="5" t="s">
        <v>1010</v>
      </c>
      <c r="AB47" s="4"/>
      <c r="AC47" s="3"/>
      <c r="AD47" s="5"/>
      <c r="AE47" s="6"/>
      <c r="AF47" s="26"/>
      <c r="AG47" s="3"/>
      <c r="AH47" s="6"/>
      <c r="AI47" s="1" t="s">
        <v>881</v>
      </c>
    </row>
    <row r="48" spans="1:35" hidden="1" x14ac:dyDescent="0.2">
      <c r="A48" s="13">
        <f>SUBTOTAL(3,B$8:B48)</f>
        <v>6</v>
      </c>
      <c r="B48" s="2" t="s">
        <v>1025</v>
      </c>
      <c r="C48" s="9" t="s">
        <v>1024</v>
      </c>
      <c r="D48" s="2" t="s">
        <v>113</v>
      </c>
      <c r="E48" s="2" t="s">
        <v>490</v>
      </c>
      <c r="F48" s="12"/>
      <c r="G48" s="2"/>
      <c r="H48" s="7"/>
      <c r="I48" s="7"/>
      <c r="J48" s="2" t="s">
        <v>1013</v>
      </c>
      <c r="L48" s="2" t="s">
        <v>1023</v>
      </c>
      <c r="M48" s="2"/>
      <c r="N48" s="4"/>
      <c r="O48" s="11">
        <f ca="1">(TODAY()-Tabla1[[#This Row],[Fecha de nacimiento]])/365</f>
        <v>126.88767123287671</v>
      </c>
      <c r="Q48" s="5" t="s">
        <v>13</v>
      </c>
      <c r="R48" s="56"/>
      <c r="S48" s="5" t="s">
        <v>11</v>
      </c>
      <c r="T48" s="5" t="s">
        <v>10</v>
      </c>
      <c r="U48" s="5" t="s">
        <v>9</v>
      </c>
      <c r="V48" s="5"/>
      <c r="W48" s="3"/>
      <c r="X48" s="6"/>
      <c r="Y48" s="6"/>
      <c r="Z48" s="5" t="s">
        <v>6</v>
      </c>
      <c r="AA48" s="5" t="s">
        <v>1010</v>
      </c>
      <c r="AB48" s="4"/>
      <c r="AC48" s="3"/>
      <c r="AD48" s="5"/>
      <c r="AE48" s="6"/>
      <c r="AF48" s="26"/>
      <c r="AG48" s="3"/>
      <c r="AH48" s="6"/>
      <c r="AI48" s="1" t="s">
        <v>881</v>
      </c>
    </row>
    <row r="49" spans="1:35" hidden="1" x14ac:dyDescent="0.2">
      <c r="A49" s="13">
        <f>SUBTOTAL(3,B$8:B49)</f>
        <v>6</v>
      </c>
      <c r="B49" s="2" t="s">
        <v>1022</v>
      </c>
      <c r="C49" s="9" t="s">
        <v>1021</v>
      </c>
      <c r="D49" s="2" t="s">
        <v>113</v>
      </c>
      <c r="E49" s="2" t="s">
        <v>490</v>
      </c>
      <c r="F49" s="12"/>
      <c r="G49" s="2"/>
      <c r="H49" s="7"/>
      <c r="I49" s="7"/>
      <c r="L49" s="2" t="s">
        <v>1020</v>
      </c>
      <c r="M49" s="2"/>
      <c r="N49" s="4"/>
      <c r="O49" s="11">
        <f ca="1">(TODAY()-Tabla1[[#This Row],[Fecha de nacimiento]])/365</f>
        <v>126.88767123287671</v>
      </c>
      <c r="Q49" s="5" t="s">
        <v>13</v>
      </c>
      <c r="R49" s="26"/>
      <c r="S49" s="5" t="s">
        <v>11</v>
      </c>
      <c r="T49" s="5" t="s">
        <v>10</v>
      </c>
      <c r="U49" s="5" t="s">
        <v>9</v>
      </c>
      <c r="V49" s="5"/>
      <c r="W49" s="3"/>
      <c r="X49" s="6"/>
      <c r="Y49" s="6"/>
      <c r="Z49" s="5" t="s">
        <v>6</v>
      </c>
      <c r="AA49" s="5" t="s">
        <v>1010</v>
      </c>
      <c r="AB49" s="4"/>
      <c r="AC49" s="3"/>
      <c r="AD49" s="5"/>
      <c r="AE49" s="6"/>
      <c r="AF49" s="26"/>
      <c r="AG49" s="3"/>
      <c r="AH49" s="6"/>
      <c r="AI49" s="1" t="s">
        <v>881</v>
      </c>
    </row>
    <row r="50" spans="1:35" hidden="1" x14ac:dyDescent="0.2">
      <c r="A50" s="13">
        <f>SUBTOTAL(3,B$8:B50)</f>
        <v>6</v>
      </c>
      <c r="B50" s="2" t="s">
        <v>1019</v>
      </c>
      <c r="C50" s="9" t="s">
        <v>1006</v>
      </c>
      <c r="D50" s="5" t="s">
        <v>113</v>
      </c>
      <c r="E50" s="5" t="s">
        <v>490</v>
      </c>
      <c r="G50" s="5"/>
      <c r="H50" s="7">
        <v>550</v>
      </c>
      <c r="I50" s="7"/>
      <c r="J50" s="2" t="s">
        <v>17</v>
      </c>
      <c r="K50" s="2" t="s">
        <v>26</v>
      </c>
      <c r="L50" s="2" t="s">
        <v>890</v>
      </c>
      <c r="M50" s="2" t="s">
        <v>652</v>
      </c>
      <c r="N50" s="4">
        <v>38513</v>
      </c>
      <c r="O50" s="11">
        <f ca="1">(TODAY()-Tabla1[[#This Row],[Fecha de nacimiento]])/365</f>
        <v>21.372602739726027</v>
      </c>
      <c r="P50" s="5" t="s">
        <v>231</v>
      </c>
      <c r="Q50" s="5" t="s">
        <v>13</v>
      </c>
      <c r="R50" s="10" t="s">
        <v>1005</v>
      </c>
      <c r="S50" s="2" t="s">
        <v>11</v>
      </c>
      <c r="T50" s="2" t="s">
        <v>10</v>
      </c>
      <c r="U50" s="2" t="s">
        <v>9</v>
      </c>
      <c r="V50" s="2" t="s">
        <v>1004</v>
      </c>
      <c r="W50" s="1" t="s">
        <v>1003</v>
      </c>
      <c r="X50" s="2">
        <v>55603</v>
      </c>
      <c r="Y50" s="2">
        <v>5584599158</v>
      </c>
      <c r="Z50" s="2" t="s">
        <v>6</v>
      </c>
      <c r="AA50" s="2" t="s">
        <v>893</v>
      </c>
      <c r="AB50" s="4">
        <v>45992</v>
      </c>
      <c r="AC50" s="1" t="s">
        <v>1002</v>
      </c>
      <c r="AD50" s="2" t="s">
        <v>3</v>
      </c>
      <c r="AE50" s="2">
        <v>5581548610</v>
      </c>
      <c r="AF50" s="16" t="s">
        <v>1001</v>
      </c>
      <c r="AG50" s="3" t="s">
        <v>1000</v>
      </c>
      <c r="AH50" s="2">
        <v>5657088013</v>
      </c>
      <c r="AI50" s="1" t="s">
        <v>881</v>
      </c>
    </row>
    <row r="51" spans="1:35" hidden="1" x14ac:dyDescent="0.2">
      <c r="A51" s="13">
        <f>SUBTOTAL(3,B$8:B51)</f>
        <v>6</v>
      </c>
      <c r="B51" s="2" t="s">
        <v>1018</v>
      </c>
      <c r="C51" s="9" t="s">
        <v>1017</v>
      </c>
      <c r="D51" s="2" t="s">
        <v>113</v>
      </c>
      <c r="E51" s="2" t="s">
        <v>490</v>
      </c>
      <c r="F51" s="12"/>
      <c r="G51" s="2"/>
      <c r="H51" s="7"/>
      <c r="I51" s="7"/>
      <c r="J51" s="2" t="s">
        <v>1013</v>
      </c>
      <c r="K51" s="2" t="s">
        <v>16</v>
      </c>
      <c r="L51" s="2" t="s">
        <v>1016</v>
      </c>
      <c r="M51" s="2"/>
      <c r="N51" s="4"/>
      <c r="O51" s="11">
        <f ca="1">(TODAY()-Tabla1[[#This Row],[Fecha de nacimiento]])/365</f>
        <v>126.88767123287671</v>
      </c>
      <c r="Q51" s="5" t="s">
        <v>13</v>
      </c>
      <c r="R51" s="26"/>
      <c r="S51" s="5" t="s">
        <v>36</v>
      </c>
      <c r="T51" s="5" t="s">
        <v>10</v>
      </c>
      <c r="U51" s="5" t="s">
        <v>9</v>
      </c>
      <c r="V51" s="5"/>
      <c r="W51" s="3"/>
      <c r="X51" s="6"/>
      <c r="Y51" s="6"/>
      <c r="Z51" s="5" t="s">
        <v>6</v>
      </c>
      <c r="AA51" s="5" t="s">
        <v>1010</v>
      </c>
      <c r="AB51" s="4"/>
      <c r="AC51" s="3"/>
      <c r="AD51" s="5"/>
      <c r="AE51" s="6"/>
      <c r="AF51" s="26"/>
      <c r="AG51" s="3"/>
      <c r="AH51" s="6"/>
      <c r="AI51" s="1" t="s">
        <v>84</v>
      </c>
    </row>
    <row r="52" spans="1:35" hidden="1" x14ac:dyDescent="0.2">
      <c r="A52" s="13">
        <f>SUBTOTAL(3,B$8:B52)</f>
        <v>6</v>
      </c>
      <c r="B52" s="2" t="s">
        <v>1015</v>
      </c>
      <c r="C52" s="9" t="s">
        <v>1014</v>
      </c>
      <c r="D52" s="2" t="s">
        <v>113</v>
      </c>
      <c r="E52" s="2" t="s">
        <v>490</v>
      </c>
      <c r="F52" s="12"/>
      <c r="G52" s="2"/>
      <c r="H52" s="7"/>
      <c r="I52" s="7"/>
      <c r="J52" s="2" t="s">
        <v>1013</v>
      </c>
      <c r="K52" s="2" t="s">
        <v>16</v>
      </c>
      <c r="L52" s="2" t="s">
        <v>1012</v>
      </c>
      <c r="M52" s="2"/>
      <c r="N52" s="4">
        <v>41219</v>
      </c>
      <c r="O52" s="11">
        <f ca="1">(TODAY()-Tabla1[[#This Row],[Fecha de nacimiento]])/365</f>
        <v>13.95890410958904</v>
      </c>
      <c r="P52" s="5" t="s">
        <v>10</v>
      </c>
      <c r="Q52" s="5" t="s">
        <v>13</v>
      </c>
      <c r="R52" s="5"/>
      <c r="S52" s="5" t="s">
        <v>11</v>
      </c>
      <c r="T52" s="5" t="s">
        <v>10</v>
      </c>
      <c r="U52" s="5" t="s">
        <v>9</v>
      </c>
      <c r="V52" s="5" t="s">
        <v>1011</v>
      </c>
      <c r="W52" s="3"/>
      <c r="X52" s="6"/>
      <c r="Y52" s="6"/>
      <c r="Z52" s="5" t="s">
        <v>6</v>
      </c>
      <c r="AA52" s="5" t="s">
        <v>1010</v>
      </c>
      <c r="AB52" s="4"/>
      <c r="AC52" s="3" t="s">
        <v>1009</v>
      </c>
      <c r="AD52" s="5" t="s">
        <v>3</v>
      </c>
      <c r="AE52" s="6"/>
      <c r="AF52" s="5"/>
      <c r="AG52" s="3"/>
      <c r="AH52" s="6"/>
      <c r="AI52" s="1" t="s">
        <v>1008</v>
      </c>
    </row>
    <row r="53" spans="1:35" hidden="1" x14ac:dyDescent="0.2">
      <c r="A53" s="13">
        <f>SUBTOTAL(3,B$8:B53)</f>
        <v>6</v>
      </c>
      <c r="B53" s="2" t="s">
        <v>1007</v>
      </c>
      <c r="C53" s="9" t="s">
        <v>1006</v>
      </c>
      <c r="D53" s="5" t="s">
        <v>113</v>
      </c>
      <c r="E53" s="5" t="s">
        <v>490</v>
      </c>
      <c r="G53" s="5"/>
      <c r="H53" s="7">
        <v>550</v>
      </c>
      <c r="I53" s="7"/>
      <c r="J53" s="2" t="s">
        <v>17</v>
      </c>
      <c r="K53" s="2" t="s">
        <v>26</v>
      </c>
      <c r="L53" s="2" t="s">
        <v>890</v>
      </c>
      <c r="M53" s="2" t="s">
        <v>652</v>
      </c>
      <c r="N53" s="4">
        <v>38513</v>
      </c>
      <c r="O53" s="11">
        <f ca="1">(TODAY()-Tabla1[[#This Row],[Fecha de nacimiento]])/365</f>
        <v>21.372602739726027</v>
      </c>
      <c r="P53" s="5" t="s">
        <v>231</v>
      </c>
      <c r="Q53" s="5" t="s">
        <v>13</v>
      </c>
      <c r="R53" s="10" t="s">
        <v>1005</v>
      </c>
      <c r="S53" s="2" t="s">
        <v>11</v>
      </c>
      <c r="T53" s="2" t="s">
        <v>10</v>
      </c>
      <c r="U53" s="2" t="s">
        <v>9</v>
      </c>
      <c r="V53" s="2" t="s">
        <v>1004</v>
      </c>
      <c r="W53" s="1" t="s">
        <v>1003</v>
      </c>
      <c r="X53" s="2">
        <v>55603</v>
      </c>
      <c r="Y53" s="2">
        <v>5584599158</v>
      </c>
      <c r="Z53" s="2" t="s">
        <v>6</v>
      </c>
      <c r="AA53" s="2" t="s">
        <v>885</v>
      </c>
      <c r="AB53" s="4">
        <v>45992</v>
      </c>
      <c r="AC53" s="1" t="s">
        <v>1002</v>
      </c>
      <c r="AD53" s="2" t="s">
        <v>3</v>
      </c>
      <c r="AE53" s="2">
        <v>5581548610</v>
      </c>
      <c r="AF53" s="16" t="s">
        <v>1001</v>
      </c>
      <c r="AG53" s="3" t="s">
        <v>1000</v>
      </c>
      <c r="AH53" s="2">
        <v>5657088013</v>
      </c>
      <c r="AI53" s="1" t="s">
        <v>881</v>
      </c>
    </row>
    <row r="54" spans="1:35" x14ac:dyDescent="0.2">
      <c r="A54" s="13">
        <f>SUBTOTAL(3,B$8:B54)</f>
        <v>7</v>
      </c>
      <c r="B54" s="33" t="s">
        <v>999</v>
      </c>
      <c r="C54" s="32" t="s">
        <v>998</v>
      </c>
      <c r="D54" s="5" t="s">
        <v>18</v>
      </c>
      <c r="E54" s="5" t="s">
        <v>23</v>
      </c>
      <c r="H54" s="7">
        <v>750</v>
      </c>
      <c r="I54" s="7"/>
      <c r="J54" s="2" t="s">
        <v>17</v>
      </c>
      <c r="K54" s="2" t="s">
        <v>26</v>
      </c>
      <c r="N54" s="4"/>
      <c r="O54" s="11">
        <f ca="1">(TODAY()-Tabla1[[#This Row],[Fecha de nacimiento]])/365</f>
        <v>126.88767123287671</v>
      </c>
      <c r="U54" s="2"/>
      <c r="Z54" s="4" t="s">
        <v>6</v>
      </c>
      <c r="AA54" s="2"/>
      <c r="AB54" s="14">
        <v>46308</v>
      </c>
      <c r="AE54" s="6"/>
      <c r="AH54" s="2"/>
      <c r="AI54" s="1" t="s">
        <v>21</v>
      </c>
    </row>
    <row r="55" spans="1:35" hidden="1" x14ac:dyDescent="0.2">
      <c r="A55" s="13">
        <f>SUBTOTAL(3,B$8:B55)</f>
        <v>7</v>
      </c>
      <c r="B55" s="2" t="s">
        <v>997</v>
      </c>
      <c r="C55" s="9" t="s">
        <v>996</v>
      </c>
      <c r="D55" s="2" t="s">
        <v>113</v>
      </c>
      <c r="E55" s="2" t="s">
        <v>490</v>
      </c>
      <c r="F55" s="12"/>
      <c r="G55" s="2"/>
      <c r="H55" s="7">
        <v>700</v>
      </c>
      <c r="I55" s="7"/>
      <c r="J55" s="2" t="s">
        <v>105</v>
      </c>
      <c r="K55" s="2" t="s">
        <v>26</v>
      </c>
      <c r="L55" s="2" t="s">
        <v>995</v>
      </c>
      <c r="M55" s="2" t="s">
        <v>839</v>
      </c>
      <c r="N55" s="4">
        <v>34521</v>
      </c>
      <c r="O55" s="11">
        <f ca="1">(TODAY()-Tabla1[[#This Row],[Fecha de nacimiento]])/365</f>
        <v>32.30958904109589</v>
      </c>
      <c r="P55" s="5" t="s">
        <v>10</v>
      </c>
      <c r="Q55" s="5" t="s">
        <v>13</v>
      </c>
      <c r="R55" s="5" t="s">
        <v>994</v>
      </c>
      <c r="S55" s="5" t="s">
        <v>11</v>
      </c>
      <c r="T55" s="5" t="s">
        <v>10</v>
      </c>
      <c r="U55" s="5" t="s">
        <v>9</v>
      </c>
      <c r="V55" s="5" t="s">
        <v>993</v>
      </c>
      <c r="W55" s="3" t="s">
        <v>992</v>
      </c>
      <c r="X55" s="6">
        <v>42185</v>
      </c>
      <c r="Y55" s="6">
        <v>7713099344</v>
      </c>
      <c r="Z55" s="5" t="s">
        <v>6</v>
      </c>
      <c r="AA55" s="5" t="s">
        <v>640</v>
      </c>
      <c r="AB55" s="4">
        <v>45812</v>
      </c>
      <c r="AC55" s="3" t="s">
        <v>991</v>
      </c>
      <c r="AD55" s="5" t="s">
        <v>466</v>
      </c>
      <c r="AE55" s="6">
        <v>6073380014</v>
      </c>
      <c r="AF55" s="5" t="s">
        <v>990</v>
      </c>
      <c r="AG55" s="3" t="s">
        <v>46</v>
      </c>
      <c r="AH55" s="6" t="s">
        <v>46</v>
      </c>
      <c r="AI55" s="1" t="s">
        <v>935</v>
      </c>
    </row>
    <row r="56" spans="1:35" hidden="1" x14ac:dyDescent="0.2">
      <c r="A56" s="13">
        <f>SUBTOTAL(3,B$8:B56)</f>
        <v>7</v>
      </c>
      <c r="B56" s="2" t="s">
        <v>989</v>
      </c>
      <c r="C56" s="9" t="s">
        <v>988</v>
      </c>
      <c r="D56" s="2" t="s">
        <v>113</v>
      </c>
      <c r="F56" s="12"/>
      <c r="G56" s="2"/>
      <c r="H56" s="7">
        <v>350</v>
      </c>
      <c r="I56" s="7">
        <v>400</v>
      </c>
      <c r="J56" s="2" t="s">
        <v>17</v>
      </c>
      <c r="K56" s="2" t="s">
        <v>16</v>
      </c>
      <c r="L56" s="2"/>
      <c r="M56" s="2" t="s">
        <v>14</v>
      </c>
      <c r="N56" s="4">
        <v>40362</v>
      </c>
      <c r="O56" s="11">
        <f ca="1">(TODAY()-Tabla1[[#This Row],[Fecha de nacimiento]])/365</f>
        <v>16.306849315068494</v>
      </c>
      <c r="P56" s="5" t="s">
        <v>987</v>
      </c>
      <c r="Q56" s="5" t="s">
        <v>13</v>
      </c>
      <c r="R56" s="10" t="s">
        <v>986</v>
      </c>
      <c r="S56" s="5" t="s">
        <v>11</v>
      </c>
      <c r="T56" s="5" t="s">
        <v>10</v>
      </c>
      <c r="U56" s="5" t="s">
        <v>9</v>
      </c>
      <c r="V56" s="5" t="s">
        <v>985</v>
      </c>
      <c r="W56" s="3" t="s">
        <v>984</v>
      </c>
      <c r="X56" s="6"/>
      <c r="Y56" s="6">
        <v>7761138382</v>
      </c>
      <c r="Z56" s="5" t="s">
        <v>6</v>
      </c>
      <c r="AA56" s="5" t="s">
        <v>211</v>
      </c>
      <c r="AB56" s="4">
        <v>45946</v>
      </c>
      <c r="AC56" s="3" t="s">
        <v>983</v>
      </c>
      <c r="AD56" s="5" t="s">
        <v>3</v>
      </c>
      <c r="AE56" s="6">
        <v>5623440155</v>
      </c>
      <c r="AF56" s="10" t="s">
        <v>982</v>
      </c>
      <c r="AG56" s="3" t="s">
        <v>981</v>
      </c>
      <c r="AH56" s="6">
        <v>7751046364</v>
      </c>
      <c r="AI56" s="1" t="s">
        <v>0</v>
      </c>
    </row>
    <row r="57" spans="1:35" hidden="1" x14ac:dyDescent="0.2">
      <c r="A57" s="13">
        <f>SUBTOTAL(3,B$8:B57)</f>
        <v>7</v>
      </c>
      <c r="B57" s="2" t="s">
        <v>980</v>
      </c>
      <c r="C57" s="9" t="s">
        <v>979</v>
      </c>
      <c r="D57" s="2" t="s">
        <v>113</v>
      </c>
      <c r="E57" s="2" t="s">
        <v>490</v>
      </c>
      <c r="F57" s="12"/>
      <c r="G57" s="2"/>
      <c r="H57" s="7"/>
      <c r="I57" s="7"/>
      <c r="J57" s="2" t="s">
        <v>17</v>
      </c>
      <c r="K57" s="2" t="s">
        <v>26</v>
      </c>
      <c r="L57" s="2"/>
      <c r="M57" s="2" t="s">
        <v>978</v>
      </c>
      <c r="N57" s="4">
        <v>22712</v>
      </c>
      <c r="O57" s="11">
        <f ca="1">(TODAY()-Tabla1[[#This Row],[Fecha de nacimiento]])/365</f>
        <v>64.663013698630138</v>
      </c>
      <c r="P57" s="5" t="s">
        <v>91</v>
      </c>
      <c r="Q57" s="5" t="s">
        <v>13</v>
      </c>
      <c r="R57" s="26" t="s">
        <v>977</v>
      </c>
      <c r="S57" s="5" t="s">
        <v>36</v>
      </c>
      <c r="T57" s="5" t="s">
        <v>10</v>
      </c>
      <c r="U57" s="5" t="s">
        <v>9</v>
      </c>
      <c r="V57" s="5"/>
      <c r="W57" s="3" t="s">
        <v>976</v>
      </c>
      <c r="X57" s="6">
        <v>42185</v>
      </c>
      <c r="Y57" s="6">
        <v>5564931197</v>
      </c>
      <c r="Z57" s="5" t="s">
        <v>6</v>
      </c>
      <c r="AA57" s="5" t="s">
        <v>975</v>
      </c>
      <c r="AB57" s="4">
        <v>45881</v>
      </c>
      <c r="AC57" s="3" t="s">
        <v>974</v>
      </c>
      <c r="AD57" s="5" t="s">
        <v>203</v>
      </c>
      <c r="AE57" s="6">
        <v>5573742279</v>
      </c>
      <c r="AF57" s="5" t="s">
        <v>127</v>
      </c>
      <c r="AG57" s="3" t="s">
        <v>973</v>
      </c>
      <c r="AH57" s="6">
        <v>5574491284</v>
      </c>
      <c r="AI57" s="1" t="s">
        <v>84</v>
      </c>
    </row>
    <row r="58" spans="1:35" hidden="1" x14ac:dyDescent="0.2">
      <c r="A58" s="13">
        <f>SUBTOTAL(3,B$8:B58)</f>
        <v>7</v>
      </c>
      <c r="B58" s="2" t="s">
        <v>972</v>
      </c>
      <c r="C58" s="9" t="s">
        <v>971</v>
      </c>
      <c r="D58" s="2" t="s">
        <v>113</v>
      </c>
      <c r="E58" s="2" t="s">
        <v>490</v>
      </c>
      <c r="F58" s="12"/>
      <c r="G58" s="2"/>
      <c r="H58" s="7"/>
      <c r="I58" s="7"/>
      <c r="J58" s="2" t="s">
        <v>17</v>
      </c>
      <c r="K58" s="2" t="s">
        <v>16</v>
      </c>
      <c r="L58" s="2"/>
      <c r="M58" s="2" t="s">
        <v>328</v>
      </c>
      <c r="N58" s="4"/>
      <c r="O58" s="11">
        <f ca="1">(TODAY()-Tabla1[[#This Row],[Fecha de nacimiento]])/365</f>
        <v>126.88767123287671</v>
      </c>
      <c r="Q58" s="5"/>
      <c r="R58" s="5"/>
      <c r="S58" s="5"/>
      <c r="T58" s="5"/>
      <c r="U58" s="5"/>
      <c r="V58" s="5"/>
      <c r="W58" s="3"/>
      <c r="X58" s="6"/>
      <c r="Y58" s="6"/>
      <c r="Z58" s="5"/>
      <c r="AA58" s="5" t="s">
        <v>970</v>
      </c>
      <c r="AB58" s="4"/>
      <c r="AC58" s="3"/>
      <c r="AD58" s="5"/>
      <c r="AE58" s="6"/>
      <c r="AF58" s="5"/>
      <c r="AG58" s="3"/>
      <c r="AH58" s="6"/>
      <c r="AI58" s="1" t="s">
        <v>881</v>
      </c>
    </row>
    <row r="59" spans="1:35" hidden="1" x14ac:dyDescent="0.2">
      <c r="A59" s="13">
        <f>SUBTOTAL(3,B$8:B59)</f>
        <v>7</v>
      </c>
      <c r="B59" s="2" t="s">
        <v>969</v>
      </c>
      <c r="C59" s="9" t="s">
        <v>968</v>
      </c>
      <c r="D59" s="2" t="s">
        <v>113</v>
      </c>
      <c r="E59" s="2" t="s">
        <v>490</v>
      </c>
      <c r="F59" s="12"/>
      <c r="G59" s="2"/>
      <c r="H59" s="7"/>
      <c r="I59" s="7"/>
      <c r="J59" s="2" t="s">
        <v>17</v>
      </c>
      <c r="K59" s="2" t="s">
        <v>16</v>
      </c>
      <c r="L59" s="2"/>
      <c r="M59" s="2" t="s">
        <v>328</v>
      </c>
      <c r="N59" s="4"/>
      <c r="O59" s="11">
        <f ca="1">(TODAY()-Tabla1[[#This Row],[Fecha de nacimiento]])/365</f>
        <v>126.88767123287671</v>
      </c>
      <c r="Q59" s="5"/>
      <c r="R59" s="5"/>
      <c r="S59" s="5"/>
      <c r="T59" s="5"/>
      <c r="U59" s="5"/>
      <c r="V59" s="5"/>
      <c r="W59" s="3"/>
      <c r="X59" s="6"/>
      <c r="Y59" s="6"/>
      <c r="Z59" s="5"/>
      <c r="AA59" s="5" t="s">
        <v>967</v>
      </c>
      <c r="AB59" s="4"/>
      <c r="AC59" s="3"/>
      <c r="AD59" s="5"/>
      <c r="AE59" s="6"/>
      <c r="AF59" s="5"/>
      <c r="AG59" s="3"/>
      <c r="AH59" s="6"/>
      <c r="AI59" s="1" t="s">
        <v>881</v>
      </c>
    </row>
    <row r="60" spans="1:35" hidden="1" x14ac:dyDescent="0.2">
      <c r="A60" s="13">
        <f>SUBTOTAL(3,B$8:B60)</f>
        <v>7</v>
      </c>
      <c r="B60" s="2" t="s">
        <v>966</v>
      </c>
      <c r="C60" s="9" t="s">
        <v>965</v>
      </c>
      <c r="D60" s="5" t="s">
        <v>113</v>
      </c>
      <c r="E60" s="5" t="s">
        <v>23</v>
      </c>
      <c r="F60" s="8">
        <v>46297</v>
      </c>
      <c r="G60" s="5"/>
      <c r="H60" s="7">
        <v>800</v>
      </c>
      <c r="I60" s="7">
        <v>800</v>
      </c>
      <c r="J60" s="2" t="s">
        <v>17</v>
      </c>
      <c r="K60" s="2" t="s">
        <v>22</v>
      </c>
      <c r="L60" s="2" t="s">
        <v>15</v>
      </c>
      <c r="M60" s="2" t="s">
        <v>220</v>
      </c>
      <c r="N60" s="4">
        <v>41877</v>
      </c>
      <c r="O60" s="11">
        <f ca="1">(TODAY()-Tabla1[[#This Row],[Fecha de nacimiento]])/365</f>
        <v>12.156164383561643</v>
      </c>
      <c r="P60" s="5" t="s">
        <v>964</v>
      </c>
      <c r="Q60" s="5" t="s">
        <v>13</v>
      </c>
      <c r="R60" s="5" t="s">
        <v>46</v>
      </c>
      <c r="S60" s="2" t="s">
        <v>11</v>
      </c>
      <c r="T60" s="2" t="s">
        <v>10</v>
      </c>
      <c r="U60" s="2" t="s">
        <v>9</v>
      </c>
      <c r="V60" s="2" t="s">
        <v>963</v>
      </c>
      <c r="W60" s="1" t="s">
        <v>962</v>
      </c>
      <c r="X60" s="2">
        <v>42119</v>
      </c>
      <c r="Y60" s="2" t="s">
        <v>127</v>
      </c>
      <c r="Z60" s="2" t="s">
        <v>6</v>
      </c>
      <c r="AA60" s="2" t="s">
        <v>153</v>
      </c>
      <c r="AB60" s="4">
        <v>46058</v>
      </c>
      <c r="AC60" s="1" t="s">
        <v>961</v>
      </c>
      <c r="AD60" s="2" t="s">
        <v>3</v>
      </c>
      <c r="AE60" s="2">
        <v>7711240177</v>
      </c>
      <c r="AF60" s="16" t="s">
        <v>960</v>
      </c>
      <c r="AG60" s="3" t="s">
        <v>959</v>
      </c>
      <c r="AH60" s="2">
        <v>7712980464</v>
      </c>
    </row>
    <row r="61" spans="1:35" hidden="1" x14ac:dyDescent="0.2">
      <c r="A61" s="13">
        <f>SUBTOTAL(3,B$8:B61)</f>
        <v>7</v>
      </c>
      <c r="B61" s="2" t="s">
        <v>958</v>
      </c>
      <c r="C61" s="9" t="s">
        <v>957</v>
      </c>
      <c r="D61" s="2" t="s">
        <v>956</v>
      </c>
      <c r="E61" s="2" t="s">
        <v>955</v>
      </c>
      <c r="F61" s="12" t="s">
        <v>954</v>
      </c>
      <c r="G61" s="12">
        <v>46188</v>
      </c>
      <c r="H61" s="7">
        <v>700</v>
      </c>
      <c r="I61" s="7">
        <v>800</v>
      </c>
      <c r="J61" s="2" t="s">
        <v>17</v>
      </c>
      <c r="K61" s="2" t="s">
        <v>16</v>
      </c>
      <c r="L61" s="2"/>
      <c r="M61" s="2" t="s">
        <v>215</v>
      </c>
      <c r="N61" s="4">
        <v>41730</v>
      </c>
      <c r="O61" s="11">
        <f ca="1">(TODAY()-Tabla1[[#This Row],[Fecha de nacimiento]])/365</f>
        <v>12.558904109589042</v>
      </c>
      <c r="P61" s="5" t="s">
        <v>91</v>
      </c>
      <c r="Q61" s="5" t="s">
        <v>13</v>
      </c>
      <c r="R61" s="5" t="s">
        <v>950</v>
      </c>
      <c r="S61" s="5" t="s">
        <v>11</v>
      </c>
      <c r="T61" s="5" t="s">
        <v>10</v>
      </c>
      <c r="U61" s="5" t="s">
        <v>9</v>
      </c>
      <c r="V61" s="5" t="s">
        <v>953</v>
      </c>
      <c r="W61" s="3" t="s">
        <v>952</v>
      </c>
      <c r="X61" s="6">
        <v>42083</v>
      </c>
      <c r="Y61" s="6">
        <v>7711756282</v>
      </c>
      <c r="Z61" s="5" t="s">
        <v>6</v>
      </c>
      <c r="AA61" s="5" t="s">
        <v>457</v>
      </c>
      <c r="AB61" s="4">
        <v>45812</v>
      </c>
      <c r="AC61" s="3" t="s">
        <v>951</v>
      </c>
      <c r="AD61" s="5" t="s">
        <v>3</v>
      </c>
      <c r="AE61" s="6">
        <v>5567762704</v>
      </c>
      <c r="AF61" s="5" t="s">
        <v>950</v>
      </c>
      <c r="AG61" s="3" t="s">
        <v>949</v>
      </c>
      <c r="AH61" s="6">
        <v>7712958333</v>
      </c>
      <c r="AI61" s="1" t="s">
        <v>84</v>
      </c>
    </row>
    <row r="62" spans="1:35" hidden="1" x14ac:dyDescent="0.2">
      <c r="A62" s="13">
        <f>SUBTOTAL(3,B$8:B62)</f>
        <v>7</v>
      </c>
      <c r="B62" s="2" t="s">
        <v>948</v>
      </c>
      <c r="C62" s="9" t="s">
        <v>947</v>
      </c>
      <c r="D62" s="2" t="s">
        <v>113</v>
      </c>
      <c r="F62" s="12"/>
      <c r="G62" s="2"/>
      <c r="H62" s="7">
        <v>550</v>
      </c>
      <c r="I62" s="7"/>
      <c r="J62" s="2" t="s">
        <v>17</v>
      </c>
      <c r="K62" s="2" t="s">
        <v>22</v>
      </c>
      <c r="L62" s="2" t="s">
        <v>258</v>
      </c>
      <c r="M62" s="2" t="s">
        <v>946</v>
      </c>
      <c r="N62" s="4">
        <v>41491</v>
      </c>
      <c r="O62" s="11">
        <f ca="1">(TODAY()-Tabla1[[#This Row],[Fecha de nacimiento]])/365</f>
        <v>13.213698630136987</v>
      </c>
      <c r="P62" s="5" t="s">
        <v>231</v>
      </c>
      <c r="Q62" s="5" t="s">
        <v>13</v>
      </c>
      <c r="R62" s="26" t="s">
        <v>941</v>
      </c>
      <c r="S62" s="5" t="s">
        <v>36</v>
      </c>
      <c r="T62" s="5" t="s">
        <v>10</v>
      </c>
      <c r="U62" s="5" t="s">
        <v>9</v>
      </c>
      <c r="V62" s="5" t="s">
        <v>945</v>
      </c>
      <c r="W62" s="3" t="s">
        <v>944</v>
      </c>
      <c r="X62" s="6">
        <v>42083</v>
      </c>
      <c r="Y62" s="6" t="s">
        <v>127</v>
      </c>
      <c r="Z62" s="5" t="s">
        <v>6</v>
      </c>
      <c r="AA62" s="5" t="s">
        <v>943</v>
      </c>
      <c r="AB62" s="4">
        <v>45854</v>
      </c>
      <c r="AC62" s="3" t="s">
        <v>942</v>
      </c>
      <c r="AD62" s="5" t="s">
        <v>3</v>
      </c>
      <c r="AE62" s="6">
        <v>77137552469</v>
      </c>
      <c r="AF62" s="26" t="s">
        <v>941</v>
      </c>
      <c r="AG62" s="3" t="s">
        <v>940</v>
      </c>
      <c r="AH62" s="6">
        <v>7713752469</v>
      </c>
      <c r="AI62" s="1" t="s">
        <v>84</v>
      </c>
    </row>
    <row r="63" spans="1:35" hidden="1" x14ac:dyDescent="0.2">
      <c r="A63" s="13">
        <f>SUBTOTAL(3,B$8:B63)</f>
        <v>7</v>
      </c>
      <c r="B63" s="2" t="s">
        <v>939</v>
      </c>
      <c r="C63" s="9" t="s">
        <v>938</v>
      </c>
      <c r="D63" s="2" t="s">
        <v>113</v>
      </c>
      <c r="E63" s="2" t="s">
        <v>490</v>
      </c>
      <c r="F63" s="12"/>
      <c r="G63" s="2"/>
      <c r="H63" s="7"/>
      <c r="I63" s="7"/>
      <c r="J63" s="2" t="s">
        <v>105</v>
      </c>
      <c r="L63" s="2"/>
      <c r="M63" s="2" t="s">
        <v>937</v>
      </c>
      <c r="N63" s="4"/>
      <c r="O63" s="11">
        <f ca="1">(TODAY()-Tabla1[[#This Row],[Fecha de nacimiento]])/365</f>
        <v>126.88767123287671</v>
      </c>
      <c r="Q63" s="5"/>
      <c r="R63" s="5"/>
      <c r="S63" s="5"/>
      <c r="T63" s="5"/>
      <c r="U63" s="5"/>
      <c r="V63" s="5"/>
      <c r="W63" s="3"/>
      <c r="X63" s="6"/>
      <c r="Y63" s="6"/>
      <c r="Z63" s="5"/>
      <c r="AA63" s="5" t="s">
        <v>936</v>
      </c>
      <c r="AB63" s="4"/>
      <c r="AC63" s="3"/>
      <c r="AD63" s="5"/>
      <c r="AE63" s="6"/>
      <c r="AF63" s="5"/>
      <c r="AG63" s="3"/>
      <c r="AH63" s="6"/>
      <c r="AI63" s="1" t="s">
        <v>935</v>
      </c>
    </row>
    <row r="64" spans="1:35" x14ac:dyDescent="0.2">
      <c r="A64" s="13">
        <f>SUBTOTAL(3,B$8:B64)</f>
        <v>8</v>
      </c>
      <c r="B64" s="2" t="s">
        <v>934</v>
      </c>
      <c r="C64" s="9" t="s">
        <v>933</v>
      </c>
      <c r="D64" s="2" t="s">
        <v>18</v>
      </c>
      <c r="F64" s="12"/>
      <c r="G64" s="2"/>
      <c r="H64" s="7">
        <v>800</v>
      </c>
      <c r="I64" s="7">
        <v>800</v>
      </c>
      <c r="J64" s="2" t="s">
        <v>17</v>
      </c>
      <c r="K64" s="2" t="s">
        <v>22</v>
      </c>
      <c r="L64" s="2" t="s">
        <v>15</v>
      </c>
      <c r="M64" s="2" t="s">
        <v>623</v>
      </c>
      <c r="N64" s="4">
        <v>43305</v>
      </c>
      <c r="O64" s="11">
        <f ca="1">(TODAY()-Tabla1[[#This Row],[Fecha de nacimiento]])/365</f>
        <v>8.2438356164383571</v>
      </c>
      <c r="P64" s="5" t="s">
        <v>10</v>
      </c>
      <c r="Q64" s="5" t="s">
        <v>13</v>
      </c>
      <c r="R64" s="26" t="s">
        <v>928</v>
      </c>
      <c r="S64" s="5" t="s">
        <v>36</v>
      </c>
      <c r="T64" s="5" t="s">
        <v>10</v>
      </c>
      <c r="U64" s="5" t="s">
        <v>9</v>
      </c>
      <c r="V64" s="5" t="s">
        <v>932</v>
      </c>
      <c r="W64" s="3" t="s">
        <v>931</v>
      </c>
      <c r="X64" s="6">
        <v>42083</v>
      </c>
      <c r="Y64" s="6">
        <v>7714273915</v>
      </c>
      <c r="Z64" s="5" t="s">
        <v>6</v>
      </c>
      <c r="AA64" s="5" t="s">
        <v>930</v>
      </c>
      <c r="AB64" s="4">
        <v>45927</v>
      </c>
      <c r="AC64" s="3" t="s">
        <v>929</v>
      </c>
      <c r="AD64" s="5" t="s">
        <v>3</v>
      </c>
      <c r="AE64" s="6">
        <v>7714273915</v>
      </c>
      <c r="AF64" s="26" t="s">
        <v>928</v>
      </c>
      <c r="AG64" s="3" t="s">
        <v>927</v>
      </c>
      <c r="AH64" s="6">
        <v>7712431280</v>
      </c>
      <c r="AI64" s="1" t="s">
        <v>132</v>
      </c>
    </row>
    <row r="65" spans="1:35" hidden="1" x14ac:dyDescent="0.2">
      <c r="A65" s="13">
        <f>SUBTOTAL(3,B$8:B65)</f>
        <v>8</v>
      </c>
      <c r="B65" s="2" t="s">
        <v>926</v>
      </c>
      <c r="C65" s="9" t="s">
        <v>925</v>
      </c>
      <c r="D65" s="2" t="s">
        <v>113</v>
      </c>
      <c r="E65" s="2" t="s">
        <v>490</v>
      </c>
      <c r="F65" s="12"/>
      <c r="G65" s="2"/>
      <c r="H65" s="7"/>
      <c r="I65" s="7"/>
      <c r="J65" s="2" t="s">
        <v>17</v>
      </c>
      <c r="K65" s="2" t="s">
        <v>26</v>
      </c>
      <c r="L65" s="2"/>
      <c r="M65" s="2" t="s">
        <v>924</v>
      </c>
      <c r="N65" s="4">
        <v>38980</v>
      </c>
      <c r="O65" s="11">
        <f ca="1">(TODAY()-Tabla1[[#This Row],[Fecha de nacimiento]])/365</f>
        <v>20.093150684931508</v>
      </c>
      <c r="P65" s="5" t="s">
        <v>923</v>
      </c>
      <c r="Q65" s="5" t="s">
        <v>13</v>
      </c>
      <c r="R65" s="26" t="s">
        <v>922</v>
      </c>
      <c r="S65" s="5" t="s">
        <v>36</v>
      </c>
      <c r="T65" s="5" t="s">
        <v>10</v>
      </c>
      <c r="U65" s="5" t="s">
        <v>9</v>
      </c>
      <c r="V65" s="5" t="s">
        <v>921</v>
      </c>
      <c r="W65" s="3" t="s">
        <v>920</v>
      </c>
      <c r="X65" s="6">
        <v>42082</v>
      </c>
      <c r="Y65" s="6">
        <v>5537244883</v>
      </c>
      <c r="Z65" s="5" t="s">
        <v>6</v>
      </c>
      <c r="AA65" s="5" t="s">
        <v>919</v>
      </c>
      <c r="AB65" s="4"/>
      <c r="AC65" s="3" t="s">
        <v>918</v>
      </c>
      <c r="AD65" s="5" t="s">
        <v>917</v>
      </c>
      <c r="AE65" s="6">
        <v>5534837212</v>
      </c>
      <c r="AF65" s="5" t="s">
        <v>916</v>
      </c>
      <c r="AG65" s="3" t="s">
        <v>915</v>
      </c>
      <c r="AH65" s="6">
        <v>5553938664</v>
      </c>
    </row>
    <row r="66" spans="1:35" hidden="1" x14ac:dyDescent="0.2">
      <c r="A66" s="13">
        <f>SUBTOTAL(3,B$8:B66)</f>
        <v>8</v>
      </c>
      <c r="B66" s="2" t="s">
        <v>914</v>
      </c>
      <c r="C66" s="9" t="s">
        <v>913</v>
      </c>
      <c r="D66" s="2" t="s">
        <v>113</v>
      </c>
      <c r="E66" s="2" t="s">
        <v>490</v>
      </c>
      <c r="F66" s="12"/>
      <c r="G66" s="2"/>
      <c r="H66" s="7"/>
      <c r="I66" s="7"/>
      <c r="J66" s="2" t="s">
        <v>17</v>
      </c>
      <c r="K66" s="2" t="s">
        <v>26</v>
      </c>
      <c r="L66" s="2"/>
      <c r="M66" s="2" t="s">
        <v>912</v>
      </c>
      <c r="N66" s="4">
        <v>37372</v>
      </c>
      <c r="O66" s="11">
        <f ca="1">(TODAY()-Tabla1[[#This Row],[Fecha de nacimiento]])/365</f>
        <v>24.4986301369863</v>
      </c>
      <c r="P66" s="5" t="s">
        <v>59</v>
      </c>
      <c r="Q66" s="5" t="s">
        <v>13</v>
      </c>
      <c r="R66" s="26" t="s">
        <v>911</v>
      </c>
      <c r="S66" s="5" t="s">
        <v>36</v>
      </c>
      <c r="T66" s="5" t="s">
        <v>10</v>
      </c>
      <c r="U66" s="5" t="s">
        <v>9</v>
      </c>
      <c r="V66" s="5" t="s">
        <v>910</v>
      </c>
      <c r="W66" s="3" t="s">
        <v>909</v>
      </c>
      <c r="X66" s="6">
        <v>42083</v>
      </c>
      <c r="Y66" s="6">
        <v>7714445960</v>
      </c>
      <c r="Z66" s="5" t="s">
        <v>6</v>
      </c>
      <c r="AA66" s="5" t="s">
        <v>252</v>
      </c>
      <c r="AB66" s="4">
        <v>45918</v>
      </c>
      <c r="AC66" s="3" t="s">
        <v>908</v>
      </c>
      <c r="AD66" s="5" t="s">
        <v>907</v>
      </c>
      <c r="AE66" s="6">
        <v>7712918482</v>
      </c>
      <c r="AF66" s="26" t="s">
        <v>906</v>
      </c>
      <c r="AG66" s="3" t="s">
        <v>905</v>
      </c>
      <c r="AH66" s="6">
        <v>7711213952</v>
      </c>
      <c r="AI66" s="1" t="s">
        <v>904</v>
      </c>
    </row>
    <row r="67" spans="1:35" hidden="1" x14ac:dyDescent="0.2">
      <c r="A67" s="13">
        <f>SUBTOTAL(3,B$8:B67)</f>
        <v>8</v>
      </c>
      <c r="B67" s="2" t="s">
        <v>903</v>
      </c>
      <c r="C67" s="9" t="s">
        <v>902</v>
      </c>
      <c r="D67" s="2" t="s">
        <v>113</v>
      </c>
      <c r="E67" s="2" t="s">
        <v>490</v>
      </c>
      <c r="F67" s="12"/>
      <c r="G67" s="2"/>
      <c r="H67" s="7"/>
      <c r="I67" s="7"/>
      <c r="J67" s="2" t="s">
        <v>17</v>
      </c>
      <c r="K67" s="2" t="s">
        <v>22</v>
      </c>
      <c r="L67" s="2" t="s">
        <v>39</v>
      </c>
      <c r="M67" s="2" t="s">
        <v>901</v>
      </c>
      <c r="N67" s="4">
        <v>41674</v>
      </c>
      <c r="O67" s="11">
        <f ca="1">(TODAY()-Tabla1[[#This Row],[Fecha de nacimiento]])/365</f>
        <v>12.712328767123287</v>
      </c>
      <c r="P67" s="5" t="s">
        <v>59</v>
      </c>
      <c r="Q67" s="5" t="s">
        <v>13</v>
      </c>
      <c r="R67" s="26" t="s">
        <v>896</v>
      </c>
      <c r="S67" s="5" t="s">
        <v>11</v>
      </c>
      <c r="T67" s="5" t="s">
        <v>10</v>
      </c>
      <c r="U67" s="5" t="s">
        <v>9</v>
      </c>
      <c r="V67" s="5" t="s">
        <v>900</v>
      </c>
      <c r="W67" s="3" t="s">
        <v>899</v>
      </c>
      <c r="X67" s="6">
        <v>42119</v>
      </c>
      <c r="Y67" s="6">
        <v>5610411711</v>
      </c>
      <c r="Z67" s="5" t="s">
        <v>6</v>
      </c>
      <c r="AA67" s="5" t="s">
        <v>898</v>
      </c>
      <c r="AB67" s="4">
        <v>45922</v>
      </c>
      <c r="AC67" s="3" t="s">
        <v>897</v>
      </c>
      <c r="AD67" s="5" t="s">
        <v>3</v>
      </c>
      <c r="AE67" s="6">
        <v>5610411711</v>
      </c>
      <c r="AF67" s="26" t="s">
        <v>896</v>
      </c>
      <c r="AG67" s="3" t="s">
        <v>895</v>
      </c>
      <c r="AH67" s="6">
        <v>7712676339</v>
      </c>
      <c r="AI67" s="1" t="s">
        <v>614</v>
      </c>
    </row>
    <row r="68" spans="1:35" hidden="1" x14ac:dyDescent="0.2">
      <c r="A68" s="13">
        <f>SUBTOTAL(3,B$8:B68)</f>
        <v>8</v>
      </c>
      <c r="B68" s="2" t="s">
        <v>894</v>
      </c>
      <c r="C68" s="9" t="s">
        <v>891</v>
      </c>
      <c r="D68" s="5" t="s">
        <v>113</v>
      </c>
      <c r="E68" s="5" t="s">
        <v>490</v>
      </c>
      <c r="G68" s="5"/>
      <c r="H68" s="7">
        <v>550</v>
      </c>
      <c r="I68" s="7"/>
      <c r="J68" s="2" t="s">
        <v>17</v>
      </c>
      <c r="K68" s="2" t="s">
        <v>26</v>
      </c>
      <c r="L68" s="2" t="s">
        <v>890</v>
      </c>
      <c r="M68" s="2" t="s">
        <v>652</v>
      </c>
      <c r="N68" s="4">
        <v>38594</v>
      </c>
      <c r="O68" s="11">
        <f ca="1">(TODAY()-Tabla1[[#This Row],[Fecha de nacimiento]])/365</f>
        <v>21.150684931506849</v>
      </c>
      <c r="P68" s="5" t="s">
        <v>889</v>
      </c>
      <c r="Q68" s="5" t="s">
        <v>13</v>
      </c>
      <c r="R68" s="10" t="s">
        <v>888</v>
      </c>
      <c r="S68" s="2" t="s">
        <v>36</v>
      </c>
      <c r="T68" s="2" t="s">
        <v>10</v>
      </c>
      <c r="U68" s="2" t="s">
        <v>9</v>
      </c>
      <c r="V68" s="2" t="s">
        <v>887</v>
      </c>
      <c r="W68" s="1" t="s">
        <v>886</v>
      </c>
      <c r="X68" s="2">
        <v>42186</v>
      </c>
      <c r="Y68" s="2">
        <v>7711528029</v>
      </c>
      <c r="Z68" s="2" t="s">
        <v>6</v>
      </c>
      <c r="AA68" s="2" t="s">
        <v>893</v>
      </c>
      <c r="AB68" s="4">
        <v>45992</v>
      </c>
      <c r="AC68" s="1" t="s">
        <v>884</v>
      </c>
      <c r="AD68" s="2" t="s">
        <v>3</v>
      </c>
      <c r="AE68" s="2">
        <v>7711437977</v>
      </c>
      <c r="AF68" s="16" t="s">
        <v>883</v>
      </c>
      <c r="AG68" s="3" t="s">
        <v>882</v>
      </c>
      <c r="AH68" s="2">
        <v>5522996967</v>
      </c>
      <c r="AI68" s="1" t="s">
        <v>881</v>
      </c>
    </row>
    <row r="69" spans="1:35" hidden="1" x14ac:dyDescent="0.2">
      <c r="A69" s="13">
        <f>SUBTOTAL(3,B$8:B69)</f>
        <v>8</v>
      </c>
      <c r="B69" s="2" t="s">
        <v>892</v>
      </c>
      <c r="C69" s="9" t="s">
        <v>891</v>
      </c>
      <c r="D69" s="5" t="s">
        <v>113</v>
      </c>
      <c r="E69" s="5" t="s">
        <v>490</v>
      </c>
      <c r="G69" s="5"/>
      <c r="H69" s="7">
        <v>550</v>
      </c>
      <c r="I69" s="7"/>
      <c r="J69" s="2" t="s">
        <v>17</v>
      </c>
      <c r="K69" s="2" t="s">
        <v>26</v>
      </c>
      <c r="L69" s="2" t="s">
        <v>890</v>
      </c>
      <c r="M69" s="2" t="s">
        <v>652</v>
      </c>
      <c r="N69" s="4">
        <v>38594</v>
      </c>
      <c r="O69" s="11">
        <f ca="1">(TODAY()-Tabla1[[#This Row],[Fecha de nacimiento]])/365</f>
        <v>21.150684931506849</v>
      </c>
      <c r="P69" s="5" t="s">
        <v>889</v>
      </c>
      <c r="Q69" s="5" t="s">
        <v>13</v>
      </c>
      <c r="R69" s="10" t="s">
        <v>888</v>
      </c>
      <c r="S69" s="2" t="s">
        <v>36</v>
      </c>
      <c r="T69" s="2" t="s">
        <v>10</v>
      </c>
      <c r="U69" s="2" t="s">
        <v>9</v>
      </c>
      <c r="V69" s="2" t="s">
        <v>887</v>
      </c>
      <c r="W69" s="1" t="s">
        <v>886</v>
      </c>
      <c r="X69" s="2">
        <v>42186</v>
      </c>
      <c r="Y69" s="2">
        <v>7711528029</v>
      </c>
      <c r="Z69" s="2" t="s">
        <v>6</v>
      </c>
      <c r="AA69" s="2" t="s">
        <v>885</v>
      </c>
      <c r="AB69" s="4">
        <v>45992</v>
      </c>
      <c r="AC69" s="1" t="s">
        <v>884</v>
      </c>
      <c r="AD69" s="2" t="s">
        <v>3</v>
      </c>
      <c r="AE69" s="2">
        <v>7711437977</v>
      </c>
      <c r="AF69" s="16" t="s">
        <v>883</v>
      </c>
      <c r="AG69" s="3" t="s">
        <v>882</v>
      </c>
      <c r="AH69" s="2">
        <v>5522996967</v>
      </c>
      <c r="AI69" s="1" t="s">
        <v>881</v>
      </c>
    </row>
    <row r="70" spans="1:35" x14ac:dyDescent="0.2">
      <c r="A70" s="13">
        <f>SUBTOTAL(3,B$8:B70)</f>
        <v>9</v>
      </c>
      <c r="B70" s="2" t="s">
        <v>880</v>
      </c>
      <c r="C70" s="9" t="s">
        <v>879</v>
      </c>
      <c r="D70" s="5" t="s">
        <v>18</v>
      </c>
      <c r="E70" s="5" t="s">
        <v>23</v>
      </c>
      <c r="H70" s="7">
        <v>800</v>
      </c>
      <c r="I70" s="7"/>
      <c r="J70" s="2" t="s">
        <v>17</v>
      </c>
      <c r="K70" s="2" t="s">
        <v>22</v>
      </c>
      <c r="N70" s="4"/>
      <c r="O70" s="11">
        <f ca="1">(TODAY()-Tabla1[[#This Row],[Fecha de nacimiento]])/365</f>
        <v>126.88767123287671</v>
      </c>
      <c r="U70" s="2"/>
      <c r="Z70" s="4" t="s">
        <v>6</v>
      </c>
      <c r="AA70" s="2"/>
      <c r="AB70" s="14">
        <v>46294</v>
      </c>
      <c r="AE70" s="6"/>
      <c r="AH70" s="2"/>
      <c r="AI70" s="1" t="s">
        <v>395</v>
      </c>
    </row>
    <row r="71" spans="1:35" x14ac:dyDescent="0.2">
      <c r="A71" s="13">
        <f>SUBTOTAL(3,B$8:B71)</f>
        <v>10</v>
      </c>
      <c r="B71" s="2" t="s">
        <v>878</v>
      </c>
      <c r="C71" s="41" t="s">
        <v>877</v>
      </c>
      <c r="D71" s="5" t="s">
        <v>18</v>
      </c>
      <c r="E71" s="5" t="s">
        <v>23</v>
      </c>
      <c r="H71" s="7">
        <v>800</v>
      </c>
      <c r="I71" s="7"/>
      <c r="J71" s="2" t="s">
        <v>17</v>
      </c>
      <c r="K71" s="2" t="s">
        <v>22</v>
      </c>
      <c r="N71" s="4"/>
      <c r="O71" s="11">
        <f ca="1">(TODAY()-Tabla1[[#This Row],[Fecha de nacimiento]])/365</f>
        <v>126.88767123287671</v>
      </c>
      <c r="U71" s="2"/>
      <c r="Z71" s="4" t="s">
        <v>6</v>
      </c>
      <c r="AA71" s="2"/>
      <c r="AB71" s="14">
        <v>46265</v>
      </c>
      <c r="AE71" s="6"/>
      <c r="AH71" s="2"/>
      <c r="AI71" s="1" t="s">
        <v>21</v>
      </c>
    </row>
    <row r="72" spans="1:35" x14ac:dyDescent="0.2">
      <c r="A72" s="13">
        <f>SUBTOTAL(3,B$8:B72)</f>
        <v>11</v>
      </c>
      <c r="B72" s="28" t="s">
        <v>876</v>
      </c>
      <c r="C72" s="27" t="s">
        <v>875</v>
      </c>
      <c r="D72" s="5" t="s">
        <v>18</v>
      </c>
      <c r="E72" s="5" t="s">
        <v>23</v>
      </c>
      <c r="H72" s="7">
        <v>800</v>
      </c>
      <c r="I72" s="7"/>
      <c r="J72" s="2" t="s">
        <v>17</v>
      </c>
      <c r="K72" s="2" t="s">
        <v>26</v>
      </c>
      <c r="N72" s="4">
        <v>20843</v>
      </c>
      <c r="O72" s="11">
        <f ca="1">(TODAY()-Tabla1[[#This Row],[Fecha de nacimiento]])/365</f>
        <v>69.783561643835611</v>
      </c>
      <c r="P72" s="5" t="s">
        <v>874</v>
      </c>
      <c r="Q72" s="2" t="s">
        <v>13</v>
      </c>
      <c r="R72" s="16" t="s">
        <v>873</v>
      </c>
      <c r="S72" s="2" t="s">
        <v>11</v>
      </c>
      <c r="T72" s="2" t="s">
        <v>10</v>
      </c>
      <c r="U72" s="2" t="s">
        <v>9</v>
      </c>
      <c r="V72" s="2" t="s">
        <v>872</v>
      </c>
      <c r="W72" s="2" t="s">
        <v>871</v>
      </c>
      <c r="X72" s="2">
        <v>42083</v>
      </c>
      <c r="Y72" s="2">
        <v>7717722601</v>
      </c>
      <c r="Z72" s="4" t="s">
        <v>6</v>
      </c>
      <c r="AA72" s="2" t="s">
        <v>252</v>
      </c>
      <c r="AB72" s="14">
        <v>46241</v>
      </c>
      <c r="AE72" s="6"/>
      <c r="AG72" s="1" t="s">
        <v>870</v>
      </c>
      <c r="AH72" s="2">
        <v>7717025060</v>
      </c>
      <c r="AI72" s="1" t="s">
        <v>132</v>
      </c>
    </row>
    <row r="73" spans="1:35" hidden="1" x14ac:dyDescent="0.2">
      <c r="A73" s="13">
        <f>SUBTOTAL(3,B$8:B73)</f>
        <v>11</v>
      </c>
      <c r="B73" s="2" t="s">
        <v>869</v>
      </c>
      <c r="C73" s="9" t="s">
        <v>868</v>
      </c>
      <c r="D73" s="5" t="s">
        <v>113</v>
      </c>
      <c r="E73" s="5" t="s">
        <v>490</v>
      </c>
      <c r="F73" s="8">
        <v>46174</v>
      </c>
      <c r="G73" s="5"/>
      <c r="H73" s="7">
        <v>700</v>
      </c>
      <c r="I73" s="7">
        <v>800</v>
      </c>
      <c r="J73" s="2" t="s">
        <v>17</v>
      </c>
      <c r="K73" s="2" t="s">
        <v>22</v>
      </c>
      <c r="L73" s="2" t="s">
        <v>15</v>
      </c>
      <c r="M73" s="2" t="s">
        <v>92</v>
      </c>
      <c r="N73" s="4">
        <v>43161</v>
      </c>
      <c r="O73" s="11">
        <f ca="1">(TODAY()-Tabla1[[#This Row],[Fecha de nacimiento]])/365</f>
        <v>8.6383561643835609</v>
      </c>
      <c r="P73" s="5" t="s">
        <v>10</v>
      </c>
      <c r="Q73" s="5" t="s">
        <v>13</v>
      </c>
      <c r="R73" s="10" t="s">
        <v>863</v>
      </c>
      <c r="S73" s="2" t="s">
        <v>36</v>
      </c>
      <c r="T73" s="2" t="s">
        <v>10</v>
      </c>
      <c r="U73" s="2" t="s">
        <v>9</v>
      </c>
      <c r="V73" s="2" t="s">
        <v>867</v>
      </c>
      <c r="W73" s="1" t="s">
        <v>866</v>
      </c>
      <c r="X73" s="2">
        <v>42185</v>
      </c>
      <c r="Y73" s="2">
        <v>771220237</v>
      </c>
      <c r="Z73" s="2" t="s">
        <v>6</v>
      </c>
      <c r="AA73" s="2" t="s">
        <v>865</v>
      </c>
      <c r="AB73" s="4">
        <v>45999</v>
      </c>
      <c r="AC73" s="1" t="s">
        <v>864</v>
      </c>
      <c r="AD73" s="2" t="s">
        <v>3</v>
      </c>
      <c r="AE73" s="2">
        <v>7712202337</v>
      </c>
      <c r="AF73" s="16" t="s">
        <v>863</v>
      </c>
      <c r="AG73" s="3" t="s">
        <v>862</v>
      </c>
      <c r="AH73" s="2">
        <v>77122004824</v>
      </c>
      <c r="AI73" s="1" t="s">
        <v>861</v>
      </c>
    </row>
    <row r="74" spans="1:35" hidden="1" x14ac:dyDescent="0.2">
      <c r="A74" s="13">
        <f>SUBTOTAL(3,B$8:B74)</f>
        <v>11</v>
      </c>
      <c r="B74" s="2" t="s">
        <v>860</v>
      </c>
      <c r="C74" s="9" t="s">
        <v>859</v>
      </c>
      <c r="D74" s="5" t="s">
        <v>113</v>
      </c>
      <c r="E74" s="5" t="s">
        <v>23</v>
      </c>
      <c r="F74" s="8">
        <v>46127</v>
      </c>
      <c r="G74" s="5"/>
      <c r="H74" s="7">
        <v>750</v>
      </c>
      <c r="I74" s="7">
        <v>750</v>
      </c>
      <c r="J74" s="2" t="s">
        <v>17</v>
      </c>
      <c r="K74" s="2" t="s">
        <v>159</v>
      </c>
      <c r="L74" s="2" t="s">
        <v>39</v>
      </c>
      <c r="M74" s="2" t="s">
        <v>156</v>
      </c>
      <c r="N74" s="4">
        <v>44179</v>
      </c>
      <c r="O74" s="11">
        <f ca="1">(TODAY()-Tabla1[[#This Row],[Fecha de nacimiento]])/365</f>
        <v>5.8493150684931505</v>
      </c>
      <c r="P74" s="5" t="s">
        <v>231</v>
      </c>
      <c r="Q74" s="5" t="s">
        <v>13</v>
      </c>
      <c r="R74" s="10" t="s">
        <v>658</v>
      </c>
      <c r="S74" s="2" t="s">
        <v>11</v>
      </c>
      <c r="T74" s="2" t="s">
        <v>10</v>
      </c>
      <c r="U74" s="2" t="s">
        <v>9</v>
      </c>
      <c r="V74" s="2" t="s">
        <v>858</v>
      </c>
      <c r="W74" s="1" t="s">
        <v>660</v>
      </c>
      <c r="X74" s="2">
        <v>42083</v>
      </c>
      <c r="Y74" s="2">
        <v>5624323931</v>
      </c>
      <c r="Z74" s="2" t="s">
        <v>6</v>
      </c>
      <c r="AA74" s="2" t="s">
        <v>153</v>
      </c>
      <c r="AB74" s="4">
        <v>46056</v>
      </c>
      <c r="AC74" s="1" t="s">
        <v>659</v>
      </c>
      <c r="AD74" s="2" t="s">
        <v>118</v>
      </c>
      <c r="AE74" s="2">
        <v>5624323931</v>
      </c>
      <c r="AF74" s="16" t="s">
        <v>658</v>
      </c>
      <c r="AG74" s="3" t="s">
        <v>657</v>
      </c>
      <c r="AH74" s="2">
        <v>5526868168</v>
      </c>
      <c r="AI74" s="1" t="s">
        <v>84</v>
      </c>
    </row>
    <row r="75" spans="1:35" hidden="1" x14ac:dyDescent="0.2">
      <c r="A75" s="13">
        <f>SUBTOTAL(3,B$8:B75)</f>
        <v>11</v>
      </c>
      <c r="B75" s="2" t="s">
        <v>857</v>
      </c>
      <c r="C75" s="9" t="s">
        <v>856</v>
      </c>
      <c r="D75" s="5" t="s">
        <v>113</v>
      </c>
      <c r="E75" s="5" t="s">
        <v>490</v>
      </c>
      <c r="F75" s="8">
        <v>46048</v>
      </c>
      <c r="G75" s="5"/>
      <c r="H75" s="7">
        <v>600</v>
      </c>
      <c r="I75" s="7"/>
      <c r="J75" s="2" t="s">
        <v>17</v>
      </c>
      <c r="K75" s="2" t="s">
        <v>26</v>
      </c>
      <c r="L75" s="2" t="s">
        <v>258</v>
      </c>
      <c r="M75" s="2" t="s">
        <v>713</v>
      </c>
      <c r="N75" s="4">
        <v>38238</v>
      </c>
      <c r="O75" s="11">
        <f ca="1">(TODAY()-Tabla1[[#This Row],[Fecha de nacimiento]])/365</f>
        <v>22.126027397260273</v>
      </c>
      <c r="P75" s="5" t="s">
        <v>10</v>
      </c>
      <c r="Q75" s="5" t="s">
        <v>13</v>
      </c>
      <c r="R75" s="5" t="s">
        <v>855</v>
      </c>
      <c r="S75" s="2" t="s">
        <v>11</v>
      </c>
      <c r="T75" s="2" t="s">
        <v>10</v>
      </c>
      <c r="U75" s="2" t="s">
        <v>9</v>
      </c>
      <c r="V75" s="2" t="s">
        <v>854</v>
      </c>
      <c r="W75" s="1" t="s">
        <v>853</v>
      </c>
      <c r="X75" s="2">
        <v>42083</v>
      </c>
      <c r="Y75" s="2">
        <v>7721447579</v>
      </c>
      <c r="Z75" s="2" t="s">
        <v>6</v>
      </c>
      <c r="AA75" s="2" t="s">
        <v>601</v>
      </c>
      <c r="AB75" s="4">
        <v>46008</v>
      </c>
      <c r="AC75" s="1" t="s">
        <v>852</v>
      </c>
      <c r="AD75" s="2" t="s">
        <v>3</v>
      </c>
      <c r="AE75" s="2">
        <v>7721506447</v>
      </c>
      <c r="AF75" s="16" t="s">
        <v>851</v>
      </c>
      <c r="AG75" s="3" t="s">
        <v>850</v>
      </c>
      <c r="AH75" s="2">
        <v>7721506447</v>
      </c>
      <c r="AI75" s="1" t="s">
        <v>54</v>
      </c>
    </row>
    <row r="76" spans="1:35" hidden="1" x14ac:dyDescent="0.2">
      <c r="A76" s="13">
        <f>SUBTOTAL(3,B$8:B76)</f>
        <v>11</v>
      </c>
      <c r="B76" s="2" t="s">
        <v>849</v>
      </c>
      <c r="C76" s="9" t="s">
        <v>848</v>
      </c>
      <c r="D76" s="5" t="s">
        <v>113</v>
      </c>
      <c r="E76" s="5" t="s">
        <v>634</v>
      </c>
      <c r="F76" s="12">
        <v>46157</v>
      </c>
      <c r="G76" s="12"/>
      <c r="H76" s="7" t="s">
        <v>847</v>
      </c>
      <c r="I76" s="7"/>
      <c r="J76" s="2" t="s">
        <v>17</v>
      </c>
      <c r="K76" s="2" t="s">
        <v>159</v>
      </c>
      <c r="L76" s="2" t="s">
        <v>39</v>
      </c>
      <c r="M76" s="2" t="s">
        <v>92</v>
      </c>
      <c r="N76" s="4">
        <v>44362</v>
      </c>
      <c r="O76" s="11">
        <f ca="1">(TODAY()-Tabla1[[#This Row],[Fecha de nacimiento]])/365</f>
        <v>5.3479452054794523</v>
      </c>
      <c r="P76" s="5" t="s">
        <v>846</v>
      </c>
      <c r="Q76" s="5" t="s">
        <v>845</v>
      </c>
      <c r="R76" s="16" t="s">
        <v>842</v>
      </c>
      <c r="S76" s="2" t="s">
        <v>36</v>
      </c>
      <c r="T76" s="2" t="s">
        <v>10</v>
      </c>
      <c r="U76" s="2" t="s">
        <v>9</v>
      </c>
      <c r="W76" s="2" t="s">
        <v>844</v>
      </c>
      <c r="X76" s="2">
        <v>42084</v>
      </c>
      <c r="Y76" s="2">
        <v>7712366408</v>
      </c>
      <c r="Z76" s="2" t="s">
        <v>6</v>
      </c>
      <c r="AA76" s="4" t="s">
        <v>126</v>
      </c>
      <c r="AB76" s="14">
        <v>46128</v>
      </c>
      <c r="AC76" s="2" t="s">
        <v>843</v>
      </c>
      <c r="AD76" s="2" t="s">
        <v>3</v>
      </c>
      <c r="AE76" s="2">
        <v>7712366408</v>
      </c>
      <c r="AF76" s="10" t="s">
        <v>842</v>
      </c>
      <c r="AG76" s="2"/>
      <c r="AH76" s="2"/>
      <c r="AI76" s="1" t="s">
        <v>637</v>
      </c>
    </row>
    <row r="77" spans="1:35" hidden="1" x14ac:dyDescent="0.2">
      <c r="A77" s="13">
        <f>SUBTOTAL(3,B$8:B77)</f>
        <v>11</v>
      </c>
      <c r="B77" s="2" t="s">
        <v>841</v>
      </c>
      <c r="C77" s="9" t="s">
        <v>840</v>
      </c>
      <c r="D77" s="2" t="s">
        <v>113</v>
      </c>
      <c r="E77" s="2" t="s">
        <v>490</v>
      </c>
      <c r="F77" s="12"/>
      <c r="G77" s="2"/>
      <c r="H77" s="7">
        <v>700</v>
      </c>
      <c r="I77" s="7"/>
      <c r="J77" s="2" t="s">
        <v>105</v>
      </c>
      <c r="K77" s="2" t="s">
        <v>26</v>
      </c>
      <c r="L77" s="2" t="s">
        <v>39</v>
      </c>
      <c r="M77" s="2" t="s">
        <v>839</v>
      </c>
      <c r="N77" s="4"/>
      <c r="O77" s="11">
        <f ca="1">(TODAY()-Tabla1[[#This Row],[Fecha de nacimiento]])/365</f>
        <v>126.88767123287671</v>
      </c>
      <c r="P77" s="5" t="s">
        <v>10</v>
      </c>
      <c r="Q77" s="5" t="s">
        <v>13</v>
      </c>
      <c r="R77" s="5"/>
      <c r="S77" s="5"/>
      <c r="T77" s="5" t="s">
        <v>10</v>
      </c>
      <c r="U77" s="5" t="s">
        <v>9</v>
      </c>
      <c r="V77" s="5"/>
      <c r="W77" s="3"/>
      <c r="X77" s="6"/>
      <c r="Y77" s="6"/>
      <c r="Z77" s="5" t="s">
        <v>6</v>
      </c>
      <c r="AA77" s="5" t="s">
        <v>838</v>
      </c>
      <c r="AB77" s="4">
        <v>45821</v>
      </c>
      <c r="AC77" s="3"/>
      <c r="AD77" s="5"/>
      <c r="AE77" s="6"/>
      <c r="AF77" s="5"/>
      <c r="AG77" s="3"/>
      <c r="AH77" s="6"/>
      <c r="AI77" s="1" t="s">
        <v>54</v>
      </c>
    </row>
    <row r="78" spans="1:35" x14ac:dyDescent="0.2">
      <c r="A78" s="13">
        <f>SUBTOTAL(3,B$8:B78)</f>
        <v>12</v>
      </c>
      <c r="B78" s="2" t="s">
        <v>837</v>
      </c>
      <c r="C78" s="9" t="s">
        <v>836</v>
      </c>
      <c r="D78" s="2" t="s">
        <v>18</v>
      </c>
      <c r="F78" s="12"/>
      <c r="G78" s="2"/>
      <c r="H78" s="7">
        <v>550</v>
      </c>
      <c r="I78" s="7">
        <v>650</v>
      </c>
      <c r="J78" s="2" t="s">
        <v>17</v>
      </c>
      <c r="K78" s="2" t="s">
        <v>308</v>
      </c>
      <c r="L78" s="2" t="s">
        <v>194</v>
      </c>
      <c r="M78" s="2" t="s">
        <v>835</v>
      </c>
      <c r="N78" s="4">
        <v>38430</v>
      </c>
      <c r="O78" s="11">
        <f ca="1">(TODAY()-Tabla1[[#This Row],[Fecha de nacimiento]])/365</f>
        <v>21.6</v>
      </c>
      <c r="P78" s="5" t="s">
        <v>91</v>
      </c>
      <c r="Q78" s="5" t="s">
        <v>13</v>
      </c>
      <c r="R78" s="26" t="s">
        <v>834</v>
      </c>
      <c r="S78" s="5" t="s">
        <v>11</v>
      </c>
      <c r="T78" s="5" t="s">
        <v>10</v>
      </c>
      <c r="U78" s="5" t="s">
        <v>9</v>
      </c>
      <c r="V78" s="5" t="s">
        <v>833</v>
      </c>
      <c r="W78" s="3" t="s">
        <v>245</v>
      </c>
      <c r="X78" s="6">
        <v>42083</v>
      </c>
      <c r="Y78" s="6">
        <v>7713793422</v>
      </c>
      <c r="Z78" s="5" t="s">
        <v>6</v>
      </c>
      <c r="AA78" s="5" t="s">
        <v>419</v>
      </c>
      <c r="AB78" s="4">
        <v>45862</v>
      </c>
      <c r="AC78" s="3" t="s">
        <v>243</v>
      </c>
      <c r="AD78" s="5" t="s">
        <v>3</v>
      </c>
      <c r="AE78" s="6">
        <v>7717609547</v>
      </c>
      <c r="AF78" s="26" t="s">
        <v>242</v>
      </c>
      <c r="AG78" s="3" t="s">
        <v>241</v>
      </c>
      <c r="AH78" s="6">
        <v>5641138585</v>
      </c>
      <c r="AI78" s="1" t="s">
        <v>84</v>
      </c>
    </row>
    <row r="79" spans="1:35" x14ac:dyDescent="0.2">
      <c r="A79" s="13">
        <f>SUBTOTAL(3,B$8:B79)</f>
        <v>13</v>
      </c>
      <c r="B79" s="28" t="s">
        <v>832</v>
      </c>
      <c r="C79" s="27" t="s">
        <v>831</v>
      </c>
      <c r="D79" s="5" t="s">
        <v>18</v>
      </c>
      <c r="E79" s="5" t="s">
        <v>23</v>
      </c>
      <c r="H79" s="7">
        <v>800</v>
      </c>
      <c r="I79" s="7"/>
      <c r="J79" s="2" t="s">
        <v>17</v>
      </c>
      <c r="K79" s="2" t="s">
        <v>22</v>
      </c>
      <c r="N79" s="4">
        <v>42152</v>
      </c>
      <c r="O79" s="11">
        <f ca="1">(TODAY()-Tabla1[[#This Row],[Fecha de nacimiento]])/365</f>
        <v>11.402739726027397</v>
      </c>
      <c r="P79" s="5" t="s">
        <v>231</v>
      </c>
      <c r="Q79" s="2" t="s">
        <v>13</v>
      </c>
      <c r="R79" s="2" t="s">
        <v>826</v>
      </c>
      <c r="S79" s="2" t="s">
        <v>11</v>
      </c>
      <c r="T79" s="2" t="s">
        <v>10</v>
      </c>
      <c r="U79" s="2" t="s">
        <v>9</v>
      </c>
      <c r="V79" s="2" t="s">
        <v>830</v>
      </c>
      <c r="W79" s="2" t="s">
        <v>829</v>
      </c>
      <c r="X79" s="2">
        <v>43845</v>
      </c>
      <c r="Y79" s="2">
        <v>5580396797</v>
      </c>
      <c r="Z79" s="4" t="s">
        <v>6</v>
      </c>
      <c r="AA79" s="2" t="s">
        <v>828</v>
      </c>
      <c r="AB79" s="14">
        <v>46226</v>
      </c>
      <c r="AC79" s="2" t="s">
        <v>827</v>
      </c>
      <c r="AD79" s="2" t="s">
        <v>118</v>
      </c>
      <c r="AE79" s="6">
        <v>5580396797</v>
      </c>
      <c r="AF79" s="2" t="s">
        <v>826</v>
      </c>
      <c r="AG79" s="1" t="s">
        <v>825</v>
      </c>
      <c r="AH79" s="2">
        <v>5588128895</v>
      </c>
      <c r="AI79" s="1" t="s">
        <v>21</v>
      </c>
    </row>
    <row r="80" spans="1:35" hidden="1" x14ac:dyDescent="0.2">
      <c r="A80" s="13">
        <f>SUBTOTAL(3,B$8:B80)</f>
        <v>13</v>
      </c>
      <c r="B80" s="2" t="s">
        <v>824</v>
      </c>
      <c r="C80" s="9" t="s">
        <v>823</v>
      </c>
      <c r="D80" s="5" t="s">
        <v>113</v>
      </c>
      <c r="E80" s="5" t="s">
        <v>634</v>
      </c>
      <c r="F80" s="8">
        <v>46162</v>
      </c>
      <c r="G80" s="5"/>
      <c r="H80" s="7">
        <v>700</v>
      </c>
      <c r="I80" s="7">
        <v>700</v>
      </c>
      <c r="J80" s="2" t="s">
        <v>17</v>
      </c>
      <c r="K80" s="2" t="s">
        <v>22</v>
      </c>
      <c r="L80" s="2" t="s">
        <v>39</v>
      </c>
      <c r="M80" s="2" t="s">
        <v>14</v>
      </c>
      <c r="N80" s="4">
        <v>41495</v>
      </c>
      <c r="O80" s="11">
        <f ca="1">(TODAY()-Tabla1[[#This Row],[Fecha de nacimiento]])/365</f>
        <v>13.202739726027398</v>
      </c>
      <c r="P80" s="5" t="s">
        <v>59</v>
      </c>
      <c r="Q80" s="5" t="s">
        <v>13</v>
      </c>
      <c r="R80" s="5" t="s">
        <v>46</v>
      </c>
      <c r="S80" s="2" t="s">
        <v>11</v>
      </c>
      <c r="T80" s="2" t="s">
        <v>10</v>
      </c>
      <c r="U80" s="2" t="s">
        <v>9</v>
      </c>
      <c r="V80" s="2" t="s">
        <v>822</v>
      </c>
      <c r="W80" s="1" t="s">
        <v>821</v>
      </c>
      <c r="X80" s="2">
        <v>42083</v>
      </c>
      <c r="Y80" s="2">
        <v>7717456114</v>
      </c>
      <c r="Z80" s="2" t="s">
        <v>6</v>
      </c>
      <c r="AA80" s="2" t="s">
        <v>5</v>
      </c>
      <c r="AB80" s="4">
        <v>46056</v>
      </c>
      <c r="AC80" s="1" t="s">
        <v>820</v>
      </c>
      <c r="AD80" s="2" t="s">
        <v>3</v>
      </c>
      <c r="AE80" s="2">
        <v>7713633356</v>
      </c>
      <c r="AG80" s="3" t="s">
        <v>819</v>
      </c>
      <c r="AH80" s="2">
        <v>7714069392</v>
      </c>
    </row>
    <row r="81" spans="1:35" hidden="1" x14ac:dyDescent="0.2">
      <c r="A81" s="13">
        <f>SUBTOTAL(3,B$8:B81)</f>
        <v>13</v>
      </c>
      <c r="B81" s="2" t="s">
        <v>818</v>
      </c>
      <c r="C81" s="9" t="s">
        <v>817</v>
      </c>
      <c r="D81" s="5" t="s">
        <v>113</v>
      </c>
      <c r="E81" s="5" t="s">
        <v>490</v>
      </c>
      <c r="G81" s="5"/>
      <c r="H81" s="7">
        <v>600</v>
      </c>
      <c r="I81" s="7"/>
      <c r="J81" s="2" t="s">
        <v>17</v>
      </c>
      <c r="K81" s="2" t="s">
        <v>22</v>
      </c>
      <c r="L81" s="2" t="s">
        <v>39</v>
      </c>
      <c r="M81" s="2" t="s">
        <v>336</v>
      </c>
      <c r="N81" s="4">
        <v>43094</v>
      </c>
      <c r="O81" s="11">
        <f ca="1">(TODAY()-Tabla1[[#This Row],[Fecha de nacimiento]])/365</f>
        <v>8.8219178082191778</v>
      </c>
      <c r="P81" s="5" t="s">
        <v>91</v>
      </c>
      <c r="Q81" s="5" t="s">
        <v>13</v>
      </c>
      <c r="R81" s="10" t="s">
        <v>816</v>
      </c>
      <c r="S81" s="2" t="s">
        <v>11</v>
      </c>
      <c r="T81" s="2" t="s">
        <v>10</v>
      </c>
      <c r="U81" s="2" t="s">
        <v>9</v>
      </c>
      <c r="V81" s="2" t="s">
        <v>815</v>
      </c>
      <c r="W81" s="1" t="s">
        <v>814</v>
      </c>
      <c r="X81" s="2">
        <v>43845</v>
      </c>
      <c r="Y81" s="2">
        <v>5544811110</v>
      </c>
      <c r="Z81" s="2" t="s">
        <v>6</v>
      </c>
      <c r="AA81" s="2" t="s">
        <v>334</v>
      </c>
      <c r="AB81" s="4">
        <v>45988</v>
      </c>
      <c r="AC81" s="1" t="s">
        <v>813</v>
      </c>
      <c r="AD81" s="2" t="s">
        <v>3</v>
      </c>
      <c r="AE81" s="2">
        <v>5577343812</v>
      </c>
      <c r="AF81" s="16" t="s">
        <v>812</v>
      </c>
      <c r="AG81" s="3" t="s">
        <v>811</v>
      </c>
      <c r="AH81" s="2">
        <v>5544811110</v>
      </c>
      <c r="AI81" s="1" t="s">
        <v>810</v>
      </c>
    </row>
    <row r="82" spans="1:35" x14ac:dyDescent="0.2">
      <c r="A82" s="13">
        <f>SUBTOTAL(3,B$8:B82)</f>
        <v>14</v>
      </c>
      <c r="B82" s="2" t="s">
        <v>809</v>
      </c>
      <c r="C82" s="9" t="s">
        <v>808</v>
      </c>
      <c r="D82" s="5" t="s">
        <v>18</v>
      </c>
      <c r="E82" s="5"/>
      <c r="G82" s="5"/>
      <c r="H82" s="7">
        <v>800</v>
      </c>
      <c r="I82" s="7">
        <v>800</v>
      </c>
      <c r="J82" s="2" t="s">
        <v>17</v>
      </c>
      <c r="K82" s="2" t="s">
        <v>16</v>
      </c>
      <c r="L82" s="2"/>
      <c r="M82" s="2" t="s">
        <v>328</v>
      </c>
      <c r="N82" s="4">
        <v>40894</v>
      </c>
      <c r="O82" s="11">
        <f ca="1">(TODAY()-Tabla1[[#This Row],[Fecha de nacimiento]])/365</f>
        <v>14.849315068493151</v>
      </c>
      <c r="P82" s="5" t="s">
        <v>10</v>
      </c>
      <c r="Q82" s="5" t="s">
        <v>13</v>
      </c>
      <c r="R82" s="10" t="s">
        <v>804</v>
      </c>
      <c r="S82" s="2" t="s">
        <v>11</v>
      </c>
      <c r="T82" s="2" t="s">
        <v>10</v>
      </c>
      <c r="U82" s="2" t="s">
        <v>9</v>
      </c>
      <c r="V82" s="2" t="s">
        <v>807</v>
      </c>
      <c r="W82" s="1" t="s">
        <v>806</v>
      </c>
      <c r="X82" s="2">
        <v>42088</v>
      </c>
      <c r="Y82" s="2" t="s">
        <v>46</v>
      </c>
      <c r="Z82" s="2" t="s">
        <v>6</v>
      </c>
      <c r="AA82" s="2" t="s">
        <v>5</v>
      </c>
      <c r="AB82" s="4">
        <v>46036</v>
      </c>
      <c r="AC82" s="1" t="s">
        <v>805</v>
      </c>
      <c r="AD82" s="2" t="s">
        <v>3</v>
      </c>
      <c r="AE82" s="2">
        <v>7911068728</v>
      </c>
      <c r="AF82" s="16" t="s">
        <v>804</v>
      </c>
      <c r="AG82" s="3" t="s">
        <v>803</v>
      </c>
      <c r="AH82" s="2">
        <v>5531290710</v>
      </c>
      <c r="AI82" s="1" t="s">
        <v>84</v>
      </c>
    </row>
    <row r="83" spans="1:35" x14ac:dyDescent="0.2">
      <c r="A83" s="13">
        <f>SUBTOTAL(3,B$8:B83)</f>
        <v>15</v>
      </c>
      <c r="B83" s="2" t="s">
        <v>802</v>
      </c>
      <c r="C83" s="9" t="s">
        <v>801</v>
      </c>
      <c r="D83" s="5" t="s">
        <v>18</v>
      </c>
      <c r="E83" s="5" t="s">
        <v>23</v>
      </c>
      <c r="H83" s="7">
        <v>800</v>
      </c>
      <c r="I83" s="7"/>
      <c r="J83" s="2" t="s">
        <v>800</v>
      </c>
      <c r="K83" s="2" t="s">
        <v>22</v>
      </c>
      <c r="N83" s="4"/>
      <c r="O83" s="11">
        <f ca="1">(TODAY()-Tabla1[[#This Row],[Fecha de nacimiento]])/365</f>
        <v>126.88767123287671</v>
      </c>
      <c r="U83" s="2"/>
      <c r="Z83" s="4" t="s">
        <v>6</v>
      </c>
      <c r="AA83" s="2"/>
      <c r="AB83" s="14">
        <v>46255</v>
      </c>
      <c r="AE83" s="6"/>
      <c r="AH83" s="2"/>
      <c r="AI83" s="1" t="s">
        <v>54</v>
      </c>
    </row>
    <row r="84" spans="1:35" hidden="1" x14ac:dyDescent="0.2">
      <c r="A84" s="13">
        <f>SUBTOTAL(3,B$8:B84)</f>
        <v>15</v>
      </c>
      <c r="B84" s="2" t="s">
        <v>799</v>
      </c>
      <c r="C84" s="9" t="s">
        <v>798</v>
      </c>
      <c r="D84" s="2" t="s">
        <v>113</v>
      </c>
      <c r="E84" s="2" t="s">
        <v>490</v>
      </c>
      <c r="F84" s="12"/>
      <c r="G84" s="2"/>
      <c r="H84" s="7">
        <v>700</v>
      </c>
      <c r="I84" s="7"/>
      <c r="J84" s="2" t="s">
        <v>17</v>
      </c>
      <c r="K84" s="2" t="s">
        <v>16</v>
      </c>
      <c r="L84" s="2" t="s">
        <v>39</v>
      </c>
      <c r="M84" s="2" t="s">
        <v>758</v>
      </c>
      <c r="N84" s="4">
        <v>41386</v>
      </c>
      <c r="O84" s="11">
        <f ca="1">(TODAY()-Tabla1[[#This Row],[Fecha de nacimiento]])/365</f>
        <v>13.501369863013698</v>
      </c>
      <c r="P84" s="5" t="s">
        <v>10</v>
      </c>
      <c r="Q84" s="5" t="s">
        <v>13</v>
      </c>
      <c r="R84" s="26" t="s">
        <v>794</v>
      </c>
      <c r="S84" s="5" t="s">
        <v>11</v>
      </c>
      <c r="T84" s="5" t="s">
        <v>10</v>
      </c>
      <c r="U84" s="5" t="s">
        <v>9</v>
      </c>
      <c r="V84" s="5" t="s">
        <v>797</v>
      </c>
      <c r="W84" s="3" t="s">
        <v>796</v>
      </c>
      <c r="X84" s="6">
        <v>42082</v>
      </c>
      <c r="Y84" s="6">
        <v>7712679313</v>
      </c>
      <c r="Z84" s="5" t="s">
        <v>6</v>
      </c>
      <c r="AA84" s="5" t="s">
        <v>153</v>
      </c>
      <c r="AB84" s="4">
        <v>45947</v>
      </c>
      <c r="AC84" s="3" t="s">
        <v>795</v>
      </c>
      <c r="AD84" s="5" t="s">
        <v>3</v>
      </c>
      <c r="AE84" s="6">
        <v>7712679313</v>
      </c>
      <c r="AF84" s="26" t="s">
        <v>794</v>
      </c>
      <c r="AG84" s="3" t="s">
        <v>793</v>
      </c>
      <c r="AH84" s="6">
        <v>7717083992</v>
      </c>
    </row>
    <row r="85" spans="1:35" hidden="1" x14ac:dyDescent="0.2">
      <c r="A85" s="13">
        <f>SUBTOTAL(3,B$8:B85)</f>
        <v>15</v>
      </c>
      <c r="B85" s="2" t="s">
        <v>792</v>
      </c>
      <c r="C85" s="9" t="s">
        <v>791</v>
      </c>
      <c r="D85" s="5" t="s">
        <v>113</v>
      </c>
      <c r="E85" s="5" t="s">
        <v>490</v>
      </c>
      <c r="F85" s="8">
        <v>46143</v>
      </c>
      <c r="G85" s="8"/>
      <c r="H85" s="7">
        <v>750</v>
      </c>
      <c r="I85" s="7">
        <v>750</v>
      </c>
      <c r="J85" s="2" t="s">
        <v>17</v>
      </c>
      <c r="K85" s="2" t="s">
        <v>22</v>
      </c>
      <c r="L85" s="2" t="s">
        <v>15</v>
      </c>
      <c r="M85" s="2" t="s">
        <v>328</v>
      </c>
      <c r="N85" s="4">
        <v>42664</v>
      </c>
      <c r="O85" s="11">
        <f ca="1">(TODAY()-Tabla1[[#This Row],[Fecha de nacimiento]])/365</f>
        <v>10</v>
      </c>
      <c r="P85" s="5" t="s">
        <v>59</v>
      </c>
      <c r="Q85" s="5" t="s">
        <v>13</v>
      </c>
      <c r="R85" s="10" t="s">
        <v>681</v>
      </c>
      <c r="S85" s="2" t="s">
        <v>11</v>
      </c>
      <c r="T85" s="2" t="s">
        <v>10</v>
      </c>
      <c r="U85" s="2" t="s">
        <v>9</v>
      </c>
      <c r="V85" s="53" t="s">
        <v>790</v>
      </c>
      <c r="W85" s="1" t="s">
        <v>683</v>
      </c>
      <c r="X85" s="2">
        <v>42084</v>
      </c>
      <c r="Y85" s="2">
        <v>7712903950</v>
      </c>
      <c r="Z85" s="2" t="s">
        <v>6</v>
      </c>
      <c r="AA85" s="2" t="s">
        <v>5</v>
      </c>
      <c r="AB85" s="4">
        <v>46083</v>
      </c>
      <c r="AC85" s="1" t="s">
        <v>682</v>
      </c>
      <c r="AD85" s="2" t="s">
        <v>3</v>
      </c>
      <c r="AE85" s="2">
        <v>7712903950</v>
      </c>
      <c r="AF85" s="16" t="s">
        <v>681</v>
      </c>
      <c r="AG85" s="3" t="s">
        <v>680</v>
      </c>
      <c r="AH85" s="53">
        <v>5545951996</v>
      </c>
    </row>
    <row r="86" spans="1:35" hidden="1" x14ac:dyDescent="0.2">
      <c r="A86" s="13">
        <f>SUBTOTAL(3,B$8:B86)</f>
        <v>15</v>
      </c>
      <c r="B86" s="2" t="s">
        <v>789</v>
      </c>
      <c r="C86" s="9" t="s">
        <v>788</v>
      </c>
      <c r="D86" s="5" t="s">
        <v>113</v>
      </c>
      <c r="E86" s="5" t="s">
        <v>787</v>
      </c>
      <c r="F86" s="8" t="s">
        <v>786</v>
      </c>
      <c r="G86" s="8">
        <v>46204</v>
      </c>
      <c r="H86" s="7">
        <v>400</v>
      </c>
      <c r="I86" s="7">
        <v>400</v>
      </c>
      <c r="J86" s="2" t="s">
        <v>105</v>
      </c>
      <c r="K86" s="2" t="s">
        <v>16</v>
      </c>
      <c r="L86" s="2" t="s">
        <v>39</v>
      </c>
      <c r="M86" s="2" t="s">
        <v>785</v>
      </c>
      <c r="N86" s="4">
        <v>40449</v>
      </c>
      <c r="O86" s="11">
        <f ca="1">(TODAY()-Tabla1[[#This Row],[Fecha de nacimiento]])/365</f>
        <v>16.068493150684933</v>
      </c>
      <c r="P86" s="5" t="s">
        <v>231</v>
      </c>
      <c r="Q86" s="5" t="s">
        <v>13</v>
      </c>
      <c r="R86" s="10" t="s">
        <v>784</v>
      </c>
      <c r="S86" s="2" t="s">
        <v>11</v>
      </c>
      <c r="T86" s="2" t="s">
        <v>10</v>
      </c>
      <c r="U86" s="2" t="s">
        <v>9</v>
      </c>
      <c r="V86" s="49" t="s">
        <v>783</v>
      </c>
      <c r="W86" s="1" t="s">
        <v>782</v>
      </c>
      <c r="X86" s="2">
        <v>42083</v>
      </c>
      <c r="Y86" s="2">
        <v>7713022282</v>
      </c>
      <c r="Z86" s="2" t="s">
        <v>384</v>
      </c>
      <c r="AA86" s="2" t="s">
        <v>781</v>
      </c>
      <c r="AB86" s="4">
        <v>46072</v>
      </c>
      <c r="AC86" s="1" t="s">
        <v>779</v>
      </c>
      <c r="AD86" s="2" t="s">
        <v>3</v>
      </c>
      <c r="AE86" s="2">
        <v>7711832700</v>
      </c>
      <c r="AF86" s="16" t="s">
        <v>780</v>
      </c>
      <c r="AG86" s="3" t="s">
        <v>779</v>
      </c>
      <c r="AH86" s="2">
        <v>7711832700</v>
      </c>
    </row>
    <row r="87" spans="1:35" hidden="1" x14ac:dyDescent="0.2">
      <c r="A87" s="13">
        <f>SUBTOTAL(3,B$8:B87)</f>
        <v>15</v>
      </c>
      <c r="B87" s="2" t="s">
        <v>778</v>
      </c>
      <c r="C87" s="9" t="s">
        <v>777</v>
      </c>
      <c r="D87" s="5" t="s">
        <v>113</v>
      </c>
      <c r="E87" s="5" t="s">
        <v>490</v>
      </c>
      <c r="F87" s="8">
        <v>46028</v>
      </c>
      <c r="G87" s="5"/>
      <c r="H87" s="7">
        <v>700</v>
      </c>
      <c r="I87" s="7"/>
      <c r="J87" s="2" t="s">
        <v>17</v>
      </c>
      <c r="K87" s="2" t="s">
        <v>26</v>
      </c>
      <c r="L87" s="2" t="s">
        <v>194</v>
      </c>
      <c r="M87" s="2" t="s">
        <v>776</v>
      </c>
      <c r="N87" s="4">
        <v>28501</v>
      </c>
      <c r="O87" s="11">
        <f ca="1">(TODAY()-Tabla1[[#This Row],[Fecha de nacimiento]])/365</f>
        <v>48.802739726027397</v>
      </c>
      <c r="P87" s="5" t="s">
        <v>10</v>
      </c>
      <c r="Q87" s="5" t="s">
        <v>13</v>
      </c>
      <c r="R87" s="10" t="s">
        <v>775</v>
      </c>
      <c r="S87" s="2" t="s">
        <v>11</v>
      </c>
      <c r="T87" s="2" t="s">
        <v>10</v>
      </c>
      <c r="U87" s="2" t="s">
        <v>9</v>
      </c>
      <c r="V87" s="2" t="s">
        <v>774</v>
      </c>
      <c r="W87" s="1" t="s">
        <v>773</v>
      </c>
      <c r="X87" s="2">
        <v>42119</v>
      </c>
      <c r="Y87" s="2">
        <v>7712048875</v>
      </c>
      <c r="Z87" s="2" t="s">
        <v>6</v>
      </c>
      <c r="AA87" s="2" t="s">
        <v>252</v>
      </c>
      <c r="AB87" s="4">
        <v>45995</v>
      </c>
      <c r="AC87" s="1" t="s">
        <v>772</v>
      </c>
      <c r="AD87" s="2" t="s">
        <v>466</v>
      </c>
      <c r="AE87" s="2">
        <v>2213393869</v>
      </c>
      <c r="AG87" s="3"/>
      <c r="AH87" s="2"/>
      <c r="AI87" s="1" t="s">
        <v>367</v>
      </c>
    </row>
    <row r="88" spans="1:35" x14ac:dyDescent="0.2">
      <c r="A88" s="13">
        <f>SUBTOTAL(3,B$8:B88)</f>
        <v>16</v>
      </c>
      <c r="B88" s="24" t="s">
        <v>771</v>
      </c>
      <c r="C88" s="23" t="s">
        <v>770</v>
      </c>
      <c r="D88" s="5" t="s">
        <v>18</v>
      </c>
      <c r="E88" s="5" t="s">
        <v>23</v>
      </c>
      <c r="H88" s="7">
        <v>750</v>
      </c>
      <c r="I88" s="7"/>
      <c r="J88" s="2" t="s">
        <v>17</v>
      </c>
      <c r="K88" s="2" t="s">
        <v>16</v>
      </c>
      <c r="L88" s="4" t="s">
        <v>258</v>
      </c>
      <c r="M88" s="6" t="s">
        <v>328</v>
      </c>
      <c r="N88" s="4">
        <v>41708</v>
      </c>
      <c r="O88" s="11">
        <f ca="1">(TODAY()-Tabla1[[#This Row],[Fecha de nacimiento]])/365</f>
        <v>12.61917808219178</v>
      </c>
      <c r="P88" s="5" t="s">
        <v>59</v>
      </c>
      <c r="Q88" s="2" t="s">
        <v>13</v>
      </c>
      <c r="R88" s="16" t="s">
        <v>322</v>
      </c>
      <c r="S88" s="2" t="s">
        <v>36</v>
      </c>
      <c r="T88" s="2" t="s">
        <v>10</v>
      </c>
      <c r="U88" s="2" t="s">
        <v>9</v>
      </c>
      <c r="W88" s="2" t="s">
        <v>325</v>
      </c>
      <c r="X88" s="2">
        <v>42083</v>
      </c>
      <c r="Y88" s="2">
        <v>7712436784</v>
      </c>
      <c r="Z88" s="4" t="s">
        <v>6</v>
      </c>
      <c r="AA88" s="2" t="s">
        <v>769</v>
      </c>
      <c r="AB88" s="14">
        <v>46167</v>
      </c>
      <c r="AC88" s="2" t="s">
        <v>323</v>
      </c>
      <c r="AD88" s="2" t="s">
        <v>3</v>
      </c>
      <c r="AE88" s="6">
        <v>7712073752</v>
      </c>
      <c r="AF88" s="16" t="s">
        <v>322</v>
      </c>
      <c r="AG88" s="1" t="s">
        <v>321</v>
      </c>
      <c r="AH88" s="2">
        <v>7712073752</v>
      </c>
      <c r="AI88" s="1" t="s">
        <v>21</v>
      </c>
    </row>
    <row r="89" spans="1:35" x14ac:dyDescent="0.2">
      <c r="A89" s="13">
        <f>SUBTOTAL(3,B$8:B89)</f>
        <v>17</v>
      </c>
      <c r="B89" s="30" t="s">
        <v>768</v>
      </c>
      <c r="C89" s="29" t="s">
        <v>767</v>
      </c>
      <c r="D89" s="5" t="s">
        <v>18</v>
      </c>
      <c r="E89" s="5" t="s">
        <v>23</v>
      </c>
      <c r="H89" s="7">
        <v>400</v>
      </c>
      <c r="I89" s="7"/>
      <c r="J89" s="2" t="s">
        <v>17</v>
      </c>
      <c r="K89" s="2" t="s">
        <v>159</v>
      </c>
      <c r="L89" s="4" t="s">
        <v>39</v>
      </c>
      <c r="M89" s="6" t="s">
        <v>50</v>
      </c>
      <c r="N89" s="4">
        <v>44121</v>
      </c>
      <c r="O89" s="11">
        <f ca="1">(TODAY()-Tabla1[[#This Row],[Fecha de nacimiento]])/365</f>
        <v>6.0082191780821921</v>
      </c>
      <c r="P89" s="5" t="s">
        <v>59</v>
      </c>
      <c r="Q89" s="2" t="s">
        <v>13</v>
      </c>
      <c r="R89" s="16" t="s">
        <v>506</v>
      </c>
      <c r="S89" s="2" t="s">
        <v>36</v>
      </c>
      <c r="T89" s="2" t="s">
        <v>10</v>
      </c>
      <c r="U89" s="2" t="s">
        <v>9</v>
      </c>
      <c r="W89" s="2" t="s">
        <v>508</v>
      </c>
      <c r="X89" s="2">
        <v>42083</v>
      </c>
      <c r="Y89" s="2">
        <v>7711897396</v>
      </c>
      <c r="Z89" s="4" t="s">
        <v>6</v>
      </c>
      <c r="AA89" s="2" t="s">
        <v>286</v>
      </c>
      <c r="AB89" s="14">
        <v>46179</v>
      </c>
      <c r="AC89" s="2" t="s">
        <v>507</v>
      </c>
      <c r="AD89" s="2" t="s">
        <v>3</v>
      </c>
      <c r="AE89" s="6">
        <v>7711897396</v>
      </c>
      <c r="AF89" s="16" t="s">
        <v>506</v>
      </c>
      <c r="AG89" s="1" t="s">
        <v>505</v>
      </c>
      <c r="AH89" s="2">
        <v>7711941421</v>
      </c>
      <c r="AI89" s="1" t="s">
        <v>21</v>
      </c>
    </row>
    <row r="90" spans="1:35" hidden="1" x14ac:dyDescent="0.2">
      <c r="A90" s="13">
        <f>SUBTOTAL(3,B$8:B90)</f>
        <v>17</v>
      </c>
      <c r="B90" s="2" t="s">
        <v>766</v>
      </c>
      <c r="C90" s="9" t="s">
        <v>765</v>
      </c>
      <c r="D90" s="5" t="s">
        <v>113</v>
      </c>
      <c r="E90" s="5" t="s">
        <v>216</v>
      </c>
      <c r="F90" s="8">
        <v>46157</v>
      </c>
      <c r="G90" s="8"/>
      <c r="H90" s="7">
        <v>700</v>
      </c>
      <c r="I90" s="7">
        <v>750</v>
      </c>
      <c r="J90" s="2" t="s">
        <v>17</v>
      </c>
      <c r="K90" s="2" t="s">
        <v>22</v>
      </c>
      <c r="L90" s="2" t="s">
        <v>15</v>
      </c>
      <c r="M90" s="2" t="s">
        <v>156</v>
      </c>
      <c r="N90" s="4">
        <v>42633</v>
      </c>
      <c r="O90" s="11">
        <f ca="1">(TODAY()-Tabla1[[#This Row],[Fecha de nacimiento]])/365</f>
        <v>10.084931506849315</v>
      </c>
      <c r="P90" s="5" t="s">
        <v>764</v>
      </c>
      <c r="Q90" s="5" t="s">
        <v>13</v>
      </c>
      <c r="R90" s="10" t="s">
        <v>627</v>
      </c>
      <c r="S90" s="2" t="s">
        <v>36</v>
      </c>
      <c r="T90" s="2" t="s">
        <v>10</v>
      </c>
      <c r="U90" s="2" t="s">
        <v>9</v>
      </c>
      <c r="V90" s="55" t="s">
        <v>763</v>
      </c>
      <c r="W90" s="1" t="s">
        <v>630</v>
      </c>
      <c r="X90" s="2">
        <v>42083</v>
      </c>
      <c r="Y90" s="2" t="s">
        <v>127</v>
      </c>
      <c r="Z90" s="2" t="s">
        <v>6</v>
      </c>
      <c r="AA90" s="2" t="s">
        <v>153</v>
      </c>
      <c r="AB90" s="4">
        <v>45972</v>
      </c>
      <c r="AC90" s="1" t="s">
        <v>628</v>
      </c>
      <c r="AD90" s="2" t="s">
        <v>3</v>
      </c>
      <c r="AE90" s="2">
        <v>7761014431</v>
      </c>
      <c r="AF90" s="16" t="s">
        <v>627</v>
      </c>
      <c r="AG90" s="3" t="s">
        <v>626</v>
      </c>
      <c r="AH90" s="2">
        <v>7711418032</v>
      </c>
      <c r="AI90" s="1" t="s">
        <v>54</v>
      </c>
    </row>
    <row r="91" spans="1:35" hidden="1" x14ac:dyDescent="0.2">
      <c r="A91" s="13">
        <f>SUBTOTAL(3,B$8:B91)</f>
        <v>17</v>
      </c>
      <c r="B91" s="2" t="s">
        <v>762</v>
      </c>
      <c r="C91" s="9" t="s">
        <v>670</v>
      </c>
      <c r="D91" s="5" t="s">
        <v>113</v>
      </c>
      <c r="E91" s="5" t="s">
        <v>490</v>
      </c>
      <c r="G91" s="5"/>
      <c r="H91" s="7">
        <v>350</v>
      </c>
      <c r="I91" s="7"/>
      <c r="J91" s="2" t="s">
        <v>105</v>
      </c>
      <c r="K91" s="2" t="s">
        <v>22</v>
      </c>
      <c r="L91" s="2" t="s">
        <v>39</v>
      </c>
      <c r="M91" s="2" t="s">
        <v>761</v>
      </c>
      <c r="N91" s="4">
        <v>42911</v>
      </c>
      <c r="O91" s="11">
        <f ca="1">(TODAY()-Tabla1[[#This Row],[Fecha de nacimiento]])/365</f>
        <v>9.3232876712328761</v>
      </c>
      <c r="P91" s="5" t="s">
        <v>10</v>
      </c>
      <c r="Q91" s="5" t="s">
        <v>13</v>
      </c>
      <c r="R91" s="10" t="s">
        <v>666</v>
      </c>
      <c r="S91" s="2" t="s">
        <v>36</v>
      </c>
      <c r="T91" s="2" t="s">
        <v>10</v>
      </c>
      <c r="U91" s="2" t="s">
        <v>9</v>
      </c>
      <c r="V91" s="2" t="s">
        <v>669</v>
      </c>
      <c r="W91" s="1" t="s">
        <v>668</v>
      </c>
      <c r="X91" s="2">
        <v>42083</v>
      </c>
      <c r="Y91" s="2">
        <v>7712249149</v>
      </c>
      <c r="Z91" s="2" t="s">
        <v>6</v>
      </c>
      <c r="AA91" s="2" t="s">
        <v>534</v>
      </c>
      <c r="AB91" s="4">
        <v>46028</v>
      </c>
      <c r="AC91" s="1" t="s">
        <v>667</v>
      </c>
      <c r="AD91" s="2" t="s">
        <v>3</v>
      </c>
      <c r="AE91" s="2">
        <v>7712249149</v>
      </c>
      <c r="AF91" s="16" t="s">
        <v>666</v>
      </c>
      <c r="AG91" s="3" t="s">
        <v>665</v>
      </c>
      <c r="AH91" s="2">
        <v>7717732516</v>
      </c>
      <c r="AI91" s="1" t="s">
        <v>614</v>
      </c>
    </row>
    <row r="92" spans="1:35" hidden="1" x14ac:dyDescent="0.2">
      <c r="A92" s="13">
        <f>SUBTOTAL(3,B$8:B92)</f>
        <v>17</v>
      </c>
      <c r="B92" s="2" t="s">
        <v>760</v>
      </c>
      <c r="C92" s="9" t="s">
        <v>759</v>
      </c>
      <c r="D92" s="2" t="s">
        <v>113</v>
      </c>
      <c r="E92" s="2" t="s">
        <v>490</v>
      </c>
      <c r="F92" s="12">
        <v>46045</v>
      </c>
      <c r="G92" s="2"/>
      <c r="H92" s="7">
        <v>600</v>
      </c>
      <c r="I92" s="7"/>
      <c r="J92" s="2" t="s">
        <v>17</v>
      </c>
      <c r="K92" s="2" t="s">
        <v>16</v>
      </c>
      <c r="L92" s="2" t="s">
        <v>39</v>
      </c>
      <c r="M92" s="2" t="s">
        <v>758</v>
      </c>
      <c r="N92" s="4">
        <v>41270</v>
      </c>
      <c r="O92" s="11">
        <f ca="1">(TODAY()-Tabla1[[#This Row],[Fecha de nacimiento]])/365</f>
        <v>13.819178082191781</v>
      </c>
      <c r="P92" s="5" t="s">
        <v>10</v>
      </c>
      <c r="Q92" s="5" t="s">
        <v>13</v>
      </c>
      <c r="R92" s="26" t="s">
        <v>754</v>
      </c>
      <c r="S92" s="5" t="s">
        <v>11</v>
      </c>
      <c r="T92" s="5" t="s">
        <v>10</v>
      </c>
      <c r="U92" s="5" t="s">
        <v>9</v>
      </c>
      <c r="V92" s="5" t="s">
        <v>757</v>
      </c>
      <c r="W92" s="3" t="s">
        <v>756</v>
      </c>
      <c r="X92" s="6">
        <v>42185</v>
      </c>
      <c r="Y92" s="6">
        <v>7711821502</v>
      </c>
      <c r="Z92" s="5" t="s">
        <v>6</v>
      </c>
      <c r="AA92" s="5" t="s">
        <v>153</v>
      </c>
      <c r="AB92" s="4">
        <v>45947</v>
      </c>
      <c r="AC92" s="3" t="s">
        <v>755</v>
      </c>
      <c r="AD92" s="5" t="s">
        <v>3</v>
      </c>
      <c r="AE92" s="6">
        <v>7711821502</v>
      </c>
      <c r="AF92" s="26" t="s">
        <v>754</v>
      </c>
      <c r="AG92" s="3" t="s">
        <v>753</v>
      </c>
      <c r="AH92" s="6">
        <v>7711008581</v>
      </c>
      <c r="AI92" s="1" t="s">
        <v>752</v>
      </c>
    </row>
    <row r="93" spans="1:35" x14ac:dyDescent="0.2">
      <c r="A93" s="13">
        <f>SUBTOTAL(3,B$8:B93)</f>
        <v>18</v>
      </c>
      <c r="B93" s="2" t="s">
        <v>751</v>
      </c>
      <c r="C93" s="9" t="s">
        <v>750</v>
      </c>
      <c r="D93" s="5" t="s">
        <v>18</v>
      </c>
      <c r="E93" s="5" t="s">
        <v>23</v>
      </c>
      <c r="H93" s="7">
        <v>800</v>
      </c>
      <c r="I93" s="7"/>
      <c r="J93" s="2" t="s">
        <v>17</v>
      </c>
      <c r="K93" s="2" t="s">
        <v>26</v>
      </c>
      <c r="N93" s="4"/>
      <c r="O93" s="11">
        <f ca="1">(TODAY()-Tabla1[[#This Row],[Fecha de nacimiento]])/365</f>
        <v>126.88767123287671</v>
      </c>
      <c r="U93" s="2"/>
      <c r="Z93" s="4" t="s">
        <v>6</v>
      </c>
      <c r="AA93" s="2"/>
      <c r="AB93" s="14">
        <v>46273</v>
      </c>
      <c r="AE93" s="6"/>
      <c r="AH93" s="2"/>
      <c r="AI93" s="1" t="s">
        <v>0</v>
      </c>
    </row>
    <row r="94" spans="1:35" hidden="1" x14ac:dyDescent="0.2">
      <c r="A94" s="13">
        <f>SUBTOTAL(3,B$8:B94)</f>
        <v>18</v>
      </c>
      <c r="B94" s="2" t="s">
        <v>749</v>
      </c>
      <c r="C94" s="9" t="s">
        <v>748</v>
      </c>
      <c r="D94" s="2" t="s">
        <v>113</v>
      </c>
      <c r="F94" s="12">
        <v>46297</v>
      </c>
      <c r="G94" s="2"/>
      <c r="H94" s="7">
        <v>700</v>
      </c>
      <c r="I94" s="7">
        <v>800</v>
      </c>
      <c r="J94" s="2" t="s">
        <v>17</v>
      </c>
      <c r="K94" s="2" t="s">
        <v>22</v>
      </c>
      <c r="L94" s="2" t="s">
        <v>15</v>
      </c>
      <c r="M94" s="2" t="s">
        <v>353</v>
      </c>
      <c r="N94" s="4">
        <v>41958</v>
      </c>
      <c r="O94" s="11">
        <f ca="1">(TODAY()-Tabla1[[#This Row],[Fecha de nacimiento]])/365</f>
        <v>11.934246575342465</v>
      </c>
      <c r="P94" s="5" t="s">
        <v>231</v>
      </c>
      <c r="Q94" s="5" t="s">
        <v>13</v>
      </c>
      <c r="R94" s="26" t="s">
        <v>348</v>
      </c>
      <c r="S94" s="5" t="s">
        <v>36</v>
      </c>
      <c r="T94" s="5" t="s">
        <v>10</v>
      </c>
      <c r="U94" s="5" t="s">
        <v>9</v>
      </c>
      <c r="V94" s="5" t="s">
        <v>747</v>
      </c>
      <c r="W94" s="3" t="s">
        <v>351</v>
      </c>
      <c r="X94" s="6">
        <v>42083</v>
      </c>
      <c r="Y94" s="6">
        <v>7713257548</v>
      </c>
      <c r="Z94" s="5" t="s">
        <v>6</v>
      </c>
      <c r="AA94" s="5" t="s">
        <v>143</v>
      </c>
      <c r="AB94" s="4">
        <v>45926</v>
      </c>
      <c r="AC94" s="3" t="s">
        <v>350</v>
      </c>
      <c r="AD94" s="5" t="s">
        <v>349</v>
      </c>
      <c r="AE94" s="6">
        <v>7711276905</v>
      </c>
      <c r="AF94" s="26" t="s">
        <v>348</v>
      </c>
      <c r="AG94" s="3" t="s">
        <v>347</v>
      </c>
      <c r="AH94" s="6">
        <v>7713257548</v>
      </c>
      <c r="AI94" s="1" t="s">
        <v>614</v>
      </c>
    </row>
    <row r="95" spans="1:35" x14ac:dyDescent="0.2">
      <c r="A95" s="13">
        <f>SUBTOTAL(3,B$8:B95)</f>
        <v>19</v>
      </c>
      <c r="B95" s="2" t="s">
        <v>746</v>
      </c>
      <c r="C95" s="9" t="s">
        <v>745</v>
      </c>
      <c r="D95" s="5" t="s">
        <v>18</v>
      </c>
      <c r="E95" s="5" t="s">
        <v>23</v>
      </c>
      <c r="H95" s="7">
        <v>800</v>
      </c>
      <c r="I95" s="7"/>
      <c r="J95" s="2" t="s">
        <v>17</v>
      </c>
      <c r="K95" s="2" t="s">
        <v>26</v>
      </c>
      <c r="N95" s="4"/>
      <c r="O95" s="11">
        <f ca="1">(TODAY()-Tabla1[[#This Row],[Fecha de nacimiento]])/365</f>
        <v>126.88767123287671</v>
      </c>
      <c r="U95" s="2"/>
      <c r="Z95" s="4" t="s">
        <v>6</v>
      </c>
      <c r="AA95" s="2"/>
      <c r="AB95" s="14">
        <v>46275</v>
      </c>
      <c r="AE95" s="6"/>
      <c r="AH95" s="2"/>
      <c r="AI95" s="1" t="s">
        <v>21</v>
      </c>
    </row>
    <row r="96" spans="1:35" hidden="1" x14ac:dyDescent="0.2">
      <c r="A96" s="13">
        <f>SUBTOTAL(3,B$8:B96)</f>
        <v>19</v>
      </c>
      <c r="B96" s="2" t="s">
        <v>744</v>
      </c>
      <c r="C96" s="9" t="s">
        <v>743</v>
      </c>
      <c r="D96" s="5" t="s">
        <v>113</v>
      </c>
      <c r="E96" s="5" t="s">
        <v>742</v>
      </c>
      <c r="F96" s="8">
        <v>46014</v>
      </c>
      <c r="G96" s="5"/>
      <c r="H96" s="7">
        <v>700</v>
      </c>
      <c r="I96" s="7"/>
      <c r="J96" s="2" t="s">
        <v>17</v>
      </c>
      <c r="K96" s="2" t="s">
        <v>26</v>
      </c>
      <c r="L96" s="2" t="s">
        <v>258</v>
      </c>
      <c r="M96" s="2" t="s">
        <v>741</v>
      </c>
      <c r="N96" s="4">
        <v>39138</v>
      </c>
      <c r="O96" s="11">
        <f ca="1">(TODAY()-Tabla1[[#This Row],[Fecha de nacimiento]])/365</f>
        <v>19.660273972602738</v>
      </c>
      <c r="P96" s="5" t="s">
        <v>10</v>
      </c>
      <c r="Q96" s="5" t="s">
        <v>13</v>
      </c>
      <c r="R96" s="10" t="s">
        <v>740</v>
      </c>
      <c r="S96" s="2" t="s">
        <v>11</v>
      </c>
      <c r="T96" s="2" t="s">
        <v>10</v>
      </c>
      <c r="U96" s="2" t="s">
        <v>9</v>
      </c>
      <c r="V96" s="2" t="s">
        <v>739</v>
      </c>
      <c r="W96" s="1" t="s">
        <v>738</v>
      </c>
      <c r="X96" s="2">
        <v>42111</v>
      </c>
      <c r="Y96" s="2">
        <v>7713708250</v>
      </c>
      <c r="Z96" s="2" t="s">
        <v>6</v>
      </c>
      <c r="AA96" s="2" t="s">
        <v>78</v>
      </c>
      <c r="AB96" s="4">
        <v>45992</v>
      </c>
      <c r="AC96" s="1" t="s">
        <v>737</v>
      </c>
      <c r="AD96" s="2" t="s">
        <v>118</v>
      </c>
      <c r="AE96" s="2">
        <v>7714022563</v>
      </c>
      <c r="AF96" s="16" t="s">
        <v>736</v>
      </c>
      <c r="AG96" s="3" t="s">
        <v>735</v>
      </c>
      <c r="AH96" s="2">
        <v>7711267907</v>
      </c>
      <c r="AI96" s="1" t="s">
        <v>367</v>
      </c>
    </row>
    <row r="97" spans="1:35" hidden="1" x14ac:dyDescent="0.2">
      <c r="A97" s="13">
        <f>SUBTOTAL(3,B$8:B97)</f>
        <v>19</v>
      </c>
      <c r="B97" s="2" t="s">
        <v>734</v>
      </c>
      <c r="C97" s="9" t="s">
        <v>733</v>
      </c>
      <c r="D97" s="5" t="s">
        <v>113</v>
      </c>
      <c r="E97" s="5" t="s">
        <v>23</v>
      </c>
      <c r="F97" s="8">
        <v>46204</v>
      </c>
      <c r="G97" s="5"/>
      <c r="H97" s="7">
        <v>750</v>
      </c>
      <c r="I97" s="7">
        <v>750</v>
      </c>
      <c r="J97" s="2" t="s">
        <v>17</v>
      </c>
      <c r="K97" s="2" t="s">
        <v>308</v>
      </c>
      <c r="L97" s="2"/>
      <c r="M97" s="4" t="s">
        <v>732</v>
      </c>
      <c r="N97" s="4">
        <v>40094</v>
      </c>
      <c r="O97" s="11">
        <f ca="1">(TODAY()-Tabla1[[#This Row],[Fecha de nacimiento]])/365</f>
        <v>17.041095890410958</v>
      </c>
      <c r="P97" s="5" t="s">
        <v>59</v>
      </c>
      <c r="Q97" s="5" t="s">
        <v>13</v>
      </c>
      <c r="R97" s="16" t="s">
        <v>731</v>
      </c>
      <c r="S97" s="2" t="s">
        <v>36</v>
      </c>
      <c r="T97" s="2" t="s">
        <v>10</v>
      </c>
      <c r="U97" s="2" t="s">
        <v>9</v>
      </c>
      <c r="V97" s="2" t="s">
        <v>730</v>
      </c>
      <c r="W97" s="2" t="s">
        <v>729</v>
      </c>
      <c r="X97" s="2">
        <v>42185</v>
      </c>
      <c r="Y97" s="2">
        <v>7712466709</v>
      </c>
      <c r="Z97" s="2" t="s">
        <v>6</v>
      </c>
      <c r="AA97" s="2" t="s">
        <v>648</v>
      </c>
      <c r="AB97" s="14">
        <v>46114</v>
      </c>
      <c r="AC97" s="1" t="s">
        <v>647</v>
      </c>
      <c r="AD97" s="2" t="s">
        <v>3</v>
      </c>
      <c r="AE97" s="2">
        <v>7711818902</v>
      </c>
      <c r="AF97" s="16" t="s">
        <v>646</v>
      </c>
      <c r="AG97" s="3" t="s">
        <v>645</v>
      </c>
      <c r="AH97" s="2">
        <v>7711240255</v>
      </c>
      <c r="AI97" s="1" t="s">
        <v>367</v>
      </c>
    </row>
    <row r="98" spans="1:35" x14ac:dyDescent="0.2">
      <c r="A98" s="13">
        <f>SUBTOTAL(3,B$8:B98)</f>
        <v>20</v>
      </c>
      <c r="B98" s="28" t="s">
        <v>728</v>
      </c>
      <c r="C98" s="27" t="s">
        <v>727</v>
      </c>
      <c r="D98" s="5" t="s">
        <v>18</v>
      </c>
      <c r="E98" s="5" t="s">
        <v>23</v>
      </c>
      <c r="H98" s="7">
        <v>900</v>
      </c>
      <c r="I98" s="7"/>
      <c r="J98" s="2" t="s">
        <v>17</v>
      </c>
      <c r="K98" s="2" t="s">
        <v>308</v>
      </c>
      <c r="N98" s="4">
        <v>37182</v>
      </c>
      <c r="O98" s="11">
        <f ca="1">(TODAY()-Tabla1[[#This Row],[Fecha de nacimiento]])/365</f>
        <v>25.019178082191782</v>
      </c>
      <c r="Q98" s="2" t="s">
        <v>13</v>
      </c>
      <c r="R98" s="2" t="s">
        <v>726</v>
      </c>
      <c r="S98" s="2" t="s">
        <v>11</v>
      </c>
      <c r="T98" s="2" t="s">
        <v>10</v>
      </c>
      <c r="U98" s="2" t="s">
        <v>9</v>
      </c>
      <c r="V98" s="2" t="s">
        <v>725</v>
      </c>
      <c r="W98" s="2" t="s">
        <v>724</v>
      </c>
      <c r="Y98" s="2">
        <v>7713593397</v>
      </c>
      <c r="Z98" s="4" t="s">
        <v>384</v>
      </c>
      <c r="AA98" s="2" t="s">
        <v>383</v>
      </c>
      <c r="AB98" s="14">
        <v>46223</v>
      </c>
      <c r="AC98" s="2" t="s">
        <v>723</v>
      </c>
      <c r="AD98" s="2" t="s">
        <v>3</v>
      </c>
      <c r="AE98" s="6">
        <v>77337360893</v>
      </c>
      <c r="AH98" s="2"/>
      <c r="AI98" s="1" t="s">
        <v>21</v>
      </c>
    </row>
    <row r="99" spans="1:35" x14ac:dyDescent="0.2">
      <c r="A99" s="13">
        <f>SUBTOTAL(3,B$8:B99)</f>
        <v>21</v>
      </c>
      <c r="B99" s="28" t="s">
        <v>722</v>
      </c>
      <c r="C99" s="27" t="s">
        <v>721</v>
      </c>
      <c r="D99" s="5" t="s">
        <v>18</v>
      </c>
      <c r="E99" s="5" t="s">
        <v>23</v>
      </c>
      <c r="H99" s="7">
        <v>900</v>
      </c>
      <c r="I99" s="7"/>
      <c r="J99" s="2" t="s">
        <v>17</v>
      </c>
      <c r="K99" s="2" t="s">
        <v>308</v>
      </c>
      <c r="N99" s="4">
        <v>38287</v>
      </c>
      <c r="O99" s="11">
        <f ca="1">(TODAY()-Tabla1[[#This Row],[Fecha de nacimiento]])/365</f>
        <v>21.991780821917807</v>
      </c>
      <c r="P99" s="5" t="s">
        <v>10</v>
      </c>
      <c r="Q99" s="2" t="s">
        <v>13</v>
      </c>
      <c r="R99" s="2" t="s">
        <v>720</v>
      </c>
      <c r="S99" s="2" t="s">
        <v>11</v>
      </c>
      <c r="T99" s="2" t="s">
        <v>10</v>
      </c>
      <c r="U99" s="2" t="s">
        <v>9</v>
      </c>
      <c r="V99" s="2" t="s">
        <v>719</v>
      </c>
      <c r="W99" s="2" t="s">
        <v>718</v>
      </c>
      <c r="X99" s="2">
        <v>42765</v>
      </c>
      <c r="Y99" s="2">
        <v>7711735843</v>
      </c>
      <c r="Z99" s="4" t="s">
        <v>384</v>
      </c>
      <c r="AA99" s="2" t="s">
        <v>717</v>
      </c>
      <c r="AB99" s="14">
        <v>46226</v>
      </c>
      <c r="AC99" s="2" t="s">
        <v>716</v>
      </c>
      <c r="AD99" s="2" t="s">
        <v>118</v>
      </c>
      <c r="AE99" s="6">
        <v>7737364186</v>
      </c>
      <c r="AH99" s="2"/>
      <c r="AI99" s="1" t="s">
        <v>21</v>
      </c>
    </row>
    <row r="100" spans="1:35" hidden="1" x14ac:dyDescent="0.2">
      <c r="A100" s="13">
        <f>SUBTOTAL(3,B$8:B100)</f>
        <v>21</v>
      </c>
      <c r="B100" s="2" t="s">
        <v>715</v>
      </c>
      <c r="C100" s="9" t="s">
        <v>714</v>
      </c>
      <c r="D100" s="2" t="s">
        <v>113</v>
      </c>
      <c r="E100" s="2" t="s">
        <v>490</v>
      </c>
      <c r="F100" s="12"/>
      <c r="G100" s="2"/>
      <c r="H100" s="7">
        <v>600</v>
      </c>
      <c r="I100" s="7"/>
      <c r="J100" s="2" t="s">
        <v>17</v>
      </c>
      <c r="K100" s="2" t="s">
        <v>26</v>
      </c>
      <c r="L100" s="2" t="s">
        <v>258</v>
      </c>
      <c r="M100" s="2" t="s">
        <v>713</v>
      </c>
      <c r="N100" s="4">
        <v>38571</v>
      </c>
      <c r="O100" s="11">
        <f ca="1">(TODAY()-Tabla1[[#This Row],[Fecha de nacimiento]])/365</f>
        <v>21.213698630136985</v>
      </c>
      <c r="P100" s="5" t="s">
        <v>10</v>
      </c>
      <c r="Q100" s="5" t="s">
        <v>13</v>
      </c>
      <c r="R100" s="26" t="s">
        <v>712</v>
      </c>
      <c r="S100" s="5" t="s">
        <v>11</v>
      </c>
      <c r="T100" s="5" t="s">
        <v>10</v>
      </c>
      <c r="U100" s="5" t="s">
        <v>9</v>
      </c>
      <c r="V100" s="5" t="s">
        <v>711</v>
      </c>
      <c r="W100" s="3" t="s">
        <v>710</v>
      </c>
      <c r="X100" s="6">
        <v>42084</v>
      </c>
      <c r="Y100" s="6">
        <v>5521409996</v>
      </c>
      <c r="Z100" s="5" t="s">
        <v>384</v>
      </c>
      <c r="AA100" s="5" t="s">
        <v>601</v>
      </c>
      <c r="AB100" s="4">
        <v>45839</v>
      </c>
      <c r="AC100" s="3" t="s">
        <v>709</v>
      </c>
      <c r="AD100" s="5" t="s">
        <v>118</v>
      </c>
      <c r="AE100" s="6">
        <v>7711439113</v>
      </c>
      <c r="AF100" s="5"/>
      <c r="AG100" s="3"/>
      <c r="AH100" s="6"/>
      <c r="AI100" s="1" t="s">
        <v>708</v>
      </c>
    </row>
    <row r="101" spans="1:35" x14ac:dyDescent="0.2">
      <c r="A101" s="13">
        <f>SUBTOTAL(3,B$8:B101)</f>
        <v>22</v>
      </c>
      <c r="B101" s="33" t="s">
        <v>707</v>
      </c>
      <c r="C101" s="32" t="s">
        <v>706</v>
      </c>
      <c r="D101" s="5" t="s">
        <v>18</v>
      </c>
      <c r="E101" s="5" t="s">
        <v>23</v>
      </c>
      <c r="H101" s="7">
        <v>750</v>
      </c>
      <c r="I101" s="7"/>
      <c r="J101" s="2" t="s">
        <v>17</v>
      </c>
      <c r="K101" s="2" t="s">
        <v>22</v>
      </c>
      <c r="N101" s="4"/>
      <c r="O101" s="11">
        <f ca="1">(TODAY()-Tabla1[[#This Row],[Fecha de nacimiento]])/365</f>
        <v>126.88767123287671</v>
      </c>
      <c r="U101" s="2"/>
      <c r="Z101" s="4" t="s">
        <v>6</v>
      </c>
      <c r="AA101" s="2"/>
      <c r="AB101" s="14">
        <v>46308</v>
      </c>
      <c r="AE101" s="6"/>
      <c r="AH101" s="2"/>
      <c r="AI101" s="1" t="s">
        <v>21</v>
      </c>
    </row>
    <row r="102" spans="1:35" ht="25.25" hidden="1" customHeight="1" x14ac:dyDescent="0.2">
      <c r="A102" s="13">
        <f>SUBTOTAL(3,B$8:B102)</f>
        <v>22</v>
      </c>
      <c r="B102" s="2" t="s">
        <v>705</v>
      </c>
      <c r="C102" s="9" t="s">
        <v>704</v>
      </c>
      <c r="D102" s="2" t="s">
        <v>555</v>
      </c>
      <c r="E102" s="2" t="s">
        <v>337</v>
      </c>
      <c r="F102" s="12">
        <v>46218</v>
      </c>
      <c r="G102" s="2"/>
      <c r="H102" s="7">
        <v>700</v>
      </c>
      <c r="I102" s="7">
        <v>800</v>
      </c>
      <c r="J102" s="2" t="s">
        <v>17</v>
      </c>
      <c r="K102" s="2" t="s">
        <v>22</v>
      </c>
      <c r="L102" s="2" t="s">
        <v>15</v>
      </c>
      <c r="M102" s="2" t="s">
        <v>353</v>
      </c>
      <c r="N102" s="4">
        <v>43267</v>
      </c>
      <c r="O102" s="11">
        <f ca="1">(TODAY()-Tabla1[[#This Row],[Fecha de nacimiento]])/365</f>
        <v>8.3479452054794514</v>
      </c>
      <c r="P102" s="5" t="s">
        <v>703</v>
      </c>
      <c r="Q102" s="5" t="s">
        <v>13</v>
      </c>
      <c r="R102" s="26" t="s">
        <v>698</v>
      </c>
      <c r="S102" s="5" t="s">
        <v>36</v>
      </c>
      <c r="T102" s="5" t="s">
        <v>10</v>
      </c>
      <c r="U102" s="5" t="s">
        <v>9</v>
      </c>
      <c r="V102" s="5" t="s">
        <v>702</v>
      </c>
      <c r="W102" s="3" t="s">
        <v>701</v>
      </c>
      <c r="X102" s="6">
        <v>42083</v>
      </c>
      <c r="Y102" s="6">
        <v>7297055150</v>
      </c>
      <c r="Z102" s="5" t="s">
        <v>6</v>
      </c>
      <c r="AA102" s="5" t="s">
        <v>700</v>
      </c>
      <c r="AB102" s="4">
        <v>45927</v>
      </c>
      <c r="AC102" s="3" t="s">
        <v>699</v>
      </c>
      <c r="AD102" s="5" t="s">
        <v>3</v>
      </c>
      <c r="AE102" s="6">
        <v>7297055150</v>
      </c>
      <c r="AF102" s="26" t="s">
        <v>698</v>
      </c>
      <c r="AG102" s="3" t="s">
        <v>697</v>
      </c>
      <c r="AH102" s="6">
        <v>2283045237</v>
      </c>
    </row>
    <row r="103" spans="1:35" ht="18" customHeight="1" x14ac:dyDescent="0.2">
      <c r="A103" s="13">
        <f>SUBTOTAL(3,B$8:B103)</f>
        <v>23</v>
      </c>
      <c r="B103" s="33" t="s">
        <v>696</v>
      </c>
      <c r="C103" s="32" t="s">
        <v>695</v>
      </c>
      <c r="D103" s="5" t="s">
        <v>18</v>
      </c>
      <c r="E103" s="5" t="s">
        <v>23</v>
      </c>
      <c r="H103" s="7">
        <v>800</v>
      </c>
      <c r="I103" s="7"/>
      <c r="J103" s="2" t="s">
        <v>17</v>
      </c>
      <c r="K103" s="2" t="s">
        <v>16</v>
      </c>
      <c r="N103" s="4"/>
      <c r="O103" s="11">
        <f ca="1">(TODAY()-Tabla1[[#This Row],[Fecha de nacimiento]])/365</f>
        <v>126.88767123287671</v>
      </c>
      <c r="U103" s="2"/>
      <c r="Z103" s="4" t="s">
        <v>6</v>
      </c>
      <c r="AA103" s="2"/>
      <c r="AB103" s="14">
        <v>46305</v>
      </c>
      <c r="AE103" s="6"/>
      <c r="AH103" s="2"/>
      <c r="AI103" s="1" t="s">
        <v>21</v>
      </c>
    </row>
    <row r="104" spans="1:35" ht="19.25" hidden="1" customHeight="1" x14ac:dyDescent="0.2">
      <c r="A104" s="13">
        <f>SUBTOTAL(3,B$8:B104)</f>
        <v>23</v>
      </c>
      <c r="B104" s="2" t="s">
        <v>694</v>
      </c>
      <c r="C104" s="9" t="s">
        <v>693</v>
      </c>
      <c r="D104" s="5" t="s">
        <v>113</v>
      </c>
      <c r="E104" s="5"/>
      <c r="G104" s="5"/>
      <c r="H104" s="7" t="s">
        <v>618</v>
      </c>
      <c r="I104" s="7" t="s">
        <v>618</v>
      </c>
      <c r="J104" s="2" t="s">
        <v>17</v>
      </c>
      <c r="K104" s="2" t="s">
        <v>26</v>
      </c>
      <c r="L104" s="2" t="s">
        <v>194</v>
      </c>
      <c r="M104" s="2" t="s">
        <v>257</v>
      </c>
      <c r="N104" s="4">
        <v>23298</v>
      </c>
      <c r="O104" s="11">
        <f ca="1">(TODAY()-Tabla1[[#This Row],[Fecha de nacimiento]])/365</f>
        <v>63.057534246575344</v>
      </c>
      <c r="P104" s="5" t="s">
        <v>91</v>
      </c>
      <c r="Q104" s="5" t="s">
        <v>13</v>
      </c>
      <c r="R104" s="54" t="s">
        <v>692</v>
      </c>
      <c r="S104" s="2" t="s">
        <v>11</v>
      </c>
      <c r="T104" s="2" t="s">
        <v>10</v>
      </c>
      <c r="U104" s="2" t="s">
        <v>9</v>
      </c>
      <c r="W104" s="1" t="s">
        <v>691</v>
      </c>
      <c r="X104" s="2">
        <v>42083</v>
      </c>
      <c r="Y104" s="2">
        <v>7715666466</v>
      </c>
      <c r="Z104" s="2" t="s">
        <v>6</v>
      </c>
      <c r="AA104" s="2" t="s">
        <v>252</v>
      </c>
      <c r="AB104" s="4">
        <v>45825</v>
      </c>
      <c r="AC104" s="1" t="s">
        <v>690</v>
      </c>
      <c r="AD104" s="2" t="s">
        <v>582</v>
      </c>
      <c r="AE104" s="2">
        <v>7713542244</v>
      </c>
      <c r="AF104" s="16" t="s">
        <v>689</v>
      </c>
      <c r="AG104" s="3" t="s">
        <v>46</v>
      </c>
      <c r="AH104" s="2" t="s">
        <v>46</v>
      </c>
      <c r="AI104" s="1" t="s">
        <v>84</v>
      </c>
    </row>
    <row r="105" spans="1:35" x14ac:dyDescent="0.2">
      <c r="A105" s="13">
        <f>SUBTOTAL(3,B$8:B105)</f>
        <v>24</v>
      </c>
      <c r="B105" s="2" t="s">
        <v>688</v>
      </c>
      <c r="C105" s="9" t="s">
        <v>687</v>
      </c>
      <c r="D105" s="5" t="s">
        <v>18</v>
      </c>
      <c r="E105" s="5" t="s">
        <v>23</v>
      </c>
      <c r="H105" s="7">
        <v>800</v>
      </c>
      <c r="I105" s="7"/>
      <c r="J105" s="2" t="s">
        <v>17</v>
      </c>
      <c r="K105" s="2" t="s">
        <v>16</v>
      </c>
      <c r="N105" s="4"/>
      <c r="O105" s="11">
        <f ca="1">(TODAY()-Tabla1[[#This Row],[Fecha de nacimiento]])/365</f>
        <v>126.88767123287671</v>
      </c>
      <c r="U105" s="2"/>
      <c r="Z105" s="4" t="s">
        <v>6</v>
      </c>
      <c r="AA105" s="2"/>
      <c r="AB105" s="14">
        <v>46266</v>
      </c>
      <c r="AE105" s="6"/>
      <c r="AH105" s="2"/>
      <c r="AI105" s="1" t="s">
        <v>21</v>
      </c>
    </row>
    <row r="106" spans="1:35" hidden="1" x14ac:dyDescent="0.2">
      <c r="A106" s="13">
        <f>SUBTOTAL(3,B$8:B106)</f>
        <v>24</v>
      </c>
      <c r="B106" s="2" t="s">
        <v>686</v>
      </c>
      <c r="C106" s="9" t="s">
        <v>685</v>
      </c>
      <c r="D106" s="5" t="s">
        <v>113</v>
      </c>
      <c r="E106" s="5" t="s">
        <v>490</v>
      </c>
      <c r="F106" s="8">
        <v>46143</v>
      </c>
      <c r="G106" s="8"/>
      <c r="H106" s="7">
        <v>750</v>
      </c>
      <c r="I106" s="7">
        <v>750</v>
      </c>
      <c r="J106" s="2" t="s">
        <v>17</v>
      </c>
      <c r="K106" s="2" t="s">
        <v>22</v>
      </c>
      <c r="L106" s="2" t="s">
        <v>15</v>
      </c>
      <c r="M106" s="2" t="s">
        <v>328</v>
      </c>
      <c r="N106" s="4">
        <v>42077</v>
      </c>
      <c r="O106" s="11">
        <f ca="1">(TODAY()-Tabla1[[#This Row],[Fecha de nacimiento]])/365</f>
        <v>11.608219178082193</v>
      </c>
      <c r="P106" s="5" t="s">
        <v>59</v>
      </c>
      <c r="Q106" s="5" t="s">
        <v>13</v>
      </c>
      <c r="R106" s="10" t="s">
        <v>681</v>
      </c>
      <c r="S106" s="2" t="s">
        <v>11</v>
      </c>
      <c r="T106" s="2" t="s">
        <v>10</v>
      </c>
      <c r="U106" s="2" t="s">
        <v>9</v>
      </c>
      <c r="V106" s="53" t="s">
        <v>684</v>
      </c>
      <c r="W106" s="1" t="s">
        <v>683</v>
      </c>
      <c r="X106" s="2">
        <v>42084</v>
      </c>
      <c r="Y106" s="2">
        <v>7712903950</v>
      </c>
      <c r="Z106" s="2" t="s">
        <v>6</v>
      </c>
      <c r="AA106" s="2" t="s">
        <v>5</v>
      </c>
      <c r="AB106" s="4">
        <v>46083</v>
      </c>
      <c r="AC106" s="1" t="s">
        <v>682</v>
      </c>
      <c r="AD106" s="2" t="s">
        <v>3</v>
      </c>
      <c r="AE106" s="2">
        <v>7712903950</v>
      </c>
      <c r="AF106" s="16" t="s">
        <v>681</v>
      </c>
      <c r="AG106" s="3" t="s">
        <v>680</v>
      </c>
      <c r="AH106" s="53">
        <v>5545951996</v>
      </c>
    </row>
    <row r="107" spans="1:35" x14ac:dyDescent="0.2">
      <c r="A107" s="13">
        <f>SUBTOTAL(3,B$8:B107)</f>
        <v>25</v>
      </c>
      <c r="B107" s="2" t="s">
        <v>679</v>
      </c>
      <c r="C107" s="9" t="s">
        <v>678</v>
      </c>
      <c r="D107" s="5" t="s">
        <v>18</v>
      </c>
      <c r="E107" s="5" t="s">
        <v>23</v>
      </c>
      <c r="H107" s="7">
        <v>750</v>
      </c>
      <c r="I107" s="7"/>
      <c r="J107" s="2" t="s">
        <v>17</v>
      </c>
      <c r="K107" s="2" t="s">
        <v>16</v>
      </c>
      <c r="N107" s="4"/>
      <c r="O107" s="11">
        <f ca="1">(TODAY()-Tabla1[[#This Row],[Fecha de nacimiento]])/365</f>
        <v>126.88767123287671</v>
      </c>
      <c r="U107" s="2"/>
      <c r="Z107" s="4" t="s">
        <v>6</v>
      </c>
      <c r="AA107" s="2"/>
      <c r="AB107" s="14">
        <v>46286</v>
      </c>
      <c r="AE107" s="6"/>
      <c r="AH107" s="2"/>
      <c r="AI107" s="1" t="s">
        <v>21</v>
      </c>
    </row>
    <row r="108" spans="1:35" x14ac:dyDescent="0.2">
      <c r="A108" s="13">
        <f>SUBTOTAL(3,B$8:B108)</f>
        <v>26</v>
      </c>
      <c r="B108" s="2" t="s">
        <v>677</v>
      </c>
      <c r="C108" s="44" t="s">
        <v>676</v>
      </c>
      <c r="D108" s="5" t="s">
        <v>18</v>
      </c>
      <c r="E108" s="5" t="s">
        <v>23</v>
      </c>
      <c r="H108" s="7">
        <v>800</v>
      </c>
      <c r="I108" s="7"/>
      <c r="J108" s="2" t="s">
        <v>17</v>
      </c>
      <c r="K108" s="2" t="s">
        <v>308</v>
      </c>
      <c r="L108" s="4" t="s">
        <v>307</v>
      </c>
      <c r="M108" s="6" t="s">
        <v>306</v>
      </c>
      <c r="N108" s="4">
        <v>36620</v>
      </c>
      <c r="O108" s="11">
        <f ca="1">(TODAY()-Tabla1[[#This Row],[Fecha de nacimiento]])/365</f>
        <v>26.55890410958904</v>
      </c>
      <c r="P108" s="5" t="s">
        <v>10</v>
      </c>
      <c r="Q108" s="5" t="s">
        <v>13</v>
      </c>
      <c r="R108" s="16" t="s">
        <v>675</v>
      </c>
      <c r="S108" s="2" t="s">
        <v>11</v>
      </c>
      <c r="T108" s="2" t="s">
        <v>10</v>
      </c>
      <c r="U108" s="2" t="s">
        <v>9</v>
      </c>
      <c r="V108" s="2" t="s">
        <v>674</v>
      </c>
      <c r="W108" s="2" t="s">
        <v>673</v>
      </c>
      <c r="X108" s="2">
        <v>42186</v>
      </c>
      <c r="Y108" s="2">
        <v>7711436367</v>
      </c>
      <c r="Z108" s="4" t="s">
        <v>6</v>
      </c>
      <c r="AA108" s="2" t="s">
        <v>302</v>
      </c>
      <c r="AB108" s="14">
        <v>46150</v>
      </c>
      <c r="AC108" s="2" t="s">
        <v>672</v>
      </c>
      <c r="AD108" s="2" t="s">
        <v>3</v>
      </c>
      <c r="AE108" s="6">
        <v>7712447788</v>
      </c>
      <c r="AF108" s="16" t="s">
        <v>305</v>
      </c>
      <c r="AG108" s="1" t="s">
        <v>301</v>
      </c>
      <c r="AH108" s="2">
        <v>7711869491</v>
      </c>
      <c r="AI108" s="1" t="s">
        <v>21</v>
      </c>
    </row>
    <row r="109" spans="1:35" x14ac:dyDescent="0.2">
      <c r="A109" s="13">
        <f>SUBTOTAL(3,B$8:B109)</f>
        <v>27</v>
      </c>
      <c r="B109" s="52" t="s">
        <v>671</v>
      </c>
      <c r="C109" s="51" t="s">
        <v>670</v>
      </c>
      <c r="D109" s="50" t="s">
        <v>18</v>
      </c>
      <c r="E109" s="50" t="s">
        <v>216</v>
      </c>
      <c r="F109" s="12">
        <v>46207</v>
      </c>
      <c r="G109" s="5"/>
      <c r="H109" s="7">
        <v>700</v>
      </c>
      <c r="I109" s="7">
        <v>800</v>
      </c>
      <c r="J109" s="2" t="s">
        <v>17</v>
      </c>
      <c r="K109" s="2" t="s">
        <v>22</v>
      </c>
      <c r="L109" s="2" t="s">
        <v>15</v>
      </c>
      <c r="M109" s="2" t="s">
        <v>336</v>
      </c>
      <c r="N109" s="4">
        <v>42911</v>
      </c>
      <c r="O109" s="11">
        <f ca="1">(TODAY()-Tabla1[[#This Row],[Fecha de nacimiento]])/365</f>
        <v>9.3232876712328761</v>
      </c>
      <c r="P109" s="5" t="s">
        <v>10</v>
      </c>
      <c r="Q109" s="5" t="s">
        <v>13</v>
      </c>
      <c r="R109" s="10" t="s">
        <v>666</v>
      </c>
      <c r="S109" s="2" t="s">
        <v>36</v>
      </c>
      <c r="T109" s="2" t="s">
        <v>10</v>
      </c>
      <c r="U109" s="2" t="s">
        <v>9</v>
      </c>
      <c r="V109" s="2" t="s">
        <v>669</v>
      </c>
      <c r="W109" s="1" t="s">
        <v>668</v>
      </c>
      <c r="X109" s="2">
        <v>42083</v>
      </c>
      <c r="Y109" s="2">
        <v>7712249149</v>
      </c>
      <c r="Z109" s="2" t="s">
        <v>6</v>
      </c>
      <c r="AA109" s="2" t="s">
        <v>334</v>
      </c>
      <c r="AB109" s="4">
        <v>46002</v>
      </c>
      <c r="AC109" s="1" t="s">
        <v>667</v>
      </c>
      <c r="AD109" s="2" t="s">
        <v>3</v>
      </c>
      <c r="AE109" s="2">
        <v>7712249149</v>
      </c>
      <c r="AF109" s="16" t="s">
        <v>666</v>
      </c>
      <c r="AG109" s="3" t="s">
        <v>665</v>
      </c>
      <c r="AH109" s="2">
        <v>7717732516</v>
      </c>
      <c r="AI109" s="1" t="s">
        <v>614</v>
      </c>
    </row>
    <row r="110" spans="1:35" hidden="1" x14ac:dyDescent="0.2">
      <c r="A110" s="13">
        <f>SUBTOTAL(3,B$8:B110)</f>
        <v>27</v>
      </c>
      <c r="B110" s="2" t="s">
        <v>664</v>
      </c>
      <c r="C110" s="9" t="s">
        <v>663</v>
      </c>
      <c r="D110" s="5" t="s">
        <v>113</v>
      </c>
      <c r="E110" s="5" t="s">
        <v>662</v>
      </c>
      <c r="G110" s="5"/>
      <c r="H110" s="7">
        <v>750</v>
      </c>
      <c r="I110" s="7">
        <v>750</v>
      </c>
      <c r="J110" s="2" t="s">
        <v>17</v>
      </c>
      <c r="K110" s="2" t="s">
        <v>22</v>
      </c>
      <c r="L110" s="2" t="s">
        <v>15</v>
      </c>
      <c r="M110" s="2" t="s">
        <v>156</v>
      </c>
      <c r="N110" s="4">
        <v>42087</v>
      </c>
      <c r="O110" s="11">
        <f ca="1">(TODAY()-Tabla1[[#This Row],[Fecha de nacimiento]])/365</f>
        <v>11.580821917808219</v>
      </c>
      <c r="P110" s="5" t="s">
        <v>231</v>
      </c>
      <c r="Q110" s="5" t="s">
        <v>13</v>
      </c>
      <c r="R110" s="10" t="s">
        <v>658</v>
      </c>
      <c r="S110" s="2" t="s">
        <v>11</v>
      </c>
      <c r="T110" s="2" t="s">
        <v>10</v>
      </c>
      <c r="U110" s="2" t="s">
        <v>9</v>
      </c>
      <c r="V110" s="2" t="s">
        <v>661</v>
      </c>
      <c r="W110" s="1" t="s">
        <v>660</v>
      </c>
      <c r="X110" s="2">
        <v>42083</v>
      </c>
      <c r="Y110" s="2">
        <v>5624323931</v>
      </c>
      <c r="Z110" s="2" t="s">
        <v>6</v>
      </c>
      <c r="AA110" s="2" t="s">
        <v>153</v>
      </c>
      <c r="AB110" s="4">
        <v>46056</v>
      </c>
      <c r="AC110" s="1" t="s">
        <v>659</v>
      </c>
      <c r="AD110" s="2" t="s">
        <v>118</v>
      </c>
      <c r="AE110" s="2">
        <v>5524323931</v>
      </c>
      <c r="AF110" s="16" t="s">
        <v>658</v>
      </c>
      <c r="AG110" s="3" t="s">
        <v>657</v>
      </c>
      <c r="AH110" s="2">
        <v>5526868168</v>
      </c>
      <c r="AI110" s="1" t="s">
        <v>84</v>
      </c>
    </row>
    <row r="111" spans="1:35" x14ac:dyDescent="0.2">
      <c r="A111" s="13">
        <f>SUBTOTAL(3,B$8:B111)</f>
        <v>28</v>
      </c>
      <c r="B111" s="2" t="s">
        <v>656</v>
      </c>
      <c r="C111" s="9" t="s">
        <v>655</v>
      </c>
      <c r="D111" s="5" t="s">
        <v>18</v>
      </c>
      <c r="E111" s="5" t="s">
        <v>23</v>
      </c>
      <c r="H111" s="7">
        <v>750</v>
      </c>
      <c r="I111" s="7"/>
      <c r="J111" s="2" t="s">
        <v>17</v>
      </c>
      <c r="K111" s="2" t="s">
        <v>22</v>
      </c>
      <c r="N111" s="4"/>
      <c r="O111" s="11">
        <f ca="1">(TODAY()-Tabla1[[#This Row],[Fecha de nacimiento]])/365</f>
        <v>126.88767123287671</v>
      </c>
      <c r="U111" s="2"/>
      <c r="Z111" s="4" t="s">
        <v>6</v>
      </c>
      <c r="AA111" s="2"/>
      <c r="AB111" s="14">
        <v>46274</v>
      </c>
      <c r="AE111" s="6"/>
      <c r="AH111" s="2"/>
      <c r="AI111" s="1" t="s">
        <v>21</v>
      </c>
    </row>
    <row r="112" spans="1:35" hidden="1" x14ac:dyDescent="0.2">
      <c r="A112" s="13">
        <f>SUBTOTAL(3,B$8:B112)</f>
        <v>28</v>
      </c>
      <c r="B112" s="2" t="s">
        <v>654</v>
      </c>
      <c r="C112" s="41" t="s">
        <v>653</v>
      </c>
      <c r="D112" s="5" t="s">
        <v>113</v>
      </c>
      <c r="E112" s="5" t="s">
        <v>23</v>
      </c>
      <c r="F112" s="8">
        <v>46204</v>
      </c>
      <c r="G112" s="5"/>
      <c r="H112" s="7">
        <v>750</v>
      </c>
      <c r="I112" s="7">
        <v>750</v>
      </c>
      <c r="J112" s="2" t="s">
        <v>17</v>
      </c>
      <c r="K112" s="2" t="s">
        <v>308</v>
      </c>
      <c r="L112" s="2" t="s">
        <v>194</v>
      </c>
      <c r="M112" s="2" t="s">
        <v>652</v>
      </c>
      <c r="N112" s="4">
        <v>38829</v>
      </c>
      <c r="O112" s="11">
        <f ca="1">(TODAY()-Tabla1[[#This Row],[Fecha de nacimiento]])/365</f>
        <v>20.506849315068493</v>
      </c>
      <c r="P112" s="5" t="s">
        <v>59</v>
      </c>
      <c r="Q112" s="5" t="s">
        <v>13</v>
      </c>
      <c r="R112" s="10" t="s">
        <v>651</v>
      </c>
      <c r="S112" s="2" t="s">
        <v>11</v>
      </c>
      <c r="T112" s="2" t="s">
        <v>10</v>
      </c>
      <c r="U112" s="2" t="s">
        <v>9</v>
      </c>
      <c r="V112" s="2" t="s">
        <v>650</v>
      </c>
      <c r="W112" s="1" t="s">
        <v>649</v>
      </c>
      <c r="X112" s="2">
        <v>42185</v>
      </c>
      <c r="Y112" s="2">
        <v>7712955529</v>
      </c>
      <c r="Z112" s="2" t="s">
        <v>6</v>
      </c>
      <c r="AA112" s="2" t="s">
        <v>648</v>
      </c>
      <c r="AB112" s="4">
        <v>46091</v>
      </c>
      <c r="AC112" s="1" t="s">
        <v>647</v>
      </c>
      <c r="AD112" s="2" t="s">
        <v>3</v>
      </c>
      <c r="AE112" s="2">
        <v>7711818902</v>
      </c>
      <c r="AF112" s="16" t="s">
        <v>646</v>
      </c>
      <c r="AG112" s="3" t="s">
        <v>645</v>
      </c>
      <c r="AH112" s="2">
        <v>7711240255</v>
      </c>
      <c r="AI112" s="1" t="s">
        <v>367</v>
      </c>
    </row>
    <row r="113" spans="1:35" x14ac:dyDescent="0.2">
      <c r="A113" s="13">
        <f>SUBTOTAL(3,B$8:B113)</f>
        <v>29</v>
      </c>
      <c r="B113" s="2" t="s">
        <v>644</v>
      </c>
      <c r="C113" s="9" t="s">
        <v>643</v>
      </c>
      <c r="D113" s="5" t="s">
        <v>18</v>
      </c>
      <c r="E113" s="5" t="s">
        <v>23</v>
      </c>
      <c r="H113" s="7">
        <v>750</v>
      </c>
      <c r="I113" s="7"/>
      <c r="J113" s="2" t="s">
        <v>17</v>
      </c>
      <c r="K113" s="2" t="s">
        <v>16</v>
      </c>
      <c r="N113" s="4"/>
      <c r="O113" s="11">
        <f ca="1">(TODAY()-Tabla1[[#This Row],[Fecha de nacimiento]])/365</f>
        <v>126.88767123287671</v>
      </c>
      <c r="U113" s="2"/>
      <c r="Z113" s="4" t="s">
        <v>6</v>
      </c>
      <c r="AA113" s="2"/>
      <c r="AB113" s="14">
        <v>46269</v>
      </c>
      <c r="AE113" s="6"/>
      <c r="AH113" s="2"/>
      <c r="AI113" s="1" t="s">
        <v>54</v>
      </c>
    </row>
    <row r="114" spans="1:35" x14ac:dyDescent="0.2">
      <c r="A114" s="13">
        <f>SUBTOTAL(3,B$8:B114)</f>
        <v>30</v>
      </c>
      <c r="B114" s="2" t="s">
        <v>642</v>
      </c>
      <c r="C114" s="9" t="s">
        <v>605</v>
      </c>
      <c r="D114" s="5" t="s">
        <v>18</v>
      </c>
      <c r="E114" s="5" t="s">
        <v>448</v>
      </c>
      <c r="G114" s="5"/>
      <c r="H114" s="7">
        <v>400</v>
      </c>
      <c r="I114" s="7">
        <v>400</v>
      </c>
      <c r="J114" s="2" t="s">
        <v>105</v>
      </c>
      <c r="K114" s="2" t="s">
        <v>16</v>
      </c>
      <c r="L114" s="2" t="s">
        <v>258</v>
      </c>
      <c r="M114" s="2" t="s">
        <v>641</v>
      </c>
      <c r="N114" s="4">
        <v>41604</v>
      </c>
      <c r="O114" s="11">
        <f ca="1">(TODAY()-Tabla1[[#This Row],[Fecha de nacimiento]])/365</f>
        <v>12.904109589041095</v>
      </c>
      <c r="P114" s="5" t="s">
        <v>59</v>
      </c>
      <c r="Q114" s="5" t="s">
        <v>13</v>
      </c>
      <c r="R114" s="26" t="s">
        <v>604</v>
      </c>
      <c r="S114" s="5" t="s">
        <v>11</v>
      </c>
      <c r="T114" s="5" t="s">
        <v>10</v>
      </c>
      <c r="U114" s="5" t="s">
        <v>9</v>
      </c>
      <c r="V114" s="5" t="s">
        <v>603</v>
      </c>
      <c r="W114" s="3" t="s">
        <v>602</v>
      </c>
      <c r="X114" s="6">
        <v>43845</v>
      </c>
      <c r="Y114" s="6">
        <v>7711858779</v>
      </c>
      <c r="Z114" s="5" t="s">
        <v>384</v>
      </c>
      <c r="AA114" s="5" t="s">
        <v>640</v>
      </c>
      <c r="AB114" s="4">
        <v>45922</v>
      </c>
      <c r="AC114" s="3" t="s">
        <v>600</v>
      </c>
      <c r="AD114" s="5" t="s">
        <v>3</v>
      </c>
      <c r="AE114" s="6">
        <v>7711858779</v>
      </c>
      <c r="AF114" s="26" t="s">
        <v>599</v>
      </c>
      <c r="AG114" s="3" t="s">
        <v>598</v>
      </c>
      <c r="AH114" s="6">
        <v>7711959049</v>
      </c>
      <c r="AI114" s="1" t="s">
        <v>132</v>
      </c>
    </row>
    <row r="115" spans="1:35" hidden="1" x14ac:dyDescent="0.2">
      <c r="A115" s="13">
        <f>SUBTOTAL(3,B$8:B115)</f>
        <v>30</v>
      </c>
      <c r="B115" s="2" t="s">
        <v>639</v>
      </c>
      <c r="C115" s="9" t="s">
        <v>217</v>
      </c>
      <c r="D115" s="2" t="s">
        <v>113</v>
      </c>
      <c r="E115" s="2" t="s">
        <v>216</v>
      </c>
      <c r="F115" s="12">
        <v>46157</v>
      </c>
      <c r="G115" s="12"/>
      <c r="H115" s="7">
        <v>550</v>
      </c>
      <c r="I115" s="7">
        <v>650</v>
      </c>
      <c r="J115" s="2" t="s">
        <v>17</v>
      </c>
      <c r="K115" s="2" t="s">
        <v>26</v>
      </c>
      <c r="L115" s="2"/>
      <c r="M115" s="2" t="s">
        <v>248</v>
      </c>
      <c r="N115" s="4">
        <v>39357</v>
      </c>
      <c r="O115" s="11">
        <f ca="1">(TODAY()-Tabla1[[#This Row],[Fecha de nacimiento]])/365</f>
        <v>19.06027397260274</v>
      </c>
      <c r="P115" s="5" t="s">
        <v>10</v>
      </c>
      <c r="Q115" s="5" t="s">
        <v>13</v>
      </c>
      <c r="R115" s="10" t="s">
        <v>214</v>
      </c>
      <c r="S115" s="2" t="s">
        <v>36</v>
      </c>
      <c r="T115" s="2" t="s">
        <v>10</v>
      </c>
      <c r="U115" s="2" t="s">
        <v>9</v>
      </c>
      <c r="V115" s="2" t="s">
        <v>213</v>
      </c>
      <c r="W115" s="1" t="s">
        <v>212</v>
      </c>
      <c r="X115" s="2">
        <v>42083</v>
      </c>
      <c r="Y115" s="2">
        <v>7298361425</v>
      </c>
      <c r="Z115" s="2" t="s">
        <v>6</v>
      </c>
      <c r="AA115" s="2" t="s">
        <v>638</v>
      </c>
      <c r="AB115" s="4">
        <v>45951</v>
      </c>
      <c r="AC115" s="1" t="s">
        <v>210</v>
      </c>
      <c r="AD115" s="2" t="s">
        <v>3</v>
      </c>
      <c r="AE115" s="2">
        <v>7712212621</v>
      </c>
      <c r="AG115" s="40" t="s">
        <v>209</v>
      </c>
      <c r="AH115" s="2">
        <v>7712366408</v>
      </c>
      <c r="AI115" s="1" t="s">
        <v>637</v>
      </c>
    </row>
    <row r="116" spans="1:35" hidden="1" x14ac:dyDescent="0.2">
      <c r="A116" s="13">
        <f>SUBTOTAL(3,B$8:B116)</f>
        <v>30</v>
      </c>
      <c r="B116" s="2" t="s">
        <v>636</v>
      </c>
      <c r="C116" s="9" t="s">
        <v>635</v>
      </c>
      <c r="D116" s="5" t="s">
        <v>113</v>
      </c>
      <c r="E116" s="5" t="s">
        <v>634</v>
      </c>
      <c r="F116" s="8">
        <v>46157</v>
      </c>
      <c r="G116" s="8"/>
      <c r="H116" s="7">
        <v>700</v>
      </c>
      <c r="I116" s="7">
        <v>750</v>
      </c>
      <c r="J116" s="2" t="s">
        <v>17</v>
      </c>
      <c r="K116" s="2" t="s">
        <v>16</v>
      </c>
      <c r="L116" s="2" t="s">
        <v>258</v>
      </c>
      <c r="M116" s="2" t="s">
        <v>633</v>
      </c>
      <c r="N116" s="4">
        <v>41367</v>
      </c>
      <c r="O116" s="11">
        <f ca="1">(TODAY()-Tabla1[[#This Row],[Fecha de nacimiento]])/365</f>
        <v>13.553424657534247</v>
      </c>
      <c r="P116" s="5" t="s">
        <v>632</v>
      </c>
      <c r="Q116" s="5" t="s">
        <v>13</v>
      </c>
      <c r="R116" s="10" t="s">
        <v>627</v>
      </c>
      <c r="S116" s="2" t="s">
        <v>36</v>
      </c>
      <c r="T116" s="2" t="s">
        <v>10</v>
      </c>
      <c r="U116" s="2" t="s">
        <v>9</v>
      </c>
      <c r="V116" s="49" t="s">
        <v>631</v>
      </c>
      <c r="W116" s="1" t="s">
        <v>630</v>
      </c>
      <c r="X116" s="2">
        <v>42083</v>
      </c>
      <c r="Y116" s="2" t="s">
        <v>127</v>
      </c>
      <c r="Z116" s="2" t="s">
        <v>6</v>
      </c>
      <c r="AA116" s="2" t="s">
        <v>629</v>
      </c>
      <c r="AB116" s="4">
        <v>46098</v>
      </c>
      <c r="AC116" s="1" t="s">
        <v>628</v>
      </c>
      <c r="AD116" s="2" t="s">
        <v>3</v>
      </c>
      <c r="AE116" s="2">
        <v>7761014431</v>
      </c>
      <c r="AF116" s="16" t="s">
        <v>627</v>
      </c>
      <c r="AG116" s="3" t="s">
        <v>626</v>
      </c>
      <c r="AH116" s="2">
        <v>7711418032</v>
      </c>
      <c r="AI116" s="1" t="s">
        <v>54</v>
      </c>
    </row>
    <row r="117" spans="1:35" hidden="1" x14ac:dyDescent="0.2">
      <c r="A117" s="13">
        <f>SUBTOTAL(3,B$8:B117)</f>
        <v>30</v>
      </c>
      <c r="B117" s="2" t="s">
        <v>625</v>
      </c>
      <c r="C117" s="9" t="s">
        <v>620</v>
      </c>
      <c r="D117" s="2" t="s">
        <v>113</v>
      </c>
      <c r="F117" s="12"/>
      <c r="G117" s="2"/>
      <c r="H117" s="7" t="s">
        <v>624</v>
      </c>
      <c r="I117" s="7" t="s">
        <v>619</v>
      </c>
      <c r="J117" s="2" t="s">
        <v>17</v>
      </c>
      <c r="K117" s="2" t="s">
        <v>22</v>
      </c>
      <c r="L117" s="2" t="s">
        <v>15</v>
      </c>
      <c r="M117" s="2" t="s">
        <v>623</v>
      </c>
      <c r="N117" s="4">
        <v>43075</v>
      </c>
      <c r="O117" s="11">
        <f ca="1">(TODAY()-Tabla1[[#This Row],[Fecha de nacimiento]])/365</f>
        <v>8.8739726027397268</v>
      </c>
      <c r="P117" s="5" t="s">
        <v>231</v>
      </c>
      <c r="Q117" s="5" t="s">
        <v>13</v>
      </c>
      <c r="R117" s="10" t="s">
        <v>532</v>
      </c>
      <c r="S117" s="5" t="s">
        <v>11</v>
      </c>
      <c r="T117" s="5" t="s">
        <v>10</v>
      </c>
      <c r="U117" s="5" t="s">
        <v>9</v>
      </c>
      <c r="V117" s="5" t="s">
        <v>617</v>
      </c>
      <c r="W117" s="3" t="s">
        <v>535</v>
      </c>
      <c r="X117" s="6">
        <v>42083</v>
      </c>
      <c r="Y117" s="6">
        <v>7712035063</v>
      </c>
      <c r="Z117" s="5" t="s">
        <v>6</v>
      </c>
      <c r="AA117" s="5" t="s">
        <v>622</v>
      </c>
      <c r="AB117" s="4">
        <v>45926</v>
      </c>
      <c r="AC117" s="3" t="s">
        <v>533</v>
      </c>
      <c r="AD117" s="5" t="s">
        <v>3</v>
      </c>
      <c r="AE117" s="6">
        <v>7712035063</v>
      </c>
      <c r="AF117" s="26" t="s">
        <v>615</v>
      </c>
      <c r="AG117" s="3" t="s">
        <v>531</v>
      </c>
      <c r="AH117" s="6">
        <v>7712063750</v>
      </c>
      <c r="AI117" s="1" t="s">
        <v>614</v>
      </c>
    </row>
    <row r="118" spans="1:35" hidden="1" x14ac:dyDescent="0.2">
      <c r="A118" s="13">
        <f>SUBTOTAL(3,B$8:B118)</f>
        <v>30</v>
      </c>
      <c r="B118" s="2" t="s">
        <v>621</v>
      </c>
      <c r="C118" s="9" t="s">
        <v>620</v>
      </c>
      <c r="D118" s="5" t="s">
        <v>113</v>
      </c>
      <c r="E118" s="5" t="s">
        <v>448</v>
      </c>
      <c r="F118" s="8">
        <v>46195</v>
      </c>
      <c r="G118" s="8">
        <v>46216</v>
      </c>
      <c r="H118" s="7" t="s">
        <v>619</v>
      </c>
      <c r="I118" s="7" t="s">
        <v>618</v>
      </c>
      <c r="J118" s="2" t="s">
        <v>105</v>
      </c>
      <c r="K118" s="2" t="s">
        <v>22</v>
      </c>
      <c r="L118" s="2" t="s">
        <v>15</v>
      </c>
      <c r="M118" s="2" t="s">
        <v>537</v>
      </c>
      <c r="N118" s="4">
        <v>43075</v>
      </c>
      <c r="O118" s="11">
        <f ca="1">(TODAY()-Tabla1[[#This Row],[Fecha de nacimiento]])/365</f>
        <v>8.8739726027397268</v>
      </c>
      <c r="P118" s="5" t="s">
        <v>231</v>
      </c>
      <c r="Q118" s="5" t="s">
        <v>13</v>
      </c>
      <c r="R118" s="26" t="s">
        <v>615</v>
      </c>
      <c r="S118" s="5" t="s">
        <v>11</v>
      </c>
      <c r="T118" s="5" t="s">
        <v>10</v>
      </c>
      <c r="U118" s="5" t="s">
        <v>9</v>
      </c>
      <c r="V118" s="5" t="s">
        <v>617</v>
      </c>
      <c r="W118" s="3" t="s">
        <v>535</v>
      </c>
      <c r="X118" s="6">
        <v>42083</v>
      </c>
      <c r="Y118" s="6">
        <v>7712035063</v>
      </c>
      <c r="Z118" s="5" t="s">
        <v>6</v>
      </c>
      <c r="AA118" s="2" t="s">
        <v>616</v>
      </c>
      <c r="AB118" s="4">
        <v>45926</v>
      </c>
      <c r="AC118" s="3" t="s">
        <v>533</v>
      </c>
      <c r="AD118" s="5" t="s">
        <v>3</v>
      </c>
      <c r="AE118" s="6">
        <v>7712035063</v>
      </c>
      <c r="AF118" s="26" t="s">
        <v>615</v>
      </c>
      <c r="AG118" s="3" t="s">
        <v>531</v>
      </c>
      <c r="AH118" s="6">
        <v>7712063750</v>
      </c>
      <c r="AI118" s="1" t="s">
        <v>614</v>
      </c>
    </row>
    <row r="119" spans="1:35" hidden="1" x14ac:dyDescent="0.2">
      <c r="A119" s="13">
        <f>SUBTOTAL(3,B$8:B119)</f>
        <v>30</v>
      </c>
      <c r="B119" s="2" t="s">
        <v>613</v>
      </c>
      <c r="C119" s="9" t="s">
        <v>612</v>
      </c>
      <c r="D119" s="2" t="s">
        <v>113</v>
      </c>
      <c r="F119" s="12">
        <v>46183</v>
      </c>
      <c r="G119" s="2"/>
      <c r="H119" s="7">
        <v>700</v>
      </c>
      <c r="I119" s="7">
        <v>800</v>
      </c>
      <c r="J119" s="2" t="s">
        <v>17</v>
      </c>
      <c r="K119" s="2" t="s">
        <v>26</v>
      </c>
      <c r="L119" s="2" t="s">
        <v>51</v>
      </c>
      <c r="M119" s="2" t="s">
        <v>72</v>
      </c>
      <c r="N119" s="4">
        <v>38950</v>
      </c>
      <c r="O119" s="11">
        <f ca="1">(TODAY()-Tabla1[[#This Row],[Fecha de nacimiento]])/365</f>
        <v>20.175342465753424</v>
      </c>
      <c r="P119" s="5" t="s">
        <v>10</v>
      </c>
      <c r="Q119" s="5" t="s">
        <v>13</v>
      </c>
      <c r="R119" s="26" t="s">
        <v>608</v>
      </c>
      <c r="S119" s="5" t="s">
        <v>11</v>
      </c>
      <c r="T119" s="5" t="s">
        <v>10</v>
      </c>
      <c r="U119" s="5" t="s">
        <v>9</v>
      </c>
      <c r="V119" s="5" t="s">
        <v>611</v>
      </c>
      <c r="W119" s="3" t="s">
        <v>610</v>
      </c>
      <c r="X119" s="6">
        <v>42083</v>
      </c>
      <c r="Y119" s="6">
        <v>7713535551</v>
      </c>
      <c r="Z119" s="5" t="s">
        <v>6</v>
      </c>
      <c r="AA119" s="2" t="s">
        <v>34</v>
      </c>
      <c r="AB119" s="4">
        <v>45859</v>
      </c>
      <c r="AC119" s="3" t="s">
        <v>609</v>
      </c>
      <c r="AD119" s="5" t="s">
        <v>118</v>
      </c>
      <c r="AE119" s="6">
        <v>7713535551</v>
      </c>
      <c r="AF119" s="26" t="s">
        <v>608</v>
      </c>
      <c r="AG119" s="3" t="s">
        <v>607</v>
      </c>
      <c r="AH119" s="6">
        <v>7713527149</v>
      </c>
      <c r="AI119" s="1" t="s">
        <v>84</v>
      </c>
    </row>
    <row r="120" spans="1:35" x14ac:dyDescent="0.2">
      <c r="A120" s="13">
        <f>SUBTOTAL(3,B$8:B120)</f>
        <v>31</v>
      </c>
      <c r="B120" s="2" t="s">
        <v>606</v>
      </c>
      <c r="C120" s="9" t="s">
        <v>605</v>
      </c>
      <c r="D120" s="2" t="s">
        <v>18</v>
      </c>
      <c r="F120" s="12"/>
      <c r="G120" s="2"/>
      <c r="H120" s="7">
        <v>800</v>
      </c>
      <c r="I120" s="7">
        <v>800</v>
      </c>
      <c r="J120" s="2" t="s">
        <v>17</v>
      </c>
      <c r="K120" s="2" t="s">
        <v>16</v>
      </c>
      <c r="L120" s="2"/>
      <c r="M120" s="2" t="s">
        <v>388</v>
      </c>
      <c r="N120" s="4">
        <v>41604</v>
      </c>
      <c r="O120" s="11">
        <f ca="1">(TODAY()-Tabla1[[#This Row],[Fecha de nacimiento]])/365</f>
        <v>12.904109589041095</v>
      </c>
      <c r="P120" s="5" t="s">
        <v>59</v>
      </c>
      <c r="Q120" s="5" t="s">
        <v>13</v>
      </c>
      <c r="R120" s="26" t="s">
        <v>604</v>
      </c>
      <c r="S120" s="5" t="s">
        <v>11</v>
      </c>
      <c r="T120" s="5" t="s">
        <v>10</v>
      </c>
      <c r="U120" s="5" t="s">
        <v>9</v>
      </c>
      <c r="V120" s="5" t="s">
        <v>603</v>
      </c>
      <c r="W120" s="3" t="s">
        <v>602</v>
      </c>
      <c r="X120" s="6">
        <v>43845</v>
      </c>
      <c r="Y120" s="6">
        <v>7711858779</v>
      </c>
      <c r="Z120" s="5" t="s">
        <v>384</v>
      </c>
      <c r="AA120" s="5" t="s">
        <v>601</v>
      </c>
      <c r="AB120" s="4">
        <v>45922</v>
      </c>
      <c r="AC120" s="3" t="s">
        <v>600</v>
      </c>
      <c r="AD120" s="5" t="s">
        <v>3</v>
      </c>
      <c r="AE120" s="6">
        <v>7711858779</v>
      </c>
      <c r="AF120" s="26" t="s">
        <v>599</v>
      </c>
      <c r="AG120" s="3" t="s">
        <v>598</v>
      </c>
      <c r="AH120" s="6">
        <v>7711959049</v>
      </c>
      <c r="AI120" s="1" t="s">
        <v>132</v>
      </c>
    </row>
    <row r="121" spans="1:35" hidden="1" x14ac:dyDescent="0.2">
      <c r="A121" s="13">
        <f>SUBTOTAL(3,B$8:B121)</f>
        <v>31</v>
      </c>
      <c r="B121" s="2" t="s">
        <v>597</v>
      </c>
      <c r="C121" s="9" t="s">
        <v>596</v>
      </c>
      <c r="D121" s="2" t="s">
        <v>113</v>
      </c>
      <c r="E121" s="2" t="s">
        <v>490</v>
      </c>
      <c r="F121" s="12">
        <v>46204</v>
      </c>
      <c r="G121" s="2"/>
      <c r="H121" s="7">
        <v>700</v>
      </c>
      <c r="I121" s="7">
        <v>800</v>
      </c>
      <c r="J121" s="2" t="s">
        <v>17</v>
      </c>
      <c r="K121" s="2" t="s">
        <v>26</v>
      </c>
      <c r="L121" s="2" t="s">
        <v>51</v>
      </c>
      <c r="M121" s="2" t="s">
        <v>193</v>
      </c>
      <c r="N121" s="4">
        <v>36082</v>
      </c>
      <c r="O121" s="11">
        <f ca="1">(TODAY()-Tabla1[[#This Row],[Fecha de nacimiento]])/365</f>
        <v>28.032876712328768</v>
      </c>
      <c r="P121" s="5" t="s">
        <v>10</v>
      </c>
      <c r="Q121" s="5" t="s">
        <v>13</v>
      </c>
      <c r="R121" s="26" t="s">
        <v>595</v>
      </c>
      <c r="S121" s="5" t="s">
        <v>36</v>
      </c>
      <c r="T121" s="5" t="s">
        <v>10</v>
      </c>
      <c r="U121" s="5" t="s">
        <v>9</v>
      </c>
      <c r="V121" s="5" t="s">
        <v>594</v>
      </c>
      <c r="W121" s="3" t="s">
        <v>593</v>
      </c>
      <c r="X121" s="6">
        <v>42083</v>
      </c>
      <c r="Y121" s="6">
        <v>7719820301</v>
      </c>
      <c r="Z121" s="5" t="s">
        <v>6</v>
      </c>
      <c r="AA121" s="5" t="s">
        <v>592</v>
      </c>
      <c r="AB121" s="4">
        <v>45878</v>
      </c>
      <c r="AC121" s="3" t="s">
        <v>591</v>
      </c>
      <c r="AD121" s="5" t="s">
        <v>203</v>
      </c>
      <c r="AE121" s="6">
        <v>7712143998</v>
      </c>
      <c r="AF121" s="5"/>
      <c r="AG121" s="3" t="s">
        <v>590</v>
      </c>
      <c r="AH121" s="6">
        <v>7712143998</v>
      </c>
      <c r="AI121" s="1" t="s">
        <v>84</v>
      </c>
    </row>
    <row r="122" spans="1:35" hidden="1" x14ac:dyDescent="0.2">
      <c r="A122" s="13">
        <f>SUBTOTAL(3,B$8:B122)</f>
        <v>31</v>
      </c>
      <c r="B122" s="2" t="s">
        <v>589</v>
      </c>
      <c r="C122" s="9" t="s">
        <v>588</v>
      </c>
      <c r="D122" s="5" t="s">
        <v>113</v>
      </c>
      <c r="E122" s="5" t="s">
        <v>587</v>
      </c>
      <c r="F122" s="8">
        <v>46196</v>
      </c>
      <c r="G122" s="5"/>
      <c r="H122" s="7">
        <v>400</v>
      </c>
      <c r="I122" s="7">
        <v>400</v>
      </c>
      <c r="J122" s="2" t="s">
        <v>17</v>
      </c>
      <c r="K122" s="2" t="s">
        <v>26</v>
      </c>
      <c r="L122" s="2" t="s">
        <v>39</v>
      </c>
      <c r="M122" s="2" t="s">
        <v>102</v>
      </c>
      <c r="N122" s="4">
        <v>28368</v>
      </c>
      <c r="O122" s="11">
        <f ca="1">(TODAY()-Tabla1[[#This Row],[Fecha de nacimiento]])/365</f>
        <v>49.167123287671231</v>
      </c>
      <c r="P122" s="5" t="s">
        <v>59</v>
      </c>
      <c r="Q122" s="5" t="s">
        <v>13</v>
      </c>
      <c r="R122" s="5"/>
      <c r="S122" s="2" t="s">
        <v>11</v>
      </c>
      <c r="T122" s="2" t="s">
        <v>10</v>
      </c>
      <c r="U122" s="2" t="s">
        <v>9</v>
      </c>
      <c r="V122" s="2" t="s">
        <v>586</v>
      </c>
      <c r="W122" s="1" t="s">
        <v>585</v>
      </c>
      <c r="X122" s="2">
        <v>42115</v>
      </c>
      <c r="Y122" s="2">
        <v>7717726587</v>
      </c>
      <c r="Z122" s="2" t="s">
        <v>6</v>
      </c>
      <c r="AA122" s="2" t="s">
        <v>584</v>
      </c>
      <c r="AB122" s="4">
        <v>46076</v>
      </c>
      <c r="AC122" s="1" t="s">
        <v>583</v>
      </c>
      <c r="AD122" s="2" t="s">
        <v>582</v>
      </c>
      <c r="AE122" s="2">
        <v>7711139937</v>
      </c>
      <c r="AG122" s="3" t="s">
        <v>127</v>
      </c>
      <c r="AH122" s="2" t="s">
        <v>46</v>
      </c>
      <c r="AI122" s="1" t="s">
        <v>367</v>
      </c>
    </row>
    <row r="123" spans="1:35" x14ac:dyDescent="0.2">
      <c r="A123" s="13">
        <f>SUBTOTAL(3,B$8:B123)</f>
        <v>32</v>
      </c>
      <c r="B123" s="2" t="s">
        <v>581</v>
      </c>
      <c r="C123" s="9" t="s">
        <v>580</v>
      </c>
      <c r="D123" s="5" t="s">
        <v>18</v>
      </c>
      <c r="E123" s="5" t="s">
        <v>23</v>
      </c>
      <c r="H123" s="7">
        <v>750</v>
      </c>
      <c r="I123" s="7"/>
      <c r="J123" s="2" t="s">
        <v>17</v>
      </c>
      <c r="K123" s="2" t="s">
        <v>22</v>
      </c>
      <c r="N123" s="4"/>
      <c r="O123" s="11">
        <f ca="1">(TODAY()-Tabla1[[#This Row],[Fecha de nacimiento]])/365</f>
        <v>126.88767123287671</v>
      </c>
      <c r="U123" s="2"/>
      <c r="Z123" s="4" t="s">
        <v>6</v>
      </c>
      <c r="AA123" s="2"/>
      <c r="AB123" s="14">
        <v>46269</v>
      </c>
      <c r="AE123" s="6"/>
      <c r="AH123" s="2"/>
      <c r="AI123" s="1" t="s">
        <v>54</v>
      </c>
    </row>
    <row r="124" spans="1:35" x14ac:dyDescent="0.2">
      <c r="A124" s="13">
        <f>SUBTOTAL(3,B$8:B124)</f>
        <v>33</v>
      </c>
      <c r="B124" s="24" t="s">
        <v>579</v>
      </c>
      <c r="C124" s="23" t="s">
        <v>578</v>
      </c>
      <c r="D124" s="5" t="s">
        <v>18</v>
      </c>
      <c r="E124" s="5" t="s">
        <v>23</v>
      </c>
      <c r="H124" s="7">
        <v>800</v>
      </c>
      <c r="I124" s="7"/>
      <c r="J124" s="2" t="s">
        <v>17</v>
      </c>
      <c r="K124" s="2" t="s">
        <v>22</v>
      </c>
      <c r="L124" s="4" t="s">
        <v>15</v>
      </c>
      <c r="M124" s="6" t="s">
        <v>92</v>
      </c>
      <c r="N124" s="4">
        <v>42251</v>
      </c>
      <c r="O124" s="11">
        <f ca="1">(TODAY()-Tabla1[[#This Row],[Fecha de nacimiento]])/365</f>
        <v>11.131506849315068</v>
      </c>
      <c r="P124" s="5" t="s">
        <v>10</v>
      </c>
      <c r="Q124" s="2" t="s">
        <v>13</v>
      </c>
      <c r="R124" s="16" t="s">
        <v>575</v>
      </c>
      <c r="S124" s="2" t="s">
        <v>36</v>
      </c>
      <c r="T124" s="2" t="s">
        <v>10</v>
      </c>
      <c r="U124" s="2" t="s">
        <v>9</v>
      </c>
      <c r="W124" s="2" t="s">
        <v>577</v>
      </c>
      <c r="X124" s="2">
        <v>42083</v>
      </c>
      <c r="Y124" s="2">
        <v>7751346337</v>
      </c>
      <c r="Z124" s="4" t="s">
        <v>6</v>
      </c>
      <c r="AA124" s="2" t="s">
        <v>126</v>
      </c>
      <c r="AB124" s="14">
        <v>46162</v>
      </c>
      <c r="AC124" s="2" t="s">
        <v>576</v>
      </c>
      <c r="AD124" s="2" t="s">
        <v>3</v>
      </c>
      <c r="AE124" s="6">
        <v>7751346367</v>
      </c>
      <c r="AF124" s="16" t="s">
        <v>575</v>
      </c>
      <c r="AG124" s="1" t="s">
        <v>574</v>
      </c>
      <c r="AH124" s="2">
        <v>7711550466</v>
      </c>
      <c r="AI124" s="1" t="s">
        <v>84</v>
      </c>
    </row>
    <row r="125" spans="1:35" x14ac:dyDescent="0.2">
      <c r="A125" s="13">
        <f>SUBTOTAL(3,B$8:B125)</f>
        <v>34</v>
      </c>
      <c r="B125" s="28" t="s">
        <v>573</v>
      </c>
      <c r="C125" s="27" t="s">
        <v>572</v>
      </c>
      <c r="D125" s="5" t="s">
        <v>18</v>
      </c>
      <c r="E125" s="5" t="s">
        <v>23</v>
      </c>
      <c r="H125" s="7">
        <v>800</v>
      </c>
      <c r="I125" s="7"/>
      <c r="J125" s="2" t="s">
        <v>17</v>
      </c>
      <c r="K125" s="2" t="s">
        <v>22</v>
      </c>
      <c r="N125" s="4">
        <v>42213</v>
      </c>
      <c r="O125" s="11">
        <f ca="1">(TODAY()-Tabla1[[#This Row],[Fecha de nacimiento]])/365</f>
        <v>11.235616438356164</v>
      </c>
      <c r="P125" s="5" t="s">
        <v>59</v>
      </c>
      <c r="Q125" s="2" t="s">
        <v>13</v>
      </c>
      <c r="R125" s="2" t="s">
        <v>569</v>
      </c>
      <c r="S125" s="2" t="s">
        <v>36</v>
      </c>
      <c r="T125" s="2" t="s">
        <v>10</v>
      </c>
      <c r="U125" s="2" t="s">
        <v>9</v>
      </c>
      <c r="V125" s="2" t="s">
        <v>571</v>
      </c>
      <c r="W125" s="2" t="s">
        <v>561</v>
      </c>
      <c r="X125" s="2">
        <v>42082</v>
      </c>
      <c r="Y125" s="2">
        <v>7711292823</v>
      </c>
      <c r="Z125" s="4" t="s">
        <v>6</v>
      </c>
      <c r="AA125" s="2" t="s">
        <v>334</v>
      </c>
      <c r="AB125" s="14">
        <v>46224</v>
      </c>
      <c r="AC125" s="2" t="s">
        <v>570</v>
      </c>
      <c r="AD125" s="2" t="s">
        <v>118</v>
      </c>
      <c r="AE125" s="6">
        <v>7711292823</v>
      </c>
      <c r="AF125" s="2" t="s">
        <v>569</v>
      </c>
      <c r="AG125" s="1" t="s">
        <v>563</v>
      </c>
      <c r="AH125" s="2">
        <v>7711243986</v>
      </c>
      <c r="AI125" s="1" t="s">
        <v>54</v>
      </c>
    </row>
    <row r="126" spans="1:35" x14ac:dyDescent="0.2">
      <c r="A126" s="13">
        <f>SUBTOTAL(3,B$8:B126)</f>
        <v>35</v>
      </c>
      <c r="B126" s="33" t="s">
        <v>568</v>
      </c>
      <c r="C126" s="39" t="s">
        <v>567</v>
      </c>
      <c r="D126" s="5" t="s">
        <v>18</v>
      </c>
      <c r="E126" s="5" t="s">
        <v>23</v>
      </c>
      <c r="H126" s="7">
        <v>800</v>
      </c>
      <c r="I126" s="7"/>
      <c r="J126" s="2" t="s">
        <v>17</v>
      </c>
      <c r="K126" s="2" t="s">
        <v>26</v>
      </c>
      <c r="N126" s="4"/>
      <c r="O126" s="11">
        <f ca="1">(TODAY()-Tabla1[[#This Row],[Fecha de nacimiento]])/365</f>
        <v>126.88767123287671</v>
      </c>
      <c r="U126" s="2"/>
      <c r="Z126" s="4" t="s">
        <v>6</v>
      </c>
      <c r="AA126" s="2"/>
      <c r="AB126" s="14">
        <v>46310</v>
      </c>
      <c r="AE126" s="6"/>
      <c r="AH126" s="2"/>
      <c r="AI126" s="1" t="s">
        <v>21</v>
      </c>
    </row>
    <row r="127" spans="1:35" x14ac:dyDescent="0.2">
      <c r="A127" s="13">
        <f>SUBTOTAL(3,B$8:B127)</f>
        <v>36</v>
      </c>
      <c r="B127" s="2" t="s">
        <v>566</v>
      </c>
      <c r="C127" s="9" t="s">
        <v>565</v>
      </c>
      <c r="D127" s="5" t="s">
        <v>18</v>
      </c>
      <c r="E127" s="5" t="s">
        <v>23</v>
      </c>
      <c r="H127" s="7">
        <v>800</v>
      </c>
      <c r="I127" s="7"/>
      <c r="J127" s="2" t="s">
        <v>17</v>
      </c>
      <c r="K127" s="2" t="s">
        <v>16</v>
      </c>
      <c r="N127" s="4"/>
      <c r="O127" s="11">
        <f ca="1">(TODAY()-Tabla1[[#This Row],[Fecha de nacimiento]])/365</f>
        <v>126.88767123287671</v>
      </c>
      <c r="U127" s="2"/>
      <c r="Z127" s="4" t="s">
        <v>6</v>
      </c>
      <c r="AA127" s="2"/>
      <c r="AB127" s="14">
        <v>46286</v>
      </c>
      <c r="AE127" s="6"/>
      <c r="AH127" s="2"/>
      <c r="AI127" s="1" t="s">
        <v>21</v>
      </c>
    </row>
    <row r="128" spans="1:35" x14ac:dyDescent="0.2">
      <c r="A128" s="13">
        <f>SUBTOTAL(3,B$8:B128)</f>
        <v>37</v>
      </c>
      <c r="B128" s="28" t="s">
        <v>564</v>
      </c>
      <c r="C128" s="27" t="s">
        <v>563</v>
      </c>
      <c r="D128" s="18" t="s">
        <v>18</v>
      </c>
      <c r="E128" s="18" t="s">
        <v>23</v>
      </c>
      <c r="H128" s="7">
        <v>800</v>
      </c>
      <c r="I128" s="7"/>
      <c r="J128" s="2" t="s">
        <v>17</v>
      </c>
      <c r="K128" s="2" t="s">
        <v>26</v>
      </c>
      <c r="N128" s="4">
        <v>30032</v>
      </c>
      <c r="O128" s="11">
        <f ca="1">(TODAY()-Tabla1[[#This Row],[Fecha de nacimiento]])/365</f>
        <v>44.608219178082194</v>
      </c>
      <c r="P128" s="5" t="s">
        <v>59</v>
      </c>
      <c r="Q128" s="2" t="s">
        <v>13</v>
      </c>
      <c r="R128" s="16" t="s">
        <v>562</v>
      </c>
      <c r="S128" s="2" t="s">
        <v>11</v>
      </c>
      <c r="T128" s="2" t="s">
        <v>10</v>
      </c>
      <c r="U128" s="2" t="s">
        <v>9</v>
      </c>
      <c r="W128" s="2" t="s">
        <v>561</v>
      </c>
      <c r="X128" s="2">
        <v>42082</v>
      </c>
      <c r="Y128" s="2">
        <v>7711243986</v>
      </c>
      <c r="Z128" s="4" t="s">
        <v>6</v>
      </c>
      <c r="AA128" s="2" t="s">
        <v>56</v>
      </c>
      <c r="AB128" s="14">
        <v>46227</v>
      </c>
      <c r="AE128" s="6"/>
      <c r="AG128" s="1" t="s">
        <v>560</v>
      </c>
      <c r="AH128" s="2">
        <v>7711292823</v>
      </c>
      <c r="AI128" s="1" t="s">
        <v>54</v>
      </c>
    </row>
    <row r="129" spans="1:35" x14ac:dyDescent="0.2">
      <c r="A129" s="13">
        <f>SUBTOTAL(3,B$8:B129)</f>
        <v>38</v>
      </c>
      <c r="B129" s="33" t="s">
        <v>559</v>
      </c>
      <c r="C129" s="32" t="s">
        <v>558</v>
      </c>
      <c r="D129" s="5" t="s">
        <v>18</v>
      </c>
      <c r="E129" s="5" t="s">
        <v>23</v>
      </c>
      <c r="H129" s="7">
        <v>750</v>
      </c>
      <c r="I129" s="7"/>
      <c r="J129" s="2" t="s">
        <v>17</v>
      </c>
      <c r="K129" s="2" t="s">
        <v>22</v>
      </c>
      <c r="N129" s="4"/>
      <c r="O129" s="11">
        <f ca="1">(TODAY()-Tabla1[[#This Row],[Fecha de nacimiento]])/365</f>
        <v>126.88767123287671</v>
      </c>
      <c r="U129" s="2"/>
      <c r="Z129" s="4" t="s">
        <v>6</v>
      </c>
      <c r="AA129" s="2"/>
      <c r="AB129" s="14">
        <v>46308</v>
      </c>
      <c r="AE129" s="6"/>
      <c r="AH129" s="2"/>
      <c r="AI129" s="1" t="s">
        <v>21</v>
      </c>
    </row>
    <row r="130" spans="1:35" hidden="1" x14ac:dyDescent="0.2">
      <c r="A130" s="13">
        <f>SUBTOTAL(3,B$8:B130)</f>
        <v>38</v>
      </c>
      <c r="B130" s="2" t="s">
        <v>557</v>
      </c>
      <c r="C130" s="9" t="s">
        <v>556</v>
      </c>
      <c r="D130" s="2" t="s">
        <v>555</v>
      </c>
      <c r="E130" s="2" t="s">
        <v>448</v>
      </c>
      <c r="F130" s="12">
        <v>46235</v>
      </c>
      <c r="G130" s="2"/>
      <c r="H130" s="7">
        <v>700</v>
      </c>
      <c r="I130" s="7">
        <v>800</v>
      </c>
      <c r="J130" s="2" t="s">
        <v>17</v>
      </c>
      <c r="K130" s="2" t="s">
        <v>26</v>
      </c>
      <c r="L130" s="2" t="s">
        <v>194</v>
      </c>
      <c r="M130" s="2" t="s">
        <v>257</v>
      </c>
      <c r="N130" s="4">
        <v>38422</v>
      </c>
      <c r="O130" s="11">
        <f ca="1">(TODAY()-Tabla1[[#This Row],[Fecha de nacimiento]])/365</f>
        <v>21.621917808219177</v>
      </c>
      <c r="P130" s="5" t="s">
        <v>10</v>
      </c>
      <c r="Q130" s="5" t="s">
        <v>13</v>
      </c>
      <c r="R130" s="5" t="s">
        <v>554</v>
      </c>
      <c r="S130" s="5" t="s">
        <v>11</v>
      </c>
      <c r="T130" s="5" t="s">
        <v>10</v>
      </c>
      <c r="U130" s="5" t="s">
        <v>9</v>
      </c>
      <c r="V130" s="5" t="s">
        <v>553</v>
      </c>
      <c r="W130" s="3" t="s">
        <v>552</v>
      </c>
      <c r="X130" s="6">
        <v>42083</v>
      </c>
      <c r="Y130" s="6">
        <v>5575055650</v>
      </c>
      <c r="Z130" s="5" t="s">
        <v>6</v>
      </c>
      <c r="AA130" s="5" t="s">
        <v>205</v>
      </c>
      <c r="AB130" s="4">
        <v>45817</v>
      </c>
      <c r="AC130" s="3" t="s">
        <v>551</v>
      </c>
      <c r="AD130" s="5" t="s">
        <v>3</v>
      </c>
      <c r="AE130" s="6">
        <v>7712084357</v>
      </c>
      <c r="AF130" s="5" t="s">
        <v>550</v>
      </c>
      <c r="AG130" s="3" t="s">
        <v>549</v>
      </c>
      <c r="AH130" s="6">
        <v>711155691</v>
      </c>
      <c r="AI130" s="1" t="s">
        <v>84</v>
      </c>
    </row>
    <row r="131" spans="1:35" x14ac:dyDescent="0.2">
      <c r="A131" s="13">
        <f>SUBTOTAL(3,B$8:B131)</f>
        <v>39</v>
      </c>
      <c r="B131" s="28" t="s">
        <v>548</v>
      </c>
      <c r="C131" s="27" t="s">
        <v>547</v>
      </c>
      <c r="D131" s="5" t="s">
        <v>18</v>
      </c>
      <c r="E131" s="5" t="s">
        <v>23</v>
      </c>
      <c r="H131" s="7">
        <v>800</v>
      </c>
      <c r="I131" s="7"/>
      <c r="J131" s="2" t="s">
        <v>17</v>
      </c>
      <c r="K131" s="2" t="s">
        <v>22</v>
      </c>
      <c r="N131" s="4"/>
      <c r="O131" s="11">
        <f ca="1">(TODAY()-Tabla1[[#This Row],[Fecha de nacimiento]])/365</f>
        <v>126.88767123287671</v>
      </c>
      <c r="U131" s="2"/>
      <c r="Z131" s="4" t="s">
        <v>6</v>
      </c>
      <c r="AA131" s="2"/>
      <c r="AB131" s="14">
        <v>46177</v>
      </c>
      <c r="AE131" s="6"/>
      <c r="AH131" s="2"/>
      <c r="AI131" s="1" t="s">
        <v>21</v>
      </c>
    </row>
    <row r="132" spans="1:35" x14ac:dyDescent="0.2">
      <c r="A132" s="13">
        <f>SUBTOTAL(3,B$8:B132)</f>
        <v>40</v>
      </c>
      <c r="B132" s="2" t="s">
        <v>546</v>
      </c>
      <c r="C132" s="9" t="s">
        <v>545</v>
      </c>
      <c r="D132" s="2" t="s">
        <v>18</v>
      </c>
      <c r="E132" s="2" t="s">
        <v>448</v>
      </c>
      <c r="F132" s="12">
        <v>46216</v>
      </c>
      <c r="G132" s="12">
        <v>46266</v>
      </c>
      <c r="H132" s="7">
        <v>600</v>
      </c>
      <c r="I132" s="7">
        <v>700</v>
      </c>
      <c r="J132" s="2" t="s">
        <v>17</v>
      </c>
      <c r="K132" s="2" t="s">
        <v>22</v>
      </c>
      <c r="L132" s="2" t="s">
        <v>258</v>
      </c>
      <c r="M132" s="2" t="s">
        <v>336</v>
      </c>
      <c r="N132" s="4">
        <v>42964</v>
      </c>
      <c r="O132" s="11">
        <f ca="1">(TODAY()-Tabla1[[#This Row],[Fecha de nacimiento]])/365</f>
        <v>9.1780821917808222</v>
      </c>
      <c r="P132" s="5" t="s">
        <v>59</v>
      </c>
      <c r="Q132" s="5" t="s">
        <v>13</v>
      </c>
      <c r="R132" s="26" t="s">
        <v>332</v>
      </c>
      <c r="S132" s="5" t="s">
        <v>36</v>
      </c>
      <c r="T132" s="5" t="s">
        <v>10</v>
      </c>
      <c r="U132" s="5" t="s">
        <v>9</v>
      </c>
      <c r="V132" s="5"/>
      <c r="W132" s="3" t="s">
        <v>335</v>
      </c>
      <c r="X132" s="6">
        <v>42083</v>
      </c>
      <c r="Y132" s="6">
        <v>7712717958</v>
      </c>
      <c r="Z132" s="5" t="s">
        <v>6</v>
      </c>
      <c r="AA132" s="5" t="s">
        <v>334</v>
      </c>
      <c r="AB132" s="4">
        <v>45944</v>
      </c>
      <c r="AC132" s="3" t="s">
        <v>333</v>
      </c>
      <c r="AD132" s="5" t="s">
        <v>3</v>
      </c>
      <c r="AE132" s="6">
        <v>7712717958</v>
      </c>
      <c r="AF132" s="26" t="s">
        <v>332</v>
      </c>
      <c r="AG132" s="3" t="s">
        <v>331</v>
      </c>
      <c r="AH132" s="6">
        <v>7711171157</v>
      </c>
      <c r="AI132" s="1" t="s">
        <v>0</v>
      </c>
    </row>
    <row r="133" spans="1:35" x14ac:dyDescent="0.2">
      <c r="A133" s="13">
        <f>SUBTOTAL(3,B$8:B133)</f>
        <v>41</v>
      </c>
      <c r="B133" s="2" t="s">
        <v>544</v>
      </c>
      <c r="C133" s="9" t="s">
        <v>543</v>
      </c>
      <c r="D133" s="5" t="s">
        <v>18</v>
      </c>
      <c r="E133" s="5" t="s">
        <v>23</v>
      </c>
      <c r="H133" s="7">
        <v>750</v>
      </c>
      <c r="I133" s="7"/>
      <c r="J133" s="2" t="s">
        <v>17</v>
      </c>
      <c r="K133" s="2" t="s">
        <v>22</v>
      </c>
      <c r="N133" s="4"/>
      <c r="O133" s="11">
        <f ca="1">(TODAY()-Tabla1[[#This Row],[Fecha de nacimiento]])/365</f>
        <v>126.88767123287671</v>
      </c>
      <c r="U133" s="2"/>
      <c r="Z133" s="4" t="s">
        <v>6</v>
      </c>
      <c r="AA133" s="2"/>
      <c r="AB133" s="14">
        <v>46286</v>
      </c>
      <c r="AE133" s="6"/>
      <c r="AH133" s="2"/>
      <c r="AI133" s="1" t="s">
        <v>21</v>
      </c>
    </row>
    <row r="134" spans="1:35" hidden="1" x14ac:dyDescent="0.2">
      <c r="A134" s="13">
        <f>SUBTOTAL(3,B$8:B134)</f>
        <v>41</v>
      </c>
      <c r="B134" s="2" t="s">
        <v>542</v>
      </c>
      <c r="C134" s="44" t="s">
        <v>539</v>
      </c>
      <c r="D134" s="5" t="s">
        <v>113</v>
      </c>
      <c r="E134" s="5" t="s">
        <v>23</v>
      </c>
      <c r="H134" s="7" t="s">
        <v>538</v>
      </c>
      <c r="I134" s="7" t="s">
        <v>538</v>
      </c>
      <c r="J134" s="2" t="s">
        <v>17</v>
      </c>
      <c r="K134" s="2" t="s">
        <v>159</v>
      </c>
      <c r="L134" s="4" t="s">
        <v>39</v>
      </c>
      <c r="M134" s="6" t="s">
        <v>541</v>
      </c>
      <c r="N134" s="4">
        <v>44391</v>
      </c>
      <c r="O134" s="11">
        <f ca="1">(TODAY()-Tabla1[[#This Row],[Fecha de nacimiento]])/365</f>
        <v>5.2684931506849315</v>
      </c>
      <c r="P134" s="5" t="s">
        <v>10</v>
      </c>
      <c r="Q134" s="5" t="s">
        <v>13</v>
      </c>
      <c r="R134" s="16" t="s">
        <v>532</v>
      </c>
      <c r="S134" s="2" t="s">
        <v>36</v>
      </c>
      <c r="T134" s="5" t="s">
        <v>10</v>
      </c>
      <c r="U134" s="5" t="s">
        <v>9</v>
      </c>
      <c r="V134" s="5" t="s">
        <v>536</v>
      </c>
      <c r="W134" s="3" t="s">
        <v>535</v>
      </c>
      <c r="X134" s="6">
        <v>42083</v>
      </c>
      <c r="Y134" s="6">
        <v>7712035063</v>
      </c>
      <c r="Z134" s="5" t="s">
        <v>6</v>
      </c>
      <c r="AA134" s="5" t="s">
        <v>334</v>
      </c>
      <c r="AB134" s="4">
        <v>46153</v>
      </c>
      <c r="AC134" s="3" t="s">
        <v>533</v>
      </c>
      <c r="AD134" s="5" t="s">
        <v>3</v>
      </c>
      <c r="AE134" s="6">
        <v>7712035063</v>
      </c>
      <c r="AF134" s="10" t="s">
        <v>532</v>
      </c>
      <c r="AG134" s="3" t="s">
        <v>531</v>
      </c>
      <c r="AH134" s="6">
        <v>7712063750</v>
      </c>
      <c r="AI134" s="1" t="s">
        <v>530</v>
      </c>
    </row>
    <row r="135" spans="1:35" hidden="1" x14ac:dyDescent="0.2">
      <c r="A135" s="13">
        <f>SUBTOTAL(3,B$8:B135)</f>
        <v>41</v>
      </c>
      <c r="B135" s="2" t="s">
        <v>540</v>
      </c>
      <c r="C135" s="9" t="s">
        <v>539</v>
      </c>
      <c r="D135" s="5" t="s">
        <v>113</v>
      </c>
      <c r="E135" s="5" t="s">
        <v>448</v>
      </c>
      <c r="F135" s="12">
        <v>46195</v>
      </c>
      <c r="G135" s="8">
        <v>46216</v>
      </c>
      <c r="H135" s="7" t="s">
        <v>538</v>
      </c>
      <c r="I135" s="7" t="s">
        <v>538</v>
      </c>
      <c r="J135" s="2" t="s">
        <v>105</v>
      </c>
      <c r="K135" s="2" t="s">
        <v>159</v>
      </c>
      <c r="L135" s="4" t="s">
        <v>39</v>
      </c>
      <c r="M135" s="2" t="s">
        <v>537</v>
      </c>
      <c r="N135" s="4">
        <v>44391</v>
      </c>
      <c r="O135" s="11">
        <f ca="1">(TODAY()-Tabla1[[#This Row],[Fecha de nacimiento]])/365</f>
        <v>5.2684931506849315</v>
      </c>
      <c r="P135" s="5" t="s">
        <v>10</v>
      </c>
      <c r="Q135" s="5" t="s">
        <v>13</v>
      </c>
      <c r="R135" s="16" t="s">
        <v>532</v>
      </c>
      <c r="S135" s="2" t="s">
        <v>36</v>
      </c>
      <c r="T135" s="5" t="s">
        <v>10</v>
      </c>
      <c r="U135" s="5" t="s">
        <v>9</v>
      </c>
      <c r="V135" s="5" t="s">
        <v>536</v>
      </c>
      <c r="W135" s="3" t="s">
        <v>535</v>
      </c>
      <c r="X135" s="6">
        <v>42083</v>
      </c>
      <c r="Y135" s="6">
        <v>7712035063</v>
      </c>
      <c r="Z135" s="5" t="s">
        <v>6</v>
      </c>
      <c r="AA135" s="5" t="s">
        <v>534</v>
      </c>
      <c r="AB135" s="4">
        <v>46153</v>
      </c>
      <c r="AC135" s="3" t="s">
        <v>533</v>
      </c>
      <c r="AD135" s="5" t="s">
        <v>3</v>
      </c>
      <c r="AE135" s="6">
        <v>7712035063</v>
      </c>
      <c r="AF135" s="10" t="s">
        <v>532</v>
      </c>
      <c r="AG135" s="3" t="s">
        <v>531</v>
      </c>
      <c r="AH135" s="6">
        <v>7712063750</v>
      </c>
      <c r="AI135" s="1" t="s">
        <v>530</v>
      </c>
    </row>
    <row r="136" spans="1:35" hidden="1" x14ac:dyDescent="0.2">
      <c r="A136" s="13">
        <f>SUBTOTAL(3,B$8:B136)</f>
        <v>41</v>
      </c>
      <c r="B136" s="24" t="s">
        <v>529</v>
      </c>
      <c r="C136" s="23" t="s">
        <v>528</v>
      </c>
      <c r="D136" s="5" t="s">
        <v>113</v>
      </c>
      <c r="E136" s="5" t="s">
        <v>527</v>
      </c>
      <c r="F136" s="12">
        <v>46193</v>
      </c>
      <c r="H136" s="7">
        <v>800</v>
      </c>
      <c r="I136" s="7"/>
      <c r="J136" s="2" t="s">
        <v>17</v>
      </c>
      <c r="K136" s="2" t="s">
        <v>22</v>
      </c>
      <c r="L136" s="4" t="s">
        <v>39</v>
      </c>
      <c r="M136" s="6" t="s">
        <v>220</v>
      </c>
      <c r="N136" s="4">
        <v>42485</v>
      </c>
      <c r="O136" s="11">
        <f ca="1">(TODAY()-Tabla1[[#This Row],[Fecha de nacimiento]])/365</f>
        <v>10.490410958904109</v>
      </c>
      <c r="P136" s="5" t="s">
        <v>10</v>
      </c>
      <c r="Q136" s="2" t="s">
        <v>13</v>
      </c>
      <c r="R136" s="16" t="s">
        <v>524</v>
      </c>
      <c r="S136" s="2" t="s">
        <v>11</v>
      </c>
      <c r="T136" s="2" t="s">
        <v>10</v>
      </c>
      <c r="U136" s="2" t="s">
        <v>9</v>
      </c>
      <c r="W136" s="2" t="s">
        <v>526</v>
      </c>
      <c r="X136" s="2">
        <v>42185</v>
      </c>
      <c r="Y136" s="2">
        <v>7713721196</v>
      </c>
      <c r="Z136" s="4" t="s">
        <v>6</v>
      </c>
      <c r="AA136" s="2" t="s">
        <v>153</v>
      </c>
      <c r="AB136" s="14">
        <v>46156</v>
      </c>
      <c r="AC136" s="2" t="s">
        <v>525</v>
      </c>
      <c r="AD136" s="2" t="s">
        <v>3</v>
      </c>
      <c r="AE136" s="6">
        <v>7713721196</v>
      </c>
      <c r="AF136" s="16" t="s">
        <v>524</v>
      </c>
      <c r="AG136" s="1" t="s">
        <v>523</v>
      </c>
      <c r="AH136" s="2">
        <v>7717821630</v>
      </c>
      <c r="AI136" s="1" t="s">
        <v>367</v>
      </c>
    </row>
    <row r="137" spans="1:35" x14ac:dyDescent="0.2">
      <c r="A137" s="13">
        <f>SUBTOTAL(3,B$8:B137)</f>
        <v>42</v>
      </c>
      <c r="B137" s="33" t="s">
        <v>522</v>
      </c>
      <c r="C137" s="32" t="s">
        <v>521</v>
      </c>
      <c r="D137" s="5" t="s">
        <v>18</v>
      </c>
      <c r="E137" s="5" t="s">
        <v>23</v>
      </c>
      <c r="H137" s="7">
        <v>400</v>
      </c>
      <c r="I137" s="7"/>
      <c r="J137" s="2" t="s">
        <v>17</v>
      </c>
      <c r="K137" s="2" t="s">
        <v>16</v>
      </c>
      <c r="N137" s="4"/>
      <c r="O137" s="11">
        <f ca="1">(TODAY()-Tabla1[[#This Row],[Fecha de nacimiento]])/365</f>
        <v>126.88767123287671</v>
      </c>
      <c r="U137" s="2"/>
      <c r="Z137" s="4" t="s">
        <v>6</v>
      </c>
      <c r="AA137" s="2"/>
      <c r="AB137" s="14">
        <v>46307</v>
      </c>
      <c r="AE137" s="6"/>
      <c r="AH137" s="2"/>
      <c r="AI137" s="1" t="s">
        <v>21</v>
      </c>
    </row>
    <row r="138" spans="1:35" x14ac:dyDescent="0.2">
      <c r="A138" s="13">
        <f>SUBTOTAL(3,B$8:B138)</f>
        <v>43</v>
      </c>
      <c r="B138" s="2" t="s">
        <v>520</v>
      </c>
      <c r="C138" s="9" t="s">
        <v>519</v>
      </c>
      <c r="D138" s="5" t="s">
        <v>18</v>
      </c>
      <c r="E138" s="5" t="s">
        <v>23</v>
      </c>
      <c r="H138" s="7">
        <v>800</v>
      </c>
      <c r="I138" s="7"/>
      <c r="J138" s="2" t="s">
        <v>17</v>
      </c>
      <c r="K138" s="2" t="s">
        <v>26</v>
      </c>
      <c r="N138" s="4">
        <v>35262</v>
      </c>
      <c r="O138" s="11">
        <f ca="1">(TODAY()-Tabla1[[#This Row],[Fecha de nacimiento]])/365</f>
        <v>30.279452054794522</v>
      </c>
      <c r="P138" s="5" t="s">
        <v>518</v>
      </c>
      <c r="Q138" s="2" t="s">
        <v>13</v>
      </c>
      <c r="R138" s="16" t="s">
        <v>517</v>
      </c>
      <c r="S138" s="2" t="s">
        <v>36</v>
      </c>
      <c r="T138" s="2" t="s">
        <v>10</v>
      </c>
      <c r="U138" s="2" t="s">
        <v>9</v>
      </c>
      <c r="V138" s="2" t="s">
        <v>516</v>
      </c>
      <c r="W138" s="2" t="s">
        <v>515</v>
      </c>
      <c r="X138" s="2">
        <v>42184</v>
      </c>
      <c r="Y138" s="2">
        <v>7711899478</v>
      </c>
      <c r="Z138" s="4" t="s">
        <v>6</v>
      </c>
      <c r="AA138" s="2" t="s">
        <v>252</v>
      </c>
      <c r="AB138" s="14">
        <v>46287</v>
      </c>
      <c r="AE138" s="6"/>
      <c r="AG138" s="1" t="s">
        <v>514</v>
      </c>
      <c r="AH138" s="2">
        <v>7711655275</v>
      </c>
      <c r="AI138" s="1" t="s">
        <v>21</v>
      </c>
    </row>
    <row r="139" spans="1:35" x14ac:dyDescent="0.2">
      <c r="A139" s="13">
        <f>SUBTOTAL(3,B$8:B139)</f>
        <v>44</v>
      </c>
      <c r="B139" s="2" t="s">
        <v>513</v>
      </c>
      <c r="C139" s="9" t="s">
        <v>512</v>
      </c>
      <c r="D139" s="5" t="s">
        <v>18</v>
      </c>
      <c r="E139" s="5" t="s">
        <v>23</v>
      </c>
      <c r="H139" s="7">
        <v>800</v>
      </c>
      <c r="I139" s="7"/>
      <c r="J139" s="2" t="s">
        <v>17</v>
      </c>
      <c r="K139" s="2" t="s">
        <v>22</v>
      </c>
      <c r="N139" s="4"/>
      <c r="O139" s="11">
        <f ca="1">(TODAY()-Tabla1[[#This Row],[Fecha de nacimiento]])/365</f>
        <v>126.88767123287671</v>
      </c>
      <c r="U139" s="2"/>
      <c r="Z139" s="4" t="s">
        <v>6</v>
      </c>
      <c r="AA139" s="2"/>
      <c r="AB139" s="14">
        <v>46268</v>
      </c>
      <c r="AE139" s="6"/>
      <c r="AH139" s="2"/>
      <c r="AI139" s="1" t="s">
        <v>21</v>
      </c>
    </row>
    <row r="140" spans="1:35" x14ac:dyDescent="0.2">
      <c r="A140" s="13">
        <f>SUBTOTAL(3,B$8:B140)</f>
        <v>45</v>
      </c>
      <c r="B140" s="30" t="s">
        <v>511</v>
      </c>
      <c r="C140" s="29" t="s">
        <v>510</v>
      </c>
      <c r="D140" s="5" t="s">
        <v>18</v>
      </c>
      <c r="E140" s="5" t="s">
        <v>23</v>
      </c>
      <c r="H140" s="7">
        <v>400</v>
      </c>
      <c r="I140" s="7"/>
      <c r="J140" s="2" t="s">
        <v>17</v>
      </c>
      <c r="K140" s="2" t="s">
        <v>22</v>
      </c>
      <c r="L140" s="4" t="s">
        <v>39</v>
      </c>
      <c r="M140" s="6" t="s">
        <v>50</v>
      </c>
      <c r="N140" s="4">
        <v>42811</v>
      </c>
      <c r="O140" s="11">
        <f ca="1">(TODAY()-Tabla1[[#This Row],[Fecha de nacimiento]])/365</f>
        <v>9.5972602739726032</v>
      </c>
      <c r="P140" s="5" t="s">
        <v>59</v>
      </c>
      <c r="Q140" s="2" t="s">
        <v>13</v>
      </c>
      <c r="R140" s="16" t="s">
        <v>506</v>
      </c>
      <c r="S140" s="2" t="s">
        <v>11</v>
      </c>
      <c r="T140" s="2" t="s">
        <v>10</v>
      </c>
      <c r="U140" s="2" t="s">
        <v>9</v>
      </c>
      <c r="V140" s="2" t="s">
        <v>509</v>
      </c>
      <c r="W140" s="2" t="s">
        <v>508</v>
      </c>
      <c r="X140" s="2">
        <v>42083</v>
      </c>
      <c r="Y140" s="2">
        <v>7711897396</v>
      </c>
      <c r="Z140" s="4" t="s">
        <v>6</v>
      </c>
      <c r="AA140" s="2" t="s">
        <v>286</v>
      </c>
      <c r="AB140" s="14">
        <v>46179</v>
      </c>
      <c r="AC140" s="2" t="s">
        <v>507</v>
      </c>
      <c r="AD140" s="2" t="s">
        <v>3</v>
      </c>
      <c r="AE140" s="6">
        <v>7711897396</v>
      </c>
      <c r="AF140" s="16" t="s">
        <v>506</v>
      </c>
      <c r="AG140" s="1" t="s">
        <v>505</v>
      </c>
      <c r="AH140" s="2">
        <v>7711941421</v>
      </c>
      <c r="AI140" s="1" t="s">
        <v>21</v>
      </c>
    </row>
    <row r="141" spans="1:35" x14ac:dyDescent="0.2">
      <c r="A141" s="13">
        <f>SUBTOTAL(3,B$8:B141)</f>
        <v>46</v>
      </c>
      <c r="B141" s="2" t="s">
        <v>504</v>
      </c>
      <c r="C141" s="9" t="s">
        <v>503</v>
      </c>
      <c r="D141" s="5" t="s">
        <v>18</v>
      </c>
      <c r="E141" s="5" t="s">
        <v>448</v>
      </c>
      <c r="G141" s="8">
        <v>46300</v>
      </c>
      <c r="H141" s="7">
        <v>800</v>
      </c>
      <c r="I141" s="7"/>
      <c r="J141" s="2" t="s">
        <v>17</v>
      </c>
      <c r="K141" s="2" t="s">
        <v>22</v>
      </c>
      <c r="L141" s="2" t="s">
        <v>39</v>
      </c>
      <c r="M141" s="2" t="s">
        <v>92</v>
      </c>
      <c r="N141" s="4">
        <v>42832</v>
      </c>
      <c r="O141" s="11">
        <f ca="1">(TODAY()-Tabla1[[#This Row],[Fecha de nacimiento]])/365</f>
        <v>9.5397260273972595</v>
      </c>
      <c r="P141" s="5" t="s">
        <v>91</v>
      </c>
      <c r="Q141" s="5" t="s">
        <v>13</v>
      </c>
      <c r="R141" s="10" t="s">
        <v>499</v>
      </c>
      <c r="S141" s="2" t="s">
        <v>11</v>
      </c>
      <c r="T141" s="2" t="s">
        <v>10</v>
      </c>
      <c r="U141" s="2" t="s">
        <v>9</v>
      </c>
      <c r="V141" s="2" t="s">
        <v>502</v>
      </c>
      <c r="W141" s="1" t="s">
        <v>501</v>
      </c>
      <c r="X141" s="2">
        <v>42119</v>
      </c>
      <c r="Y141" s="2">
        <v>5521201190</v>
      </c>
      <c r="Z141" s="2" t="s">
        <v>6</v>
      </c>
      <c r="AA141" s="2" t="s">
        <v>126</v>
      </c>
      <c r="AB141" s="4">
        <v>46002</v>
      </c>
      <c r="AC141" s="1" t="s">
        <v>500</v>
      </c>
      <c r="AD141" s="2" t="s">
        <v>3</v>
      </c>
      <c r="AE141" s="2">
        <v>5521201190</v>
      </c>
      <c r="AF141" s="16" t="s">
        <v>499</v>
      </c>
      <c r="AG141" s="3" t="s">
        <v>498</v>
      </c>
      <c r="AH141" s="2">
        <v>5523069999</v>
      </c>
      <c r="AI141" s="1" t="s">
        <v>21</v>
      </c>
    </row>
    <row r="142" spans="1:35" x14ac:dyDescent="0.2">
      <c r="A142" s="13">
        <f>SUBTOTAL(3,B$8:B142)</f>
        <v>47</v>
      </c>
      <c r="B142" s="33" t="s">
        <v>497</v>
      </c>
      <c r="C142" s="32" t="s">
        <v>496</v>
      </c>
      <c r="D142" s="5" t="s">
        <v>18</v>
      </c>
      <c r="E142" s="5" t="s">
        <v>23</v>
      </c>
      <c r="H142" s="7">
        <v>800</v>
      </c>
      <c r="I142" s="7"/>
      <c r="J142" s="2" t="s">
        <v>17</v>
      </c>
      <c r="K142" s="2" t="s">
        <v>26</v>
      </c>
      <c r="N142" s="4"/>
      <c r="O142" s="11">
        <f ca="1">(TODAY()-Tabla1[[#This Row],[Fecha de nacimiento]])/365</f>
        <v>126.88767123287671</v>
      </c>
      <c r="U142" s="2"/>
      <c r="Z142" s="4" t="s">
        <v>6</v>
      </c>
      <c r="AA142" s="2"/>
      <c r="AB142" s="14">
        <v>46302</v>
      </c>
      <c r="AE142" s="6"/>
      <c r="AH142" s="2"/>
      <c r="AI142" s="1" t="s">
        <v>21</v>
      </c>
    </row>
    <row r="143" spans="1:35" x14ac:dyDescent="0.2">
      <c r="A143" s="13">
        <f>SUBTOTAL(3,B$8:B143)</f>
        <v>48</v>
      </c>
      <c r="B143" s="2" t="s">
        <v>495</v>
      </c>
      <c r="C143" s="9" t="s">
        <v>493</v>
      </c>
      <c r="D143" s="5" t="s">
        <v>18</v>
      </c>
      <c r="E143" s="5" t="s">
        <v>23</v>
      </c>
      <c r="H143" s="7">
        <v>750</v>
      </c>
      <c r="I143" s="7"/>
      <c r="J143" s="2" t="s">
        <v>17</v>
      </c>
      <c r="K143" s="2" t="s">
        <v>16</v>
      </c>
      <c r="N143" s="4"/>
      <c r="O143" s="11">
        <f ca="1">(TODAY()-Tabla1[[#This Row],[Fecha de nacimiento]])/365</f>
        <v>126.88767123287671</v>
      </c>
      <c r="U143" s="2"/>
      <c r="Z143" s="4" t="s">
        <v>6</v>
      </c>
      <c r="AA143" s="2"/>
      <c r="AB143" s="14">
        <v>46286</v>
      </c>
      <c r="AE143" s="6"/>
      <c r="AH143" s="2"/>
      <c r="AI143" s="1" t="s">
        <v>21</v>
      </c>
    </row>
    <row r="144" spans="1:35" x14ac:dyDescent="0.2">
      <c r="A144" s="13">
        <f>SUBTOTAL(3,B$8:B144)</f>
        <v>49</v>
      </c>
      <c r="B144" s="2" t="s">
        <v>494</v>
      </c>
      <c r="C144" s="9" t="s">
        <v>493</v>
      </c>
      <c r="D144" s="5" t="s">
        <v>18</v>
      </c>
      <c r="E144" s="5" t="s">
        <v>23</v>
      </c>
      <c r="H144" s="7">
        <v>250</v>
      </c>
      <c r="I144" s="7"/>
      <c r="J144" s="2" t="s">
        <v>105</v>
      </c>
      <c r="K144" s="2" t="s">
        <v>16</v>
      </c>
      <c r="N144" s="4"/>
      <c r="O144" s="11">
        <f ca="1">(TODAY()-Tabla1[[#This Row],[Fecha de nacimiento]])/365</f>
        <v>126.88767123287671</v>
      </c>
      <c r="U144" s="2"/>
      <c r="Z144" s="4" t="s">
        <v>6</v>
      </c>
      <c r="AA144" s="2"/>
      <c r="AB144" s="14">
        <v>46294</v>
      </c>
      <c r="AE144" s="6"/>
      <c r="AH144" s="2"/>
      <c r="AI144" s="1" t="s">
        <v>21</v>
      </c>
    </row>
    <row r="145" spans="1:35" hidden="1" x14ac:dyDescent="0.2">
      <c r="A145" s="13">
        <f>SUBTOTAL(3,B$8:B145)</f>
        <v>49</v>
      </c>
      <c r="B145" s="2" t="s">
        <v>492</v>
      </c>
      <c r="C145" s="41" t="s">
        <v>491</v>
      </c>
      <c r="D145" s="18" t="s">
        <v>113</v>
      </c>
      <c r="E145" s="18" t="s">
        <v>490</v>
      </c>
      <c r="F145" s="12" t="s">
        <v>489</v>
      </c>
      <c r="G145" s="22">
        <v>46265</v>
      </c>
      <c r="H145" s="7">
        <v>800</v>
      </c>
      <c r="I145" s="7"/>
      <c r="J145" s="2" t="s">
        <v>17</v>
      </c>
      <c r="K145" s="2" t="s">
        <v>22</v>
      </c>
      <c r="L145" s="4" t="s">
        <v>39</v>
      </c>
      <c r="M145" s="6" t="s">
        <v>92</v>
      </c>
      <c r="N145" s="4">
        <v>42681</v>
      </c>
      <c r="O145" s="11">
        <f ca="1">(TODAY()-Tabla1[[#This Row],[Fecha de nacimiento]])/365</f>
        <v>9.9534246575342458</v>
      </c>
      <c r="P145" s="5" t="s">
        <v>59</v>
      </c>
      <c r="Q145" s="2" t="s">
        <v>13</v>
      </c>
      <c r="R145" s="16" t="s">
        <v>484</v>
      </c>
      <c r="S145" s="2" t="s">
        <v>11</v>
      </c>
      <c r="T145" s="2" t="s">
        <v>10</v>
      </c>
      <c r="U145" s="2" t="s">
        <v>9</v>
      </c>
      <c r="V145" s="2" t="s">
        <v>488</v>
      </c>
      <c r="W145" s="2" t="s">
        <v>487</v>
      </c>
      <c r="X145" s="2">
        <v>42185</v>
      </c>
      <c r="Y145" s="2">
        <v>7711808718</v>
      </c>
      <c r="Z145" s="4" t="s">
        <v>6</v>
      </c>
      <c r="AA145" s="2" t="s">
        <v>486</v>
      </c>
      <c r="AB145" s="14">
        <v>46174</v>
      </c>
      <c r="AC145" s="2" t="s">
        <v>485</v>
      </c>
      <c r="AD145" s="2" t="s">
        <v>3</v>
      </c>
      <c r="AE145" s="6">
        <v>7711808718</v>
      </c>
      <c r="AF145" s="16" t="s">
        <v>484</v>
      </c>
      <c r="AG145" s="1" t="s">
        <v>483</v>
      </c>
      <c r="AH145" s="2">
        <v>7712215625</v>
      </c>
      <c r="AI145" s="1" t="s">
        <v>21</v>
      </c>
    </row>
    <row r="146" spans="1:35" hidden="1" x14ac:dyDescent="0.2">
      <c r="A146" s="13">
        <f>SUBTOTAL(3,B$8:B146)</f>
        <v>49</v>
      </c>
      <c r="B146" s="24" t="s">
        <v>482</v>
      </c>
      <c r="C146" s="23" t="s">
        <v>481</v>
      </c>
      <c r="D146" s="5" t="s">
        <v>113</v>
      </c>
      <c r="E146" s="5" t="s">
        <v>23</v>
      </c>
      <c r="H146" s="7">
        <v>800</v>
      </c>
      <c r="I146" s="7"/>
      <c r="J146" s="2" t="s">
        <v>17</v>
      </c>
      <c r="K146" s="2" t="s">
        <v>22</v>
      </c>
      <c r="L146" s="4" t="s">
        <v>15</v>
      </c>
      <c r="M146" s="6" t="s">
        <v>220</v>
      </c>
      <c r="N146" s="4">
        <v>42396</v>
      </c>
      <c r="O146" s="11">
        <f ca="1">(TODAY()-Tabla1[[#This Row],[Fecha de nacimiento]])/365</f>
        <v>10.734246575342466</v>
      </c>
      <c r="P146" s="5" t="s">
        <v>231</v>
      </c>
      <c r="Q146" s="2" t="s">
        <v>13</v>
      </c>
      <c r="R146" s="16" t="s">
        <v>480</v>
      </c>
      <c r="S146" s="2" t="s">
        <v>36</v>
      </c>
      <c r="T146" s="2" t="s">
        <v>10</v>
      </c>
      <c r="U146" s="2" t="s">
        <v>9</v>
      </c>
      <c r="W146" s="2" t="s">
        <v>479</v>
      </c>
      <c r="X146" s="2">
        <v>43845</v>
      </c>
      <c r="Y146" s="2">
        <v>7712434213</v>
      </c>
      <c r="Z146" s="4" t="s">
        <v>6</v>
      </c>
      <c r="AA146" s="2" t="s">
        <v>153</v>
      </c>
      <c r="AB146" s="14">
        <v>46175</v>
      </c>
      <c r="AC146" s="2" t="s">
        <v>478</v>
      </c>
      <c r="AD146" s="2" t="s">
        <v>3</v>
      </c>
      <c r="AE146" s="6">
        <v>7712434213</v>
      </c>
      <c r="AF146" s="16" t="s">
        <v>477</v>
      </c>
      <c r="AG146" s="1" t="s">
        <v>476</v>
      </c>
      <c r="AH146" s="2">
        <v>5527584810</v>
      </c>
      <c r="AI146" s="1" t="s">
        <v>21</v>
      </c>
    </row>
    <row r="147" spans="1:35" hidden="1" x14ac:dyDescent="0.2">
      <c r="A147" s="13">
        <f>SUBTOTAL(3,B$8:B147)</f>
        <v>49</v>
      </c>
      <c r="B147" s="37" t="s">
        <v>475</v>
      </c>
      <c r="C147" s="36" t="s">
        <v>474</v>
      </c>
      <c r="D147" s="35" t="s">
        <v>113</v>
      </c>
      <c r="E147" s="35" t="s">
        <v>23</v>
      </c>
      <c r="F147" s="8">
        <v>46296</v>
      </c>
      <c r="H147" s="7">
        <v>800</v>
      </c>
      <c r="I147" s="7"/>
      <c r="J147" s="2" t="s">
        <v>17</v>
      </c>
      <c r="K147" s="2" t="s">
        <v>26</v>
      </c>
      <c r="L147" s="4" t="s">
        <v>473</v>
      </c>
      <c r="M147" s="6" t="s">
        <v>472</v>
      </c>
      <c r="N147" s="4">
        <v>36797</v>
      </c>
      <c r="O147" s="11">
        <f ca="1">(TODAY()-Tabla1[[#This Row],[Fecha de nacimiento]])/365</f>
        <v>26.073972602739726</v>
      </c>
      <c r="P147" s="5" t="s">
        <v>59</v>
      </c>
      <c r="Q147" s="2" t="s">
        <v>13</v>
      </c>
      <c r="R147" s="16" t="s">
        <v>471</v>
      </c>
      <c r="S147" s="2" t="s">
        <v>11</v>
      </c>
      <c r="T147" s="2" t="s">
        <v>10</v>
      </c>
      <c r="U147" s="2" t="s">
        <v>9</v>
      </c>
      <c r="V147" s="2" t="s">
        <v>470</v>
      </c>
      <c r="W147" s="2" t="s">
        <v>469</v>
      </c>
      <c r="X147" s="2">
        <v>42083</v>
      </c>
      <c r="Y147" s="2">
        <v>7711575142</v>
      </c>
      <c r="Z147" s="4" t="s">
        <v>6</v>
      </c>
      <c r="AA147" s="2" t="s">
        <v>468</v>
      </c>
      <c r="AB147" s="14">
        <v>46178</v>
      </c>
      <c r="AC147" s="2" t="s">
        <v>467</v>
      </c>
      <c r="AD147" s="2" t="s">
        <v>466</v>
      </c>
      <c r="AE147" s="6">
        <v>5574430407</v>
      </c>
      <c r="AF147" s="16" t="s">
        <v>465</v>
      </c>
      <c r="AG147" s="1" t="s">
        <v>464</v>
      </c>
      <c r="AH147" s="2">
        <v>7712912674</v>
      </c>
      <c r="AI147" s="1" t="s">
        <v>21</v>
      </c>
    </row>
    <row r="148" spans="1:35" x14ac:dyDescent="0.2">
      <c r="A148" s="13">
        <f>SUBTOTAL(3,B$8:B148)</f>
        <v>50</v>
      </c>
      <c r="B148" s="2" t="s">
        <v>463</v>
      </c>
      <c r="C148" s="9" t="s">
        <v>462</v>
      </c>
      <c r="D148" s="2" t="s">
        <v>18</v>
      </c>
      <c r="E148" s="2" t="s">
        <v>461</v>
      </c>
      <c r="F148" s="12">
        <v>46193</v>
      </c>
      <c r="G148" s="12">
        <v>46224</v>
      </c>
      <c r="H148" s="7">
        <v>700</v>
      </c>
      <c r="I148" s="7">
        <v>800</v>
      </c>
      <c r="J148" s="2" t="s">
        <v>17</v>
      </c>
      <c r="K148" s="2" t="s">
        <v>16</v>
      </c>
      <c r="L148" s="2"/>
      <c r="M148" s="2" t="s">
        <v>460</v>
      </c>
      <c r="N148" s="4">
        <v>41535</v>
      </c>
      <c r="O148" s="11">
        <f ca="1">(TODAY()-Tabla1[[#This Row],[Fecha de nacimiento]])/365</f>
        <v>13.093150684931507</v>
      </c>
      <c r="P148" s="5" t="s">
        <v>10</v>
      </c>
      <c r="Q148" s="5" t="s">
        <v>13</v>
      </c>
      <c r="R148" s="5" t="s">
        <v>455</v>
      </c>
      <c r="S148" s="5" t="s">
        <v>36</v>
      </c>
      <c r="T148" s="5" t="s">
        <v>10</v>
      </c>
      <c r="U148" s="5" t="s">
        <v>9</v>
      </c>
      <c r="V148" s="5" t="s">
        <v>459</v>
      </c>
      <c r="W148" s="3" t="s">
        <v>458</v>
      </c>
      <c r="X148" s="6">
        <v>42083</v>
      </c>
      <c r="Y148" s="6">
        <v>7712755530</v>
      </c>
      <c r="Z148" s="5" t="s">
        <v>6</v>
      </c>
      <c r="AA148" s="5" t="s">
        <v>457</v>
      </c>
      <c r="AB148" s="4">
        <v>45824</v>
      </c>
      <c r="AC148" s="3" t="s">
        <v>456</v>
      </c>
      <c r="AD148" s="5" t="s">
        <v>3</v>
      </c>
      <c r="AE148" s="6">
        <v>7712755530</v>
      </c>
      <c r="AF148" s="5" t="s">
        <v>455</v>
      </c>
      <c r="AG148" s="3" t="s">
        <v>454</v>
      </c>
      <c r="AH148" s="6">
        <v>7712841550</v>
      </c>
      <c r="AI148" s="1" t="s">
        <v>84</v>
      </c>
    </row>
    <row r="149" spans="1:35" x14ac:dyDescent="0.2">
      <c r="A149" s="13">
        <f>SUBTOTAL(3,B$8:B149)</f>
        <v>51</v>
      </c>
      <c r="B149" s="2" t="s">
        <v>453</v>
      </c>
      <c r="C149" s="9" t="s">
        <v>452</v>
      </c>
      <c r="D149" s="5" t="s">
        <v>18</v>
      </c>
      <c r="E149" s="5" t="s">
        <v>23</v>
      </c>
      <c r="G149" s="5"/>
      <c r="H149" s="7">
        <v>750</v>
      </c>
      <c r="I149" s="7">
        <v>750</v>
      </c>
      <c r="J149" s="2" t="s">
        <v>17</v>
      </c>
      <c r="K149" s="2" t="s">
        <v>16</v>
      </c>
      <c r="L149" s="2"/>
      <c r="M149" s="4" t="s">
        <v>262</v>
      </c>
      <c r="N149" s="4">
        <v>41110</v>
      </c>
      <c r="O149" s="11">
        <f ca="1">(TODAY()-Tabla1[[#This Row],[Fecha de nacimiento]])/365</f>
        <v>14.257534246575343</v>
      </c>
      <c r="P149" s="5" t="s">
        <v>146</v>
      </c>
      <c r="Q149" s="5" t="s">
        <v>13</v>
      </c>
      <c r="R149" s="16" t="s">
        <v>141</v>
      </c>
      <c r="S149" s="2" t="s">
        <v>36</v>
      </c>
      <c r="T149" s="2" t="s">
        <v>10</v>
      </c>
      <c r="U149" s="2" t="s">
        <v>9</v>
      </c>
      <c r="V149" s="2" t="s">
        <v>145</v>
      </c>
      <c r="W149" s="2" t="s">
        <v>144</v>
      </c>
      <c r="X149" s="2">
        <v>42083</v>
      </c>
      <c r="Y149" s="2" t="s">
        <v>127</v>
      </c>
      <c r="Z149" s="2" t="s">
        <v>6</v>
      </c>
      <c r="AA149" s="4" t="s">
        <v>244</v>
      </c>
      <c r="AB149" s="14">
        <v>46144</v>
      </c>
      <c r="AC149" s="2" t="s">
        <v>142</v>
      </c>
      <c r="AD149" s="2" t="s">
        <v>3</v>
      </c>
      <c r="AE149" s="2">
        <v>9371269511</v>
      </c>
      <c r="AF149" s="10" t="s">
        <v>141</v>
      </c>
      <c r="AG149" s="2" t="s">
        <v>140</v>
      </c>
      <c r="AH149" s="2">
        <v>9621702392</v>
      </c>
      <c r="AI149" s="1" t="s">
        <v>84</v>
      </c>
    </row>
    <row r="150" spans="1:35" x14ac:dyDescent="0.2">
      <c r="A150" s="13">
        <f>SUBTOTAL(3,B$8:B150)</f>
        <v>52</v>
      </c>
      <c r="B150" s="2" t="s">
        <v>451</v>
      </c>
      <c r="C150" s="9" t="s">
        <v>449</v>
      </c>
      <c r="D150" s="2" t="s">
        <v>18</v>
      </c>
      <c r="E150" s="2" t="s">
        <v>448</v>
      </c>
      <c r="F150" s="12">
        <v>46195</v>
      </c>
      <c r="G150" s="12">
        <v>46216</v>
      </c>
      <c r="H150" s="7">
        <v>700</v>
      </c>
      <c r="I150" s="7">
        <v>800</v>
      </c>
      <c r="J150" s="2" t="s">
        <v>17</v>
      </c>
      <c r="K150" s="2" t="s">
        <v>22</v>
      </c>
      <c r="L150" s="2" t="s">
        <v>15</v>
      </c>
      <c r="M150" s="2" t="s">
        <v>336</v>
      </c>
      <c r="N150" s="4">
        <v>43316</v>
      </c>
      <c r="O150" s="11">
        <f ca="1">(TODAY()-Tabla1[[#This Row],[Fecha de nacimiento]])/365</f>
        <v>8.213698630136987</v>
      </c>
      <c r="P150" s="5" t="s">
        <v>231</v>
      </c>
      <c r="Q150" s="5" t="s">
        <v>13</v>
      </c>
      <c r="R150" s="26" t="s">
        <v>446</v>
      </c>
      <c r="S150" s="5" t="s">
        <v>11</v>
      </c>
      <c r="T150" s="5" t="s">
        <v>10</v>
      </c>
      <c r="U150" s="5" t="s">
        <v>9</v>
      </c>
      <c r="V150" s="5" t="s">
        <v>445</v>
      </c>
      <c r="W150" s="3" t="s">
        <v>444</v>
      </c>
      <c r="X150" s="6">
        <v>42090</v>
      </c>
      <c r="Y150" s="6">
        <v>7713965108</v>
      </c>
      <c r="Z150" s="5" t="s">
        <v>6</v>
      </c>
      <c r="AA150" s="5" t="s">
        <v>334</v>
      </c>
      <c r="AB150" s="4">
        <v>45888</v>
      </c>
      <c r="AC150" s="3" t="s">
        <v>443</v>
      </c>
      <c r="AD150" s="5" t="s">
        <v>3</v>
      </c>
      <c r="AE150" s="6">
        <v>7713965108</v>
      </c>
      <c r="AF150" s="26" t="s">
        <v>442</v>
      </c>
      <c r="AG150" s="3" t="s">
        <v>441</v>
      </c>
      <c r="AH150" s="6">
        <v>7715678072</v>
      </c>
      <c r="AI150" s="1" t="s">
        <v>84</v>
      </c>
    </row>
    <row r="151" spans="1:35" x14ac:dyDescent="0.2">
      <c r="A151" s="13">
        <f>SUBTOTAL(3,B$8:B151)</f>
        <v>53</v>
      </c>
      <c r="B151" s="2" t="s">
        <v>450</v>
      </c>
      <c r="C151" s="9" t="s">
        <v>449</v>
      </c>
      <c r="D151" s="5" t="s">
        <v>18</v>
      </c>
      <c r="E151" s="5" t="s">
        <v>448</v>
      </c>
      <c r="F151" s="8">
        <v>46195</v>
      </c>
      <c r="G151" s="8">
        <v>46216</v>
      </c>
      <c r="H151" s="7">
        <v>300</v>
      </c>
      <c r="I151" s="7">
        <v>400</v>
      </c>
      <c r="J151" s="2" t="s">
        <v>105</v>
      </c>
      <c r="K151" s="2" t="s">
        <v>22</v>
      </c>
      <c r="L151" s="2" t="s">
        <v>39</v>
      </c>
      <c r="M151" s="2" t="s">
        <v>447</v>
      </c>
      <c r="N151" s="4">
        <v>43319</v>
      </c>
      <c r="O151" s="11">
        <f ca="1">(TODAY()-Tabla1[[#This Row],[Fecha de nacimiento]])/365</f>
        <v>8.205479452054794</v>
      </c>
      <c r="P151" s="5" t="s">
        <v>231</v>
      </c>
      <c r="Q151" s="5" t="s">
        <v>13</v>
      </c>
      <c r="R151" s="26" t="s">
        <v>446</v>
      </c>
      <c r="S151" s="5" t="s">
        <v>11</v>
      </c>
      <c r="T151" s="5" t="s">
        <v>10</v>
      </c>
      <c r="U151" s="5" t="s">
        <v>9</v>
      </c>
      <c r="V151" s="5" t="s">
        <v>445</v>
      </c>
      <c r="W151" s="3" t="s">
        <v>444</v>
      </c>
      <c r="X151" s="6">
        <v>42090</v>
      </c>
      <c r="Y151" s="6">
        <v>7713965108</v>
      </c>
      <c r="Z151" s="5" t="s">
        <v>6</v>
      </c>
      <c r="AA151" s="5" t="s">
        <v>433</v>
      </c>
      <c r="AB151" s="4">
        <v>45888</v>
      </c>
      <c r="AC151" s="3" t="s">
        <v>443</v>
      </c>
      <c r="AD151" s="5" t="s">
        <v>3</v>
      </c>
      <c r="AE151" s="6">
        <v>7713965108</v>
      </c>
      <c r="AF151" s="26" t="s">
        <v>442</v>
      </c>
      <c r="AG151" s="3" t="s">
        <v>441</v>
      </c>
      <c r="AH151" s="6">
        <v>7715678072</v>
      </c>
      <c r="AI151" s="1" t="s">
        <v>84</v>
      </c>
    </row>
    <row r="152" spans="1:35" hidden="1" x14ac:dyDescent="0.2">
      <c r="A152" s="13">
        <f>SUBTOTAL(3,B$8:B152)</f>
        <v>53</v>
      </c>
      <c r="B152" s="30" t="s">
        <v>440</v>
      </c>
      <c r="C152" s="48" t="s">
        <v>439</v>
      </c>
      <c r="D152" s="5" t="s">
        <v>113</v>
      </c>
      <c r="E152" s="5" t="s">
        <v>23</v>
      </c>
      <c r="H152" s="7">
        <v>400</v>
      </c>
      <c r="I152" s="7"/>
      <c r="J152" s="2" t="s">
        <v>17</v>
      </c>
      <c r="K152" s="2" t="s">
        <v>16</v>
      </c>
      <c r="N152" s="4">
        <v>41466</v>
      </c>
      <c r="O152" s="11">
        <f ca="1">(TODAY()-Tabla1[[#This Row],[Fecha de nacimiento]])/365</f>
        <v>13.282191780821918</v>
      </c>
      <c r="P152" s="5" t="s">
        <v>91</v>
      </c>
      <c r="Q152" s="2" t="s">
        <v>13</v>
      </c>
      <c r="R152" s="2" t="s">
        <v>431</v>
      </c>
      <c r="S152" s="2" t="s">
        <v>36</v>
      </c>
      <c r="T152" s="2" t="s">
        <v>10</v>
      </c>
      <c r="U152" s="2" t="s">
        <v>9</v>
      </c>
      <c r="V152" s="2" t="s">
        <v>438</v>
      </c>
      <c r="W152" s="2" t="s">
        <v>434</v>
      </c>
      <c r="X152" s="2">
        <v>42083</v>
      </c>
      <c r="Y152" s="2">
        <v>5537050460</v>
      </c>
      <c r="Z152" s="4" t="s">
        <v>6</v>
      </c>
      <c r="AA152" s="2" t="s">
        <v>433</v>
      </c>
      <c r="AB152" s="14">
        <v>46191</v>
      </c>
      <c r="AC152" s="2" t="s">
        <v>432</v>
      </c>
      <c r="AD152" s="2" t="s">
        <v>3</v>
      </c>
      <c r="AE152" s="6">
        <v>5537050460</v>
      </c>
      <c r="AF152" s="2" t="s">
        <v>431</v>
      </c>
      <c r="AG152" s="1" t="s">
        <v>430</v>
      </c>
      <c r="AH152" s="2">
        <v>5527101727</v>
      </c>
      <c r="AI152" s="1" t="s">
        <v>21</v>
      </c>
    </row>
    <row r="153" spans="1:35" hidden="1" x14ac:dyDescent="0.2">
      <c r="A153" s="13">
        <f>SUBTOTAL(3,B$8:B153)</f>
        <v>53</v>
      </c>
      <c r="B153" s="30" t="s">
        <v>437</v>
      </c>
      <c r="C153" s="29" t="s">
        <v>436</v>
      </c>
      <c r="D153" s="5" t="s">
        <v>113</v>
      </c>
      <c r="E153" s="5" t="s">
        <v>23</v>
      </c>
      <c r="H153" s="7">
        <v>400</v>
      </c>
      <c r="I153" s="7"/>
      <c r="J153" s="2" t="s">
        <v>17</v>
      </c>
      <c r="K153" s="2" t="s">
        <v>16</v>
      </c>
      <c r="N153" s="4">
        <v>40725</v>
      </c>
      <c r="O153" s="11">
        <f ca="1">(TODAY()-Tabla1[[#This Row],[Fecha de nacimiento]])/365</f>
        <v>15.312328767123288</v>
      </c>
      <c r="P153" s="5" t="s">
        <v>91</v>
      </c>
      <c r="Q153" s="2" t="s">
        <v>13</v>
      </c>
      <c r="R153" s="2" t="s">
        <v>431</v>
      </c>
      <c r="S153" s="2" t="s">
        <v>36</v>
      </c>
      <c r="T153" s="2" t="s">
        <v>10</v>
      </c>
      <c r="U153" s="2" t="s">
        <v>9</v>
      </c>
      <c r="V153" s="2" t="s">
        <v>435</v>
      </c>
      <c r="W153" s="2" t="s">
        <v>434</v>
      </c>
      <c r="X153" s="2">
        <v>42083</v>
      </c>
      <c r="Y153" s="2">
        <v>5537050460</v>
      </c>
      <c r="Z153" s="4" t="s">
        <v>6</v>
      </c>
      <c r="AA153" s="2" t="s">
        <v>433</v>
      </c>
      <c r="AB153" s="14">
        <v>46191</v>
      </c>
      <c r="AC153" s="2" t="s">
        <v>432</v>
      </c>
      <c r="AD153" s="2" t="s">
        <v>3</v>
      </c>
      <c r="AE153" s="6">
        <v>5537050460</v>
      </c>
      <c r="AF153" s="2" t="s">
        <v>431</v>
      </c>
      <c r="AG153" s="1" t="s">
        <v>430</v>
      </c>
      <c r="AH153" s="2">
        <v>5527101727</v>
      </c>
      <c r="AI153" s="1" t="s">
        <v>21</v>
      </c>
    </row>
    <row r="154" spans="1:35" x14ac:dyDescent="0.2">
      <c r="A154" s="13">
        <f>SUBTOTAL(3,B$8:B154)</f>
        <v>54</v>
      </c>
      <c r="B154" s="28" t="s">
        <v>429</v>
      </c>
      <c r="C154" s="27" t="s">
        <v>428</v>
      </c>
      <c r="D154" s="5" t="s">
        <v>18</v>
      </c>
      <c r="E154" s="5" t="s">
        <v>23</v>
      </c>
      <c r="H154" s="7">
        <v>800</v>
      </c>
      <c r="I154" s="7"/>
      <c r="J154" s="2" t="s">
        <v>17</v>
      </c>
      <c r="K154" s="2" t="s">
        <v>16</v>
      </c>
      <c r="N154" s="4"/>
      <c r="O154" s="11">
        <f ca="1">(TODAY()-Tabla1[[#This Row],[Fecha de nacimiento]])/365</f>
        <v>126.88767123287671</v>
      </c>
      <c r="U154" s="2"/>
      <c r="Z154" s="4" t="s">
        <v>6</v>
      </c>
      <c r="AA154" s="2"/>
      <c r="AB154" s="14">
        <v>46237</v>
      </c>
      <c r="AE154" s="6"/>
      <c r="AH154" s="2"/>
      <c r="AI154" s="1" t="s">
        <v>21</v>
      </c>
    </row>
    <row r="155" spans="1:35" x14ac:dyDescent="0.2">
      <c r="A155" s="13">
        <f>SUBTOTAL(3,B$8:B155)</f>
        <v>55</v>
      </c>
      <c r="B155" s="28" t="s">
        <v>427</v>
      </c>
      <c r="C155" s="47" t="s">
        <v>426</v>
      </c>
      <c r="D155" s="5" t="s">
        <v>18</v>
      </c>
      <c r="E155" s="5" t="s">
        <v>23</v>
      </c>
      <c r="H155" s="7">
        <v>400</v>
      </c>
      <c r="I155" s="7"/>
      <c r="J155" s="2" t="s">
        <v>17</v>
      </c>
      <c r="K155" s="2" t="s">
        <v>16</v>
      </c>
      <c r="M155" s="6" t="s">
        <v>50</v>
      </c>
      <c r="N155" s="4">
        <v>40444</v>
      </c>
      <c r="O155" s="11">
        <f ca="1">(TODAY()-Tabla1[[#This Row],[Fecha de nacimiento]])/365</f>
        <v>16.082191780821919</v>
      </c>
      <c r="P155" s="5" t="s">
        <v>10</v>
      </c>
      <c r="Q155" s="2" t="s">
        <v>13</v>
      </c>
      <c r="R155" s="2" t="s">
        <v>425</v>
      </c>
      <c r="S155" s="2" t="s">
        <v>11</v>
      </c>
      <c r="T155" s="2" t="s">
        <v>10</v>
      </c>
      <c r="U155" s="2" t="s">
        <v>9</v>
      </c>
      <c r="V155" s="2" t="s">
        <v>424</v>
      </c>
      <c r="W155" s="2" t="s">
        <v>316</v>
      </c>
      <c r="X155" s="2">
        <v>42083</v>
      </c>
      <c r="Y155" s="2">
        <v>7714030440</v>
      </c>
      <c r="Z155" s="4" t="s">
        <v>6</v>
      </c>
      <c r="AA155" s="2" t="s">
        <v>286</v>
      </c>
      <c r="AB155" s="14">
        <v>46214</v>
      </c>
      <c r="AC155" s="2" t="s">
        <v>315</v>
      </c>
      <c r="AD155" s="2" t="s">
        <v>118</v>
      </c>
      <c r="AE155" s="6">
        <v>7712409745</v>
      </c>
      <c r="AF155" s="2" t="s">
        <v>314</v>
      </c>
      <c r="AG155" s="1" t="s">
        <v>313</v>
      </c>
      <c r="AH155" s="2">
        <v>7711278838</v>
      </c>
      <c r="AI155" s="1" t="s">
        <v>84</v>
      </c>
    </row>
    <row r="156" spans="1:35" hidden="1" x14ac:dyDescent="0.2">
      <c r="A156" s="13">
        <f>SUBTOTAL(3,B$8:B156)</f>
        <v>55</v>
      </c>
      <c r="B156" s="28" t="s">
        <v>423</v>
      </c>
      <c r="C156" s="27" t="s">
        <v>422</v>
      </c>
      <c r="D156" s="5" t="s">
        <v>113</v>
      </c>
      <c r="E156" s="5" t="s">
        <v>23</v>
      </c>
      <c r="H156" s="7">
        <v>750</v>
      </c>
      <c r="I156" s="7"/>
      <c r="J156" s="2" t="s">
        <v>17</v>
      </c>
      <c r="K156" s="2" t="s">
        <v>16</v>
      </c>
      <c r="N156" s="4">
        <v>40776</v>
      </c>
      <c r="O156" s="11">
        <f ca="1">(TODAY()-Tabla1[[#This Row],[Fecha de nacimiento]])/365</f>
        <v>15.172602739726027</v>
      </c>
      <c r="P156" s="5" t="s">
        <v>421</v>
      </c>
      <c r="Q156" s="2" t="s">
        <v>13</v>
      </c>
      <c r="R156" s="16" t="s">
        <v>416</v>
      </c>
      <c r="S156" s="2" t="s">
        <v>36</v>
      </c>
      <c r="T156" s="2" t="s">
        <v>10</v>
      </c>
      <c r="U156" s="2" t="s">
        <v>9</v>
      </c>
      <c r="V156" s="2" t="s">
        <v>420</v>
      </c>
      <c r="W156" s="2" t="s">
        <v>414</v>
      </c>
      <c r="X156" s="2">
        <v>42113</v>
      </c>
      <c r="Y156" s="2">
        <v>7712207308</v>
      </c>
      <c r="Z156" s="4" t="s">
        <v>6</v>
      </c>
      <c r="AA156" s="2" t="s">
        <v>419</v>
      </c>
      <c r="AB156" s="14">
        <v>46216</v>
      </c>
      <c r="AC156" s="2" t="s">
        <v>412</v>
      </c>
      <c r="AD156" s="2" t="s">
        <v>118</v>
      </c>
      <c r="AE156" s="6">
        <v>7712207308</v>
      </c>
      <c r="AF156" s="2" t="s">
        <v>411</v>
      </c>
      <c r="AG156" s="1" t="s">
        <v>410</v>
      </c>
      <c r="AH156" s="2">
        <v>7717081779</v>
      </c>
      <c r="AI156" s="1" t="s">
        <v>409</v>
      </c>
    </row>
    <row r="157" spans="1:35" hidden="1" x14ac:dyDescent="0.2">
      <c r="A157" s="13">
        <f>SUBTOTAL(3,B$8:B157)</f>
        <v>55</v>
      </c>
      <c r="B157" s="28" t="s">
        <v>418</v>
      </c>
      <c r="C157" s="27" t="s">
        <v>417</v>
      </c>
      <c r="D157" s="5" t="s">
        <v>113</v>
      </c>
      <c r="E157" s="5" t="s">
        <v>23</v>
      </c>
      <c r="H157" s="7">
        <v>750</v>
      </c>
      <c r="I157" s="7"/>
      <c r="J157" s="2" t="s">
        <v>17</v>
      </c>
      <c r="K157" s="2" t="s">
        <v>22</v>
      </c>
      <c r="N157" s="4">
        <v>42684</v>
      </c>
      <c r="O157" s="11">
        <f ca="1">(TODAY()-Tabla1[[#This Row],[Fecha de nacimiento]])/365</f>
        <v>9.9452054794520546</v>
      </c>
      <c r="P157" s="5" t="s">
        <v>59</v>
      </c>
      <c r="Q157" s="2" t="s">
        <v>13</v>
      </c>
      <c r="R157" s="16" t="s">
        <v>416</v>
      </c>
      <c r="S157" s="2" t="s">
        <v>36</v>
      </c>
      <c r="T157" s="2" t="s">
        <v>10</v>
      </c>
      <c r="U157" s="2" t="s">
        <v>9</v>
      </c>
      <c r="V157" s="2" t="s">
        <v>415</v>
      </c>
      <c r="W157" s="2" t="s">
        <v>414</v>
      </c>
      <c r="X157" s="2">
        <v>42113</v>
      </c>
      <c r="Y157" s="2">
        <v>7712207308</v>
      </c>
      <c r="Z157" s="4" t="s">
        <v>6</v>
      </c>
      <c r="AA157" s="2" t="s">
        <v>413</v>
      </c>
      <c r="AB157" s="14">
        <v>46216</v>
      </c>
      <c r="AC157" s="2" t="s">
        <v>412</v>
      </c>
      <c r="AD157" s="2" t="s">
        <v>118</v>
      </c>
      <c r="AE157" s="6">
        <v>7712207308</v>
      </c>
      <c r="AF157" s="2" t="s">
        <v>411</v>
      </c>
      <c r="AG157" s="1" t="s">
        <v>410</v>
      </c>
      <c r="AH157" s="2">
        <v>7717081779</v>
      </c>
      <c r="AI157" s="1" t="s">
        <v>409</v>
      </c>
    </row>
    <row r="158" spans="1:35" hidden="1" x14ac:dyDescent="0.2">
      <c r="A158" s="13">
        <f>SUBTOTAL(3,B$8:B158)</f>
        <v>55</v>
      </c>
      <c r="B158" s="28" t="s">
        <v>408</v>
      </c>
      <c r="C158" s="27" t="s">
        <v>407</v>
      </c>
      <c r="D158" s="5" t="s">
        <v>113</v>
      </c>
      <c r="E158" s="5" t="s">
        <v>23</v>
      </c>
      <c r="H158" s="7">
        <v>750</v>
      </c>
      <c r="I158" s="7"/>
      <c r="J158" s="2" t="s">
        <v>17</v>
      </c>
      <c r="K158" s="2" t="s">
        <v>159</v>
      </c>
      <c r="M158" s="2" t="s">
        <v>220</v>
      </c>
      <c r="N158" s="4">
        <v>44497</v>
      </c>
      <c r="O158" s="11">
        <f ca="1">(TODAY()-Tabla1[[#This Row],[Fecha de nacimiento]])/365</f>
        <v>4.978082191780822</v>
      </c>
      <c r="P158" s="5" t="s">
        <v>404</v>
      </c>
      <c r="Q158" s="2" t="s">
        <v>13</v>
      </c>
      <c r="R158" s="16" t="s">
        <v>401</v>
      </c>
      <c r="S158" s="2" t="s">
        <v>11</v>
      </c>
      <c r="T158" s="2" t="s">
        <v>10</v>
      </c>
      <c r="U158" s="2" t="s">
        <v>9</v>
      </c>
      <c r="W158" s="2" t="s">
        <v>403</v>
      </c>
      <c r="Y158" s="2">
        <v>7715695274</v>
      </c>
      <c r="Z158" s="4" t="s">
        <v>6</v>
      </c>
      <c r="AA158" s="2" t="s">
        <v>153</v>
      </c>
      <c r="AB158" s="14">
        <v>46219</v>
      </c>
      <c r="AC158" s="2" t="s">
        <v>402</v>
      </c>
      <c r="AD158" s="2" t="s">
        <v>3</v>
      </c>
      <c r="AE158" s="6">
        <v>7715695274</v>
      </c>
      <c r="AF158" s="2" t="s">
        <v>401</v>
      </c>
      <c r="AG158" s="1" t="s">
        <v>400</v>
      </c>
      <c r="AH158" s="2">
        <v>7715695274</v>
      </c>
      <c r="AI158" s="1" t="s">
        <v>367</v>
      </c>
    </row>
    <row r="159" spans="1:35" hidden="1" x14ac:dyDescent="0.2">
      <c r="A159" s="13">
        <f>SUBTOTAL(3,B$8:B159)</f>
        <v>55</v>
      </c>
      <c r="B159" s="28" t="s">
        <v>406</v>
      </c>
      <c r="C159" s="27" t="s">
        <v>405</v>
      </c>
      <c r="D159" s="5" t="s">
        <v>113</v>
      </c>
      <c r="E159" s="5" t="s">
        <v>23</v>
      </c>
      <c r="H159" s="7">
        <v>750</v>
      </c>
      <c r="I159" s="7"/>
      <c r="J159" s="2" t="s">
        <v>17</v>
      </c>
      <c r="K159" s="2" t="s">
        <v>22</v>
      </c>
      <c r="M159" s="6" t="s">
        <v>156</v>
      </c>
      <c r="N159" s="4">
        <v>42256</v>
      </c>
      <c r="O159" s="11">
        <f ca="1">(TODAY()-Tabla1[[#This Row],[Fecha de nacimiento]])/365</f>
        <v>11.117808219178082</v>
      </c>
      <c r="P159" s="5" t="s">
        <v>404</v>
      </c>
      <c r="Q159" s="2" t="s">
        <v>13</v>
      </c>
      <c r="R159" s="16" t="s">
        <v>401</v>
      </c>
      <c r="S159" s="2" t="s">
        <v>11</v>
      </c>
      <c r="T159" s="2" t="s">
        <v>10</v>
      </c>
      <c r="U159" s="2" t="s">
        <v>9</v>
      </c>
      <c r="W159" s="2" t="s">
        <v>403</v>
      </c>
      <c r="Y159" s="2">
        <v>7715695274</v>
      </c>
      <c r="Z159" s="4" t="s">
        <v>6</v>
      </c>
      <c r="AA159" s="2" t="s">
        <v>153</v>
      </c>
      <c r="AB159" s="14">
        <v>46219</v>
      </c>
      <c r="AC159" s="2" t="s">
        <v>402</v>
      </c>
      <c r="AD159" s="2" t="s">
        <v>3</v>
      </c>
      <c r="AE159" s="6">
        <v>7715695274</v>
      </c>
      <c r="AF159" s="2" t="s">
        <v>401</v>
      </c>
      <c r="AG159" s="1" t="s">
        <v>400</v>
      </c>
      <c r="AH159" s="2">
        <v>7715695274</v>
      </c>
      <c r="AI159" s="1" t="s">
        <v>367</v>
      </c>
    </row>
    <row r="160" spans="1:35" x14ac:dyDescent="0.2">
      <c r="A160" s="13">
        <f>SUBTOTAL(3,B$8:B160)</f>
        <v>56</v>
      </c>
      <c r="B160" s="2" t="s">
        <v>399</v>
      </c>
      <c r="C160" s="9" t="s">
        <v>398</v>
      </c>
      <c r="D160" s="5" t="s">
        <v>18</v>
      </c>
      <c r="E160" s="5" t="s">
        <v>23</v>
      </c>
      <c r="H160" s="7">
        <v>800</v>
      </c>
      <c r="I160" s="7"/>
      <c r="J160" s="2" t="s">
        <v>17</v>
      </c>
      <c r="K160" s="2" t="s">
        <v>26</v>
      </c>
      <c r="N160" s="4"/>
      <c r="O160" s="11">
        <f ca="1">(TODAY()-Tabla1[[#This Row],[Fecha de nacimiento]])/365</f>
        <v>126.88767123287671</v>
      </c>
      <c r="U160" s="2"/>
      <c r="Z160" s="4" t="s">
        <v>6</v>
      </c>
      <c r="AA160" s="2"/>
      <c r="AB160" s="14">
        <v>46269</v>
      </c>
      <c r="AE160" s="6"/>
      <c r="AH160" s="2"/>
      <c r="AI160" s="1" t="s">
        <v>54</v>
      </c>
    </row>
    <row r="161" spans="1:35" x14ac:dyDescent="0.2">
      <c r="A161" s="13">
        <f>SUBTOTAL(3,B$8:B161)</f>
        <v>57</v>
      </c>
      <c r="B161" s="2" t="s">
        <v>397</v>
      </c>
      <c r="C161" s="46" t="s">
        <v>396</v>
      </c>
      <c r="D161" s="5" t="s">
        <v>18</v>
      </c>
      <c r="E161" s="5" t="s">
        <v>23</v>
      </c>
      <c r="H161" s="7">
        <v>400</v>
      </c>
      <c r="I161" s="7"/>
      <c r="J161" s="2" t="s">
        <v>105</v>
      </c>
      <c r="K161" s="2" t="s">
        <v>22</v>
      </c>
      <c r="N161" s="4"/>
      <c r="O161" s="11">
        <f ca="1">(TODAY()-Tabla1[[#This Row],[Fecha de nacimiento]])/365</f>
        <v>126.88767123287671</v>
      </c>
      <c r="U161" s="2"/>
      <c r="Z161" s="4" t="s">
        <v>6</v>
      </c>
      <c r="AA161" s="2"/>
      <c r="AB161" s="14">
        <v>46294</v>
      </c>
      <c r="AE161" s="6"/>
      <c r="AH161" s="2"/>
      <c r="AI161" s="1" t="s">
        <v>395</v>
      </c>
    </row>
    <row r="162" spans="1:35" x14ac:dyDescent="0.2">
      <c r="A162" s="13">
        <f>SUBTOTAL(3,B$8:B162)</f>
        <v>58</v>
      </c>
      <c r="B162" s="2" t="s">
        <v>394</v>
      </c>
      <c r="C162" s="9" t="s">
        <v>393</v>
      </c>
      <c r="D162" s="5" t="s">
        <v>18</v>
      </c>
      <c r="E162" s="5" t="s">
        <v>23</v>
      </c>
      <c r="H162" s="7">
        <v>750</v>
      </c>
      <c r="I162" s="7"/>
      <c r="J162" s="2" t="s">
        <v>17</v>
      </c>
      <c r="K162" s="2" t="s">
        <v>22</v>
      </c>
      <c r="N162" s="4"/>
      <c r="O162" s="11">
        <f ca="1">(TODAY()-Tabla1[[#This Row],[Fecha de nacimiento]])/365</f>
        <v>126.88767123287671</v>
      </c>
      <c r="U162" s="2"/>
      <c r="Z162" s="4" t="s">
        <v>6</v>
      </c>
      <c r="AA162" s="2"/>
      <c r="AB162" s="14">
        <v>46267</v>
      </c>
      <c r="AE162" s="6"/>
      <c r="AH162" s="2"/>
      <c r="AI162" s="1" t="s">
        <v>21</v>
      </c>
    </row>
    <row r="163" spans="1:35" hidden="1" x14ac:dyDescent="0.2">
      <c r="A163" s="13">
        <f>SUBTOTAL(3,B$8:B163)</f>
        <v>58</v>
      </c>
      <c r="D163" s="5"/>
      <c r="E163" s="5"/>
      <c r="H163" s="7"/>
      <c r="I163" s="7"/>
      <c r="N163" s="4"/>
      <c r="O163" s="11">
        <f ca="1">(TODAY()-Tabla1[[#This Row],[Fecha de nacimiento]])/365</f>
        <v>126.88767123287671</v>
      </c>
      <c r="U163" s="2"/>
      <c r="AA163" s="2"/>
      <c r="AB163" s="14"/>
      <c r="AE163" s="6"/>
      <c r="AH163" s="2"/>
    </row>
    <row r="164" spans="1:35" hidden="1" x14ac:dyDescent="0.2">
      <c r="A164" s="13">
        <f>SUBTOTAL(3,B$8:B164)</f>
        <v>58</v>
      </c>
      <c r="D164" s="5"/>
      <c r="E164" s="5"/>
      <c r="H164" s="7"/>
      <c r="I164" s="7"/>
      <c r="N164" s="4"/>
      <c r="O164" s="11">
        <f ca="1">(TODAY()-Tabla1[[#This Row],[Fecha de nacimiento]])/365</f>
        <v>126.88767123287671</v>
      </c>
      <c r="U164" s="2"/>
      <c r="AA164" s="2"/>
      <c r="AB164" s="14"/>
      <c r="AE164" s="6"/>
      <c r="AH164" s="2"/>
    </row>
    <row r="165" spans="1:35" hidden="1" x14ac:dyDescent="0.2">
      <c r="A165" s="13">
        <f>SUBTOTAL(3,B$8:B165)</f>
        <v>58</v>
      </c>
      <c r="D165" s="5"/>
      <c r="E165" s="5"/>
      <c r="H165" s="7"/>
      <c r="I165" s="7"/>
      <c r="N165" s="4"/>
      <c r="O165" s="11">
        <f ca="1">(TODAY()-Tabla1[[#This Row],[Fecha de nacimiento]])/365</f>
        <v>126.88767123287671</v>
      </c>
      <c r="U165" s="2"/>
      <c r="AA165" s="2"/>
      <c r="AB165" s="14"/>
      <c r="AE165" s="6"/>
      <c r="AH165" s="2"/>
    </row>
    <row r="166" spans="1:35" hidden="1" x14ac:dyDescent="0.2">
      <c r="A166" s="13">
        <f>SUBTOTAL(3,B$8:B166)</f>
        <v>58</v>
      </c>
      <c r="D166" s="5"/>
      <c r="E166" s="5"/>
      <c r="H166" s="7"/>
      <c r="I166" s="7"/>
      <c r="N166" s="4"/>
      <c r="O166" s="11">
        <f ca="1">(TODAY()-Tabla1[[#This Row],[Fecha de nacimiento]])/365</f>
        <v>126.88767123287671</v>
      </c>
      <c r="U166" s="2"/>
      <c r="AA166" s="2"/>
      <c r="AB166" s="14"/>
      <c r="AE166" s="6"/>
      <c r="AH166" s="2"/>
    </row>
    <row r="167" spans="1:35" hidden="1" x14ac:dyDescent="0.2">
      <c r="A167" s="13">
        <f>SUBTOTAL(3,B$8:B167)</f>
        <v>58</v>
      </c>
      <c r="D167" s="5"/>
      <c r="E167" s="5"/>
      <c r="H167" s="7"/>
      <c r="I167" s="7"/>
      <c r="N167" s="4"/>
      <c r="O167" s="11">
        <f ca="1">(TODAY()-Tabla1[[#This Row],[Fecha de nacimiento]])/365</f>
        <v>126.88767123287671</v>
      </c>
      <c r="U167" s="2"/>
      <c r="AA167" s="2"/>
      <c r="AB167" s="14"/>
      <c r="AE167" s="6"/>
      <c r="AH167" s="2"/>
    </row>
    <row r="168" spans="1:35" hidden="1" x14ac:dyDescent="0.2">
      <c r="A168" s="13">
        <f>SUBTOTAL(3,B$8:B168)</f>
        <v>58</v>
      </c>
      <c r="D168" s="5"/>
      <c r="E168" s="5"/>
      <c r="H168" s="7"/>
      <c r="I168" s="7"/>
      <c r="N168" s="4"/>
      <c r="O168" s="11">
        <f ca="1">(TODAY()-Tabla1[[#This Row],[Fecha de nacimiento]])/365</f>
        <v>126.88767123287671</v>
      </c>
      <c r="U168" s="2"/>
      <c r="AA168" s="2"/>
      <c r="AB168" s="14"/>
      <c r="AE168" s="6"/>
      <c r="AH168" s="2"/>
    </row>
    <row r="169" spans="1:35" x14ac:dyDescent="0.2">
      <c r="A169" s="13">
        <f>SUBTOTAL(3,B$8:B169)</f>
        <v>59</v>
      </c>
      <c r="B169" s="2" t="s">
        <v>392</v>
      </c>
      <c r="C169" s="9" t="s">
        <v>391</v>
      </c>
      <c r="D169" s="5" t="s">
        <v>18</v>
      </c>
      <c r="E169" s="5" t="s">
        <v>23</v>
      </c>
      <c r="H169" s="7">
        <v>800</v>
      </c>
      <c r="I169" s="7"/>
      <c r="J169" s="2" t="s">
        <v>17</v>
      </c>
      <c r="K169" s="2" t="s">
        <v>16</v>
      </c>
      <c r="N169" s="4"/>
      <c r="O169" s="11">
        <f ca="1">(TODAY()-Tabla1[[#This Row],[Fecha de nacimiento]])/365</f>
        <v>126.88767123287671</v>
      </c>
      <c r="U169" s="2"/>
      <c r="Z169" s="4" t="s">
        <v>6</v>
      </c>
      <c r="AA169" s="2"/>
      <c r="AB169" s="14">
        <v>46291</v>
      </c>
      <c r="AE169" s="6"/>
      <c r="AH169" s="2"/>
      <c r="AI169" s="1" t="s">
        <v>21</v>
      </c>
    </row>
    <row r="170" spans="1:35" x14ac:dyDescent="0.2">
      <c r="A170" s="13">
        <f>SUBTOTAL(3,B$8:B170)</f>
        <v>60</v>
      </c>
      <c r="B170" s="2" t="s">
        <v>390</v>
      </c>
      <c r="C170" s="9" t="s">
        <v>389</v>
      </c>
      <c r="D170" s="2" t="s">
        <v>18</v>
      </c>
      <c r="F170" s="12"/>
      <c r="G170" s="2"/>
      <c r="H170" s="7">
        <v>700</v>
      </c>
      <c r="I170" s="7">
        <v>800</v>
      </c>
      <c r="J170" s="2" t="s">
        <v>17</v>
      </c>
      <c r="K170" s="2" t="s">
        <v>16</v>
      </c>
      <c r="L170" s="2" t="s">
        <v>194</v>
      </c>
      <c r="M170" s="2" t="s">
        <v>388</v>
      </c>
      <c r="N170" s="4">
        <v>40705</v>
      </c>
      <c r="O170" s="11">
        <f ca="1">(TODAY()-Tabla1[[#This Row],[Fecha de nacimiento]])/365</f>
        <v>15.367123287671232</v>
      </c>
      <c r="P170" s="5" t="s">
        <v>10</v>
      </c>
      <c r="Q170" s="5" t="s">
        <v>387</v>
      </c>
      <c r="R170" s="5" t="s">
        <v>381</v>
      </c>
      <c r="S170" s="5" t="s">
        <v>36</v>
      </c>
      <c r="T170" s="5" t="s">
        <v>10</v>
      </c>
      <c r="U170" s="5" t="s">
        <v>9</v>
      </c>
      <c r="V170" s="5" t="s">
        <v>386</v>
      </c>
      <c r="W170" s="3" t="s">
        <v>385</v>
      </c>
      <c r="X170" s="6">
        <v>42854</v>
      </c>
      <c r="Y170" s="6">
        <v>5574940625</v>
      </c>
      <c r="Z170" s="5" t="s">
        <v>384</v>
      </c>
      <c r="AA170" s="5" t="s">
        <v>383</v>
      </c>
      <c r="AB170" s="4">
        <v>45799</v>
      </c>
      <c r="AC170" s="3" t="s">
        <v>382</v>
      </c>
      <c r="AD170" s="5" t="s">
        <v>3</v>
      </c>
      <c r="AE170" s="6">
        <v>5517658415</v>
      </c>
      <c r="AF170" s="5" t="s">
        <v>381</v>
      </c>
      <c r="AG170" s="3" t="s">
        <v>380</v>
      </c>
      <c r="AH170" s="6">
        <v>5574940625</v>
      </c>
      <c r="AI170" s="1" t="s">
        <v>0</v>
      </c>
    </row>
    <row r="171" spans="1:35" x14ac:dyDescent="0.2">
      <c r="A171" s="13">
        <f>SUBTOTAL(3,B$8:B171)</f>
        <v>61</v>
      </c>
      <c r="B171" s="2" t="s">
        <v>379</v>
      </c>
      <c r="C171" s="9" t="s">
        <v>378</v>
      </c>
      <c r="D171" s="5" t="s">
        <v>18</v>
      </c>
      <c r="E171" s="5"/>
      <c r="G171" s="5"/>
      <c r="H171" s="7">
        <v>650</v>
      </c>
      <c r="I171" s="7">
        <v>800</v>
      </c>
      <c r="J171" s="2" t="s">
        <v>17</v>
      </c>
      <c r="K171" s="2" t="s">
        <v>22</v>
      </c>
      <c r="L171" s="2" t="s">
        <v>15</v>
      </c>
      <c r="M171" s="2" t="s">
        <v>92</v>
      </c>
      <c r="N171" s="4">
        <v>42604</v>
      </c>
      <c r="O171" s="11">
        <f ca="1">(TODAY()-Tabla1[[#This Row],[Fecha de nacimiento]])/365</f>
        <v>10.164383561643836</v>
      </c>
      <c r="P171" s="5" t="s">
        <v>91</v>
      </c>
      <c r="Q171" s="5" t="s">
        <v>13</v>
      </c>
      <c r="R171" s="45" t="s">
        <v>377</v>
      </c>
      <c r="S171" s="2" t="s">
        <v>36</v>
      </c>
      <c r="T171" s="2" t="s">
        <v>10</v>
      </c>
      <c r="U171" s="2" t="s">
        <v>9</v>
      </c>
      <c r="V171" s="2" t="s">
        <v>376</v>
      </c>
      <c r="W171" s="1" t="s">
        <v>375</v>
      </c>
      <c r="X171" s="2">
        <v>42083</v>
      </c>
      <c r="Y171" s="2">
        <v>5519699289</v>
      </c>
      <c r="Z171" s="2" t="s">
        <v>6</v>
      </c>
      <c r="AA171" s="2" t="s">
        <v>126</v>
      </c>
      <c r="AB171" s="4">
        <v>45987</v>
      </c>
      <c r="AC171" s="1" t="s">
        <v>374</v>
      </c>
      <c r="AD171" s="2" t="s">
        <v>3</v>
      </c>
      <c r="AE171" s="2">
        <v>5519699289</v>
      </c>
      <c r="AF171" s="16" t="s">
        <v>373</v>
      </c>
      <c r="AG171" s="3" t="s">
        <v>372</v>
      </c>
      <c r="AH171" s="2">
        <v>7718337676</v>
      </c>
      <c r="AI171" s="1" t="s">
        <v>54</v>
      </c>
    </row>
    <row r="172" spans="1:35" x14ac:dyDescent="0.2">
      <c r="A172" s="13">
        <f>SUBTOTAL(3,B$8:B172)</f>
        <v>62</v>
      </c>
      <c r="B172" s="2" t="s">
        <v>371</v>
      </c>
      <c r="C172" s="9" t="s">
        <v>370</v>
      </c>
      <c r="D172" s="5" t="s">
        <v>18</v>
      </c>
      <c r="E172" s="5" t="s">
        <v>23</v>
      </c>
      <c r="H172" s="7">
        <v>750</v>
      </c>
      <c r="I172" s="7"/>
      <c r="J172" s="2" t="s">
        <v>17</v>
      </c>
      <c r="K172" s="2" t="s">
        <v>22</v>
      </c>
      <c r="N172" s="4"/>
      <c r="O172" s="11">
        <f ca="1">(TODAY()-Tabla1[[#This Row],[Fecha de nacimiento]])/365</f>
        <v>126.88767123287671</v>
      </c>
      <c r="U172" s="2"/>
      <c r="Z172" s="4" t="s">
        <v>6</v>
      </c>
      <c r="AA172" s="2"/>
      <c r="AB172" s="14">
        <v>46267</v>
      </c>
      <c r="AE172" s="6"/>
      <c r="AH172" s="2"/>
      <c r="AI172" s="1" t="s">
        <v>21</v>
      </c>
    </row>
    <row r="173" spans="1:35" hidden="1" x14ac:dyDescent="0.2">
      <c r="A173" s="13">
        <f>SUBTOTAL(3,B$8:B173)</f>
        <v>62</v>
      </c>
      <c r="B173" s="28" t="s">
        <v>369</v>
      </c>
      <c r="C173" s="27" t="s">
        <v>368</v>
      </c>
      <c r="D173" s="5" t="s">
        <v>113</v>
      </c>
      <c r="E173" s="5" t="s">
        <v>23</v>
      </c>
      <c r="F173" s="8">
        <v>46270</v>
      </c>
      <c r="H173" s="7">
        <v>800</v>
      </c>
      <c r="I173" s="7"/>
      <c r="J173" s="2" t="s">
        <v>17</v>
      </c>
      <c r="K173" s="2" t="s">
        <v>16</v>
      </c>
      <c r="N173" s="4"/>
      <c r="O173" s="11">
        <f ca="1">(TODAY()-Tabla1[[#This Row],[Fecha de nacimiento]])/365</f>
        <v>126.88767123287671</v>
      </c>
      <c r="U173" s="2"/>
      <c r="Z173" s="4" t="s">
        <v>6</v>
      </c>
      <c r="AA173" s="2"/>
      <c r="AB173" s="14">
        <v>46200</v>
      </c>
      <c r="AE173" s="6"/>
      <c r="AH173" s="2"/>
      <c r="AI173" s="1" t="s">
        <v>367</v>
      </c>
    </row>
    <row r="174" spans="1:35" x14ac:dyDescent="0.2">
      <c r="A174" s="13">
        <f>SUBTOTAL(3,B$8:B174)</f>
        <v>63</v>
      </c>
      <c r="B174" s="2" t="s">
        <v>366</v>
      </c>
      <c r="C174" s="44" t="s">
        <v>365</v>
      </c>
      <c r="D174" s="2" t="s">
        <v>18</v>
      </c>
      <c r="F174" s="12">
        <v>46235</v>
      </c>
      <c r="G174" s="12">
        <v>46273</v>
      </c>
      <c r="H174" s="7">
        <v>700</v>
      </c>
      <c r="I174" s="7">
        <v>800</v>
      </c>
      <c r="J174" s="2" t="s">
        <v>17</v>
      </c>
      <c r="K174" s="2" t="s">
        <v>26</v>
      </c>
      <c r="L174" s="2" t="s">
        <v>194</v>
      </c>
      <c r="M174" s="2" t="s">
        <v>257</v>
      </c>
      <c r="N174" s="4">
        <v>19802</v>
      </c>
      <c r="O174" s="11">
        <f ca="1">(TODAY()-Tabla1[[#This Row],[Fecha de nacimiento]])/365</f>
        <v>72.635616438356166</v>
      </c>
      <c r="P174" s="5" t="s">
        <v>91</v>
      </c>
      <c r="Q174" s="5" t="s">
        <v>13</v>
      </c>
      <c r="R174" s="5" t="s">
        <v>364</v>
      </c>
      <c r="S174" s="5" t="s">
        <v>11</v>
      </c>
      <c r="T174" s="5" t="s">
        <v>10</v>
      </c>
      <c r="U174" s="5" t="s">
        <v>9</v>
      </c>
      <c r="V174" s="5" t="s">
        <v>363</v>
      </c>
      <c r="W174" s="3" t="s">
        <v>362</v>
      </c>
      <c r="X174" s="6"/>
      <c r="Y174" s="6">
        <v>5584025198</v>
      </c>
      <c r="Z174" s="5" t="s">
        <v>6</v>
      </c>
      <c r="AA174" s="5" t="s">
        <v>252</v>
      </c>
      <c r="AB174" s="4">
        <v>45808</v>
      </c>
      <c r="AC174" s="3" t="s">
        <v>361</v>
      </c>
      <c r="AD174" s="5" t="s">
        <v>360</v>
      </c>
      <c r="AE174" s="6">
        <v>7713718567</v>
      </c>
      <c r="AF174" s="5" t="s">
        <v>46</v>
      </c>
      <c r="AG174" s="3" t="s">
        <v>46</v>
      </c>
      <c r="AH174" s="6" t="s">
        <v>46</v>
      </c>
      <c r="AI174" s="1" t="s">
        <v>84</v>
      </c>
    </row>
    <row r="175" spans="1:35" x14ac:dyDescent="0.2">
      <c r="A175" s="13">
        <f>SUBTOTAL(3,B$8:B175)</f>
        <v>64</v>
      </c>
      <c r="B175" s="2" t="s">
        <v>359</v>
      </c>
      <c r="C175" s="9" t="s">
        <v>358</v>
      </c>
      <c r="D175" s="5" t="s">
        <v>18</v>
      </c>
      <c r="E175" s="5" t="s">
        <v>23</v>
      </c>
      <c r="H175" s="7">
        <v>800</v>
      </c>
      <c r="I175" s="7"/>
      <c r="J175" s="2" t="s">
        <v>17</v>
      </c>
      <c r="K175" s="2" t="s">
        <v>26</v>
      </c>
      <c r="N175" s="4"/>
      <c r="O175" s="11">
        <f ca="1">(TODAY()-Tabla1[[#This Row],[Fecha de nacimiento]])/365</f>
        <v>126.88767123287671</v>
      </c>
      <c r="U175" s="2"/>
      <c r="Z175" s="4" t="s">
        <v>6</v>
      </c>
      <c r="AA175" s="2"/>
      <c r="AB175" s="14">
        <v>46275</v>
      </c>
      <c r="AE175" s="6"/>
      <c r="AH175" s="2"/>
      <c r="AI175" s="1" t="s">
        <v>21</v>
      </c>
    </row>
    <row r="176" spans="1:35" x14ac:dyDescent="0.2">
      <c r="A176" s="13">
        <f>SUBTOTAL(3,B$8:B176)</f>
        <v>65</v>
      </c>
      <c r="B176" s="2" t="s">
        <v>357</v>
      </c>
      <c r="C176" s="9" t="s">
        <v>356</v>
      </c>
      <c r="D176" s="5" t="s">
        <v>18</v>
      </c>
      <c r="E176" s="5" t="s">
        <v>23</v>
      </c>
      <c r="H176" s="7">
        <v>750</v>
      </c>
      <c r="I176" s="7"/>
      <c r="J176" s="2" t="s">
        <v>17</v>
      </c>
      <c r="K176" s="2" t="s">
        <v>26</v>
      </c>
      <c r="N176" s="4"/>
      <c r="O176" s="11">
        <f ca="1">(TODAY()-Tabla1[[#This Row],[Fecha de nacimiento]])/365</f>
        <v>126.88767123287671</v>
      </c>
      <c r="U176" s="2"/>
      <c r="Z176" s="4" t="s">
        <v>6</v>
      </c>
      <c r="AA176" s="2"/>
      <c r="AB176" s="14">
        <v>46269</v>
      </c>
      <c r="AE176" s="6"/>
      <c r="AH176" s="2"/>
      <c r="AI176" s="1" t="s">
        <v>54</v>
      </c>
    </row>
    <row r="177" spans="1:35" x14ac:dyDescent="0.2">
      <c r="A177" s="13">
        <f>SUBTOTAL(3,B$8:B177)</f>
        <v>66</v>
      </c>
      <c r="B177" s="2" t="s">
        <v>355</v>
      </c>
      <c r="C177" s="9" t="s">
        <v>354</v>
      </c>
      <c r="D177" s="2" t="s">
        <v>18</v>
      </c>
      <c r="F177" s="12"/>
      <c r="G177" s="2"/>
      <c r="H177" s="7">
        <v>350</v>
      </c>
      <c r="I177" s="7">
        <v>400</v>
      </c>
      <c r="J177" s="2" t="s">
        <v>17</v>
      </c>
      <c r="K177" s="2" t="s">
        <v>22</v>
      </c>
      <c r="L177" s="2" t="s">
        <v>15</v>
      </c>
      <c r="M177" s="2" t="s">
        <v>353</v>
      </c>
      <c r="N177" s="4">
        <v>43838</v>
      </c>
      <c r="O177" s="11">
        <f ca="1">(TODAY()-Tabla1[[#This Row],[Fecha de nacimiento]])/365</f>
        <v>6.7835616438356166</v>
      </c>
      <c r="P177" s="5" t="s">
        <v>10</v>
      </c>
      <c r="Q177" s="5" t="s">
        <v>13</v>
      </c>
      <c r="R177" s="10" t="s">
        <v>348</v>
      </c>
      <c r="S177" s="5" t="s">
        <v>36</v>
      </c>
      <c r="T177" s="5" t="s">
        <v>10</v>
      </c>
      <c r="U177" s="5" t="s">
        <v>9</v>
      </c>
      <c r="V177" s="5" t="s">
        <v>352</v>
      </c>
      <c r="W177" s="3" t="s">
        <v>351</v>
      </c>
      <c r="X177" s="6">
        <v>42083</v>
      </c>
      <c r="Y177" s="6">
        <v>7713257548</v>
      </c>
      <c r="Z177" s="5" t="s">
        <v>6</v>
      </c>
      <c r="AA177" s="5" t="s">
        <v>143</v>
      </c>
      <c r="AB177" s="4">
        <v>45950</v>
      </c>
      <c r="AC177" s="3" t="s">
        <v>350</v>
      </c>
      <c r="AD177" s="5" t="s">
        <v>349</v>
      </c>
      <c r="AE177" s="6">
        <v>7711276905</v>
      </c>
      <c r="AF177" s="26" t="s">
        <v>348</v>
      </c>
      <c r="AG177" s="3" t="s">
        <v>347</v>
      </c>
      <c r="AH177" s="6">
        <v>7713257548</v>
      </c>
      <c r="AI177" s="1" t="s">
        <v>132</v>
      </c>
    </row>
    <row r="178" spans="1:35" hidden="1" x14ac:dyDescent="0.2">
      <c r="A178" s="13">
        <f>SUBTOTAL(3,B$8:B178)</f>
        <v>66</v>
      </c>
      <c r="D178" s="5"/>
      <c r="E178" s="5"/>
      <c r="H178" s="7"/>
      <c r="I178" s="7"/>
      <c r="N178" s="4"/>
      <c r="O178" s="11">
        <f ca="1">(TODAY()-Tabla1[[#This Row],[Fecha de nacimiento]])/365</f>
        <v>126.88767123287671</v>
      </c>
      <c r="U178" s="2"/>
      <c r="AA178" s="2"/>
      <c r="AB178" s="14"/>
      <c r="AE178" s="6"/>
      <c r="AH178" s="2"/>
    </row>
    <row r="179" spans="1:35" hidden="1" x14ac:dyDescent="0.2">
      <c r="A179" s="13">
        <f>SUBTOTAL(3,B$8:B179)</f>
        <v>66</v>
      </c>
      <c r="D179" s="5"/>
      <c r="E179" s="5"/>
      <c r="H179" s="7"/>
      <c r="I179" s="7"/>
      <c r="N179" s="4"/>
      <c r="O179" s="11">
        <f ca="1">(TODAY()-Tabla1[[#This Row],[Fecha de nacimiento]])/365</f>
        <v>126.88767123287671</v>
      </c>
      <c r="U179" s="2"/>
      <c r="AA179" s="2"/>
      <c r="AB179" s="14"/>
      <c r="AE179" s="6"/>
      <c r="AH179" s="2"/>
    </row>
    <row r="180" spans="1:35" hidden="1" x14ac:dyDescent="0.2">
      <c r="A180" s="13">
        <f>SUBTOTAL(3,B$8:B180)</f>
        <v>66</v>
      </c>
      <c r="D180" s="5"/>
      <c r="E180" s="5"/>
      <c r="H180" s="7"/>
      <c r="I180" s="7"/>
      <c r="N180" s="4"/>
      <c r="O180" s="11">
        <f ca="1">(TODAY()-Tabla1[[#This Row],[Fecha de nacimiento]])/365</f>
        <v>126.88767123287671</v>
      </c>
      <c r="U180" s="2"/>
      <c r="AA180" s="2"/>
      <c r="AB180" s="14"/>
      <c r="AE180" s="6"/>
      <c r="AH180" s="2"/>
    </row>
    <row r="181" spans="1:35" x14ac:dyDescent="0.2">
      <c r="A181" s="13">
        <f>SUBTOTAL(3,B$8:B181)</f>
        <v>67</v>
      </c>
      <c r="B181" s="2" t="s">
        <v>346</v>
      </c>
      <c r="C181" s="9" t="s">
        <v>345</v>
      </c>
      <c r="D181" s="5" t="s">
        <v>18</v>
      </c>
      <c r="E181" s="5" t="s">
        <v>23</v>
      </c>
      <c r="G181" s="5"/>
      <c r="H181" s="7">
        <v>750</v>
      </c>
      <c r="I181" s="7">
        <v>800</v>
      </c>
      <c r="J181" s="2" t="s">
        <v>17</v>
      </c>
      <c r="K181" s="2" t="s">
        <v>22</v>
      </c>
      <c r="L181" s="2" t="s">
        <v>15</v>
      </c>
      <c r="M181" s="2" t="s">
        <v>92</v>
      </c>
      <c r="N181" s="4">
        <v>45678</v>
      </c>
      <c r="O181" s="11">
        <f ca="1">(TODAY()-Tabla1[[#This Row],[Fecha de nacimiento]])/365</f>
        <v>1.7424657534246575</v>
      </c>
      <c r="P181" s="5" t="s">
        <v>10</v>
      </c>
      <c r="Q181" s="5" t="s">
        <v>13</v>
      </c>
      <c r="R181" s="10" t="s">
        <v>341</v>
      </c>
      <c r="S181" s="2" t="s">
        <v>36</v>
      </c>
      <c r="T181" s="2" t="s">
        <v>10</v>
      </c>
      <c r="U181" s="2" t="s">
        <v>9</v>
      </c>
      <c r="V181" s="2" t="s">
        <v>344</v>
      </c>
      <c r="W181" s="1" t="s">
        <v>343</v>
      </c>
      <c r="X181" s="2">
        <v>42119</v>
      </c>
      <c r="Y181" s="2">
        <v>3751205036</v>
      </c>
      <c r="Z181" s="2" t="s">
        <v>6</v>
      </c>
      <c r="AA181" s="2" t="s">
        <v>126</v>
      </c>
      <c r="AB181" s="4">
        <v>46043</v>
      </c>
      <c r="AC181" s="1" t="s">
        <v>342</v>
      </c>
      <c r="AD181" s="2" t="s">
        <v>3</v>
      </c>
      <c r="AE181" s="2">
        <v>3751205036</v>
      </c>
      <c r="AF181" s="16" t="s">
        <v>341</v>
      </c>
      <c r="AG181" s="3" t="s">
        <v>340</v>
      </c>
      <c r="AH181" s="2">
        <v>7711142393</v>
      </c>
      <c r="AI181" s="1" t="s">
        <v>54</v>
      </c>
    </row>
    <row r="182" spans="1:35" x14ac:dyDescent="0.2">
      <c r="A182" s="13">
        <f>SUBTOTAL(3,B$8:B182)</f>
        <v>68</v>
      </c>
      <c r="B182" s="2" t="s">
        <v>339</v>
      </c>
      <c r="C182" s="9" t="s">
        <v>338</v>
      </c>
      <c r="D182" s="2" t="s">
        <v>18</v>
      </c>
      <c r="E182" s="2" t="s">
        <v>337</v>
      </c>
      <c r="F182" s="12">
        <v>46216</v>
      </c>
      <c r="G182" s="12">
        <v>46266</v>
      </c>
      <c r="H182" s="7">
        <v>600</v>
      </c>
      <c r="I182" s="7">
        <v>700</v>
      </c>
      <c r="J182" s="2" t="s">
        <v>17</v>
      </c>
      <c r="K182" s="2" t="s">
        <v>22</v>
      </c>
      <c r="L182" s="2" t="s">
        <v>15</v>
      </c>
      <c r="M182" s="2" t="s">
        <v>336</v>
      </c>
      <c r="N182" s="4">
        <v>42964</v>
      </c>
      <c r="O182" s="11">
        <f ca="1">(TODAY()-Tabla1[[#This Row],[Fecha de nacimiento]])/365</f>
        <v>9.1780821917808222</v>
      </c>
      <c r="P182" s="5" t="s">
        <v>59</v>
      </c>
      <c r="Q182" s="5" t="s">
        <v>13</v>
      </c>
      <c r="R182" s="26" t="s">
        <v>332</v>
      </c>
      <c r="S182" s="5" t="s">
        <v>36</v>
      </c>
      <c r="T182" s="5" t="s">
        <v>10</v>
      </c>
      <c r="U182" s="5" t="s">
        <v>9</v>
      </c>
      <c r="V182" s="5"/>
      <c r="W182" s="3" t="s">
        <v>335</v>
      </c>
      <c r="X182" s="6">
        <v>42083</v>
      </c>
      <c r="Y182" s="6">
        <v>7712717958</v>
      </c>
      <c r="Z182" s="5" t="s">
        <v>6</v>
      </c>
      <c r="AA182" s="5" t="s">
        <v>334</v>
      </c>
      <c r="AB182" s="4">
        <v>45944</v>
      </c>
      <c r="AC182" s="3" t="s">
        <v>333</v>
      </c>
      <c r="AD182" s="5" t="s">
        <v>3</v>
      </c>
      <c r="AE182" s="6">
        <v>7712717958</v>
      </c>
      <c r="AF182" s="26" t="s">
        <v>332</v>
      </c>
      <c r="AG182" s="3" t="s">
        <v>331</v>
      </c>
      <c r="AH182" s="6">
        <v>7711171157</v>
      </c>
      <c r="AI182" s="1" t="s">
        <v>0</v>
      </c>
    </row>
    <row r="183" spans="1:35" x14ac:dyDescent="0.2">
      <c r="A183" s="13">
        <f>SUBTOTAL(3,B$8:B183)</f>
        <v>69</v>
      </c>
      <c r="B183" s="24" t="s">
        <v>330</v>
      </c>
      <c r="C183" s="23" t="s">
        <v>329</v>
      </c>
      <c r="D183" s="5" t="s">
        <v>18</v>
      </c>
      <c r="E183" s="5" t="s">
        <v>23</v>
      </c>
      <c r="H183" s="7">
        <v>750</v>
      </c>
      <c r="I183" s="7"/>
      <c r="J183" s="2" t="s">
        <v>17</v>
      </c>
      <c r="K183" s="2" t="s">
        <v>26</v>
      </c>
      <c r="L183" s="4" t="s">
        <v>258</v>
      </c>
      <c r="M183" s="6" t="s">
        <v>328</v>
      </c>
      <c r="N183" s="4">
        <v>39421</v>
      </c>
      <c r="O183" s="11">
        <f ca="1">(TODAY()-Tabla1[[#This Row],[Fecha de nacimiento]])/365</f>
        <v>18.884931506849316</v>
      </c>
      <c r="P183" s="5" t="s">
        <v>10</v>
      </c>
      <c r="Q183" s="2" t="s">
        <v>13</v>
      </c>
      <c r="R183" s="16" t="s">
        <v>327</v>
      </c>
      <c r="S183" s="2" t="s">
        <v>11</v>
      </c>
      <c r="T183" s="2" t="s">
        <v>10</v>
      </c>
      <c r="U183" s="2" t="s">
        <v>9</v>
      </c>
      <c r="V183" s="2" t="s">
        <v>326</v>
      </c>
      <c r="W183" s="2" t="s">
        <v>325</v>
      </c>
      <c r="X183" s="2">
        <v>42083</v>
      </c>
      <c r="Y183" s="2">
        <v>7711766894</v>
      </c>
      <c r="Z183" s="4" t="s">
        <v>6</v>
      </c>
      <c r="AA183" s="2" t="s">
        <v>324</v>
      </c>
      <c r="AB183" s="14">
        <v>46167</v>
      </c>
      <c r="AC183" s="2" t="s">
        <v>323</v>
      </c>
      <c r="AD183" s="2" t="s">
        <v>3</v>
      </c>
      <c r="AE183" s="6">
        <v>7712436784</v>
      </c>
      <c r="AF183" s="16" t="s">
        <v>322</v>
      </c>
      <c r="AG183" s="1" t="s">
        <v>321</v>
      </c>
      <c r="AH183" s="2">
        <v>7712073752</v>
      </c>
      <c r="AI183" s="1" t="s">
        <v>21</v>
      </c>
    </row>
    <row r="184" spans="1:35" x14ac:dyDescent="0.2">
      <c r="A184" s="13">
        <f>SUBTOTAL(3,B$8:B184)</f>
        <v>70</v>
      </c>
      <c r="B184" s="28" t="s">
        <v>320</v>
      </c>
      <c r="C184" s="27" t="s">
        <v>319</v>
      </c>
      <c r="D184" s="5" t="s">
        <v>18</v>
      </c>
      <c r="E184" s="5" t="s">
        <v>23</v>
      </c>
      <c r="H184" s="7">
        <v>400</v>
      </c>
      <c r="I184" s="7"/>
      <c r="J184" s="2" t="s">
        <v>17</v>
      </c>
      <c r="K184" s="2" t="s">
        <v>16</v>
      </c>
      <c r="M184" s="6" t="s">
        <v>50</v>
      </c>
      <c r="N184" s="4">
        <v>41505</v>
      </c>
      <c r="O184" s="11">
        <f ca="1">(TODAY()-Tabla1[[#This Row],[Fecha de nacimiento]])/365</f>
        <v>13.175342465753424</v>
      </c>
      <c r="P184" s="5" t="s">
        <v>10</v>
      </c>
      <c r="Q184" s="2" t="s">
        <v>13</v>
      </c>
      <c r="R184" s="2" t="s">
        <v>318</v>
      </c>
      <c r="S184" s="2" t="s">
        <v>36</v>
      </c>
      <c r="T184" s="2" t="s">
        <v>10</v>
      </c>
      <c r="U184" s="2" t="s">
        <v>9</v>
      </c>
      <c r="V184" s="2" t="s">
        <v>317</v>
      </c>
      <c r="W184" s="2" t="s">
        <v>316</v>
      </c>
      <c r="X184" s="2">
        <v>42083</v>
      </c>
      <c r="Y184" s="2">
        <v>7712971702</v>
      </c>
      <c r="Z184" s="4" t="s">
        <v>6</v>
      </c>
      <c r="AA184" s="2" t="s">
        <v>286</v>
      </c>
      <c r="AB184" s="14">
        <v>46214</v>
      </c>
      <c r="AC184" s="2" t="s">
        <v>315</v>
      </c>
      <c r="AD184" s="2" t="s">
        <v>118</v>
      </c>
      <c r="AE184" s="6">
        <v>7712409745</v>
      </c>
      <c r="AF184" s="2" t="s">
        <v>314</v>
      </c>
      <c r="AG184" s="1" t="s">
        <v>313</v>
      </c>
      <c r="AH184" s="2">
        <v>7711278838</v>
      </c>
      <c r="AI184" s="1" t="s">
        <v>84</v>
      </c>
    </row>
    <row r="185" spans="1:35" x14ac:dyDescent="0.2">
      <c r="A185" s="13">
        <f>SUBTOTAL(3,B$8:B185)</f>
        <v>71</v>
      </c>
      <c r="B185" s="33" t="s">
        <v>312</v>
      </c>
      <c r="C185" s="32" t="s">
        <v>311</v>
      </c>
      <c r="D185" s="5" t="s">
        <v>18</v>
      </c>
      <c r="E185" s="5" t="s">
        <v>23</v>
      </c>
      <c r="H185" s="7">
        <v>750</v>
      </c>
      <c r="I185" s="7"/>
      <c r="J185" s="2" t="s">
        <v>17</v>
      </c>
      <c r="K185" s="2" t="s">
        <v>16</v>
      </c>
      <c r="N185" s="4"/>
      <c r="O185" s="11">
        <f ca="1">(TODAY()-Tabla1[[#This Row],[Fecha de nacimiento]])/365</f>
        <v>126.88767123287671</v>
      </c>
      <c r="U185" s="2"/>
      <c r="Z185" s="4" t="s">
        <v>6</v>
      </c>
      <c r="AA185" s="2"/>
      <c r="AB185" s="14">
        <v>46305</v>
      </c>
      <c r="AE185" s="6"/>
      <c r="AH185" s="2"/>
      <c r="AI185" s="1" t="s">
        <v>21</v>
      </c>
    </row>
    <row r="186" spans="1:35" x14ac:dyDescent="0.2">
      <c r="A186" s="13">
        <f>SUBTOTAL(3,B$8:B186)</f>
        <v>72</v>
      </c>
      <c r="B186" s="2" t="s">
        <v>310</v>
      </c>
      <c r="C186" s="44" t="s">
        <v>309</v>
      </c>
      <c r="D186" s="5" t="s">
        <v>18</v>
      </c>
      <c r="E186" s="5" t="s">
        <v>23</v>
      </c>
      <c r="H186" s="7">
        <v>800</v>
      </c>
      <c r="I186" s="7"/>
      <c r="J186" s="2" t="s">
        <v>17</v>
      </c>
      <c r="K186" s="2" t="s">
        <v>308</v>
      </c>
      <c r="L186" s="4" t="s">
        <v>307</v>
      </c>
      <c r="M186" s="6" t="s">
        <v>306</v>
      </c>
      <c r="N186" s="4">
        <v>26510</v>
      </c>
      <c r="O186" s="11">
        <f ca="1">(TODAY()-Tabla1[[#This Row],[Fecha de nacimiento]])/365</f>
        <v>54.257534246575339</v>
      </c>
      <c r="P186" s="5" t="s">
        <v>10</v>
      </c>
      <c r="Q186" s="5" t="s">
        <v>13</v>
      </c>
      <c r="R186" s="16" t="s">
        <v>305</v>
      </c>
      <c r="S186" s="2" t="s">
        <v>11</v>
      </c>
      <c r="T186" s="2" t="s">
        <v>10</v>
      </c>
      <c r="U186" s="2" t="s">
        <v>9</v>
      </c>
      <c r="V186" s="2" t="s">
        <v>304</v>
      </c>
      <c r="W186" s="2" t="s">
        <v>303</v>
      </c>
      <c r="X186" s="2">
        <v>42086</v>
      </c>
      <c r="Y186" s="2">
        <v>7712447788</v>
      </c>
      <c r="Z186" s="4" t="s">
        <v>6</v>
      </c>
      <c r="AA186" s="2" t="s">
        <v>302</v>
      </c>
      <c r="AB186" s="14">
        <v>46150</v>
      </c>
      <c r="AE186" s="6"/>
      <c r="AG186" s="1" t="s">
        <v>301</v>
      </c>
      <c r="AH186" s="2">
        <v>7711869491</v>
      </c>
      <c r="AI186" s="1" t="s">
        <v>21</v>
      </c>
    </row>
    <row r="187" spans="1:35" x14ac:dyDescent="0.2">
      <c r="A187" s="13">
        <f>SUBTOTAL(3,B$8:B187)</f>
        <v>73</v>
      </c>
      <c r="B187" s="2" t="s">
        <v>300</v>
      </c>
      <c r="C187" s="9" t="s">
        <v>299</v>
      </c>
      <c r="D187" s="5" t="s">
        <v>18</v>
      </c>
      <c r="E187" s="5"/>
      <c r="G187" s="5"/>
      <c r="H187" s="7">
        <v>700</v>
      </c>
      <c r="I187" s="7">
        <v>800</v>
      </c>
      <c r="J187" s="2" t="s">
        <v>17</v>
      </c>
      <c r="K187" s="2" t="s">
        <v>16</v>
      </c>
      <c r="L187" s="2" t="s">
        <v>51</v>
      </c>
      <c r="M187" s="2" t="s">
        <v>193</v>
      </c>
      <c r="N187" s="4">
        <v>40428</v>
      </c>
      <c r="O187" s="11">
        <f ca="1">(TODAY()-Tabla1[[#This Row],[Fecha de nacimiento]])/365</f>
        <v>16.126027397260273</v>
      </c>
      <c r="P187" s="5" t="s">
        <v>10</v>
      </c>
      <c r="Q187" s="5" t="s">
        <v>13</v>
      </c>
      <c r="R187" s="10" t="s">
        <v>295</v>
      </c>
      <c r="S187" s="2" t="s">
        <v>11</v>
      </c>
      <c r="T187" s="2" t="s">
        <v>10</v>
      </c>
      <c r="U187" s="2" t="s">
        <v>9</v>
      </c>
      <c r="V187" s="2" t="s">
        <v>298</v>
      </c>
      <c r="W187" s="1" t="s">
        <v>297</v>
      </c>
      <c r="X187" s="2">
        <v>42083</v>
      </c>
      <c r="Y187" s="2">
        <v>7713722103</v>
      </c>
      <c r="Z187" s="2" t="s">
        <v>6</v>
      </c>
      <c r="AA187" s="2" t="s">
        <v>244</v>
      </c>
      <c r="AB187" s="4">
        <v>46004</v>
      </c>
      <c r="AC187" s="1" t="s">
        <v>296</v>
      </c>
      <c r="AD187" s="2" t="s">
        <v>3</v>
      </c>
      <c r="AE187" s="2">
        <v>7713722103</v>
      </c>
      <c r="AF187" s="16" t="s">
        <v>295</v>
      </c>
      <c r="AG187" s="3" t="s">
        <v>294</v>
      </c>
      <c r="AH187" s="2">
        <v>7713186328</v>
      </c>
      <c r="AI187" s="1" t="s">
        <v>84</v>
      </c>
    </row>
    <row r="188" spans="1:35" x14ac:dyDescent="0.2">
      <c r="A188" s="13">
        <f>SUBTOTAL(3,B$8:B188)</f>
        <v>74</v>
      </c>
      <c r="B188" s="2" t="s">
        <v>293</v>
      </c>
      <c r="C188" s="9" t="s">
        <v>292</v>
      </c>
      <c r="D188" s="5" t="s">
        <v>18</v>
      </c>
      <c r="E188" s="5" t="s">
        <v>23</v>
      </c>
      <c r="H188" s="7">
        <v>800</v>
      </c>
      <c r="I188" s="7"/>
      <c r="J188" s="2" t="s">
        <v>17</v>
      </c>
      <c r="K188" s="2" t="s">
        <v>26</v>
      </c>
      <c r="N188" s="4"/>
      <c r="O188" s="11">
        <f ca="1">(TODAY()-Tabla1[[#This Row],[Fecha de nacimiento]])/365</f>
        <v>126.88767123287671</v>
      </c>
      <c r="U188" s="2"/>
      <c r="Z188" s="4" t="s">
        <v>6</v>
      </c>
      <c r="AA188" s="2"/>
      <c r="AB188" s="14">
        <v>46270</v>
      </c>
      <c r="AE188" s="6"/>
      <c r="AH188" s="2"/>
      <c r="AI188" s="1" t="s">
        <v>54</v>
      </c>
    </row>
    <row r="189" spans="1:35" x14ac:dyDescent="0.2">
      <c r="A189" s="13">
        <f>SUBTOTAL(3,B$8:B189)</f>
        <v>75</v>
      </c>
      <c r="B189" s="2" t="s">
        <v>291</v>
      </c>
      <c r="C189" s="9" t="s">
        <v>290</v>
      </c>
      <c r="D189" s="5" t="s">
        <v>18</v>
      </c>
      <c r="E189" s="5" t="s">
        <v>23</v>
      </c>
      <c r="G189" s="5"/>
      <c r="H189" s="7">
        <v>400</v>
      </c>
      <c r="I189" s="7">
        <v>400</v>
      </c>
      <c r="J189" s="2" t="s">
        <v>17</v>
      </c>
      <c r="K189" s="2" t="s">
        <v>22</v>
      </c>
      <c r="L189" s="2" t="s">
        <v>15</v>
      </c>
      <c r="M189" s="2" t="s">
        <v>50</v>
      </c>
      <c r="N189" s="4">
        <v>41466</v>
      </c>
      <c r="O189" s="11">
        <f ca="1">(TODAY()-Tabla1[[#This Row],[Fecha de nacimiento]])/365</f>
        <v>13.282191780821918</v>
      </c>
      <c r="P189" s="5" t="s">
        <v>59</v>
      </c>
      <c r="Q189" s="5" t="s">
        <v>13</v>
      </c>
      <c r="R189" s="43" t="s">
        <v>289</v>
      </c>
      <c r="S189" s="2" t="s">
        <v>11</v>
      </c>
      <c r="T189" s="2" t="s">
        <v>10</v>
      </c>
      <c r="U189" s="2" t="s">
        <v>9</v>
      </c>
      <c r="V189" s="2" t="s">
        <v>288</v>
      </c>
      <c r="W189" s="1" t="s">
        <v>287</v>
      </c>
      <c r="X189" s="2">
        <v>42186</v>
      </c>
      <c r="Y189" s="2">
        <v>7714426970</v>
      </c>
      <c r="Z189" s="2" t="s">
        <v>6</v>
      </c>
      <c r="AA189" s="2" t="s">
        <v>286</v>
      </c>
      <c r="AB189" s="4">
        <v>46090</v>
      </c>
      <c r="AC189" s="1" t="s">
        <v>285</v>
      </c>
      <c r="AD189" s="2" t="s">
        <v>3</v>
      </c>
      <c r="AE189" s="2">
        <v>7712930929</v>
      </c>
      <c r="AF189" s="16" t="s">
        <v>284</v>
      </c>
      <c r="AG189" s="3" t="s">
        <v>283</v>
      </c>
      <c r="AH189" s="2">
        <v>7714269563</v>
      </c>
      <c r="AI189" s="1" t="s">
        <v>84</v>
      </c>
    </row>
    <row r="190" spans="1:35" x14ac:dyDescent="0.2">
      <c r="A190" s="13">
        <f>SUBTOTAL(3,B$8:B190)</f>
        <v>76</v>
      </c>
      <c r="B190" s="2" t="s">
        <v>282</v>
      </c>
      <c r="C190" s="9" t="s">
        <v>281</v>
      </c>
      <c r="D190" s="5" t="s">
        <v>18</v>
      </c>
      <c r="E190" s="5" t="s">
        <v>23</v>
      </c>
      <c r="H190" s="7">
        <v>800</v>
      </c>
      <c r="I190" s="7"/>
      <c r="J190" s="2" t="s">
        <v>17</v>
      </c>
      <c r="K190" s="2" t="s">
        <v>26</v>
      </c>
      <c r="N190" s="4"/>
      <c r="O190" s="11">
        <f ca="1">(TODAY()-Tabla1[[#This Row],[Fecha de nacimiento]])/365</f>
        <v>126.88767123287671</v>
      </c>
      <c r="U190" s="2"/>
      <c r="Z190" s="4" t="s">
        <v>6</v>
      </c>
      <c r="AA190" s="2"/>
      <c r="AB190" s="14">
        <v>46265</v>
      </c>
      <c r="AE190" s="6"/>
      <c r="AH190" s="2"/>
      <c r="AI190" s="1" t="s">
        <v>21</v>
      </c>
    </row>
    <row r="191" spans="1:35" x14ac:dyDescent="0.2">
      <c r="A191" s="13">
        <f>SUBTOTAL(3,B$8:B191)</f>
        <v>77</v>
      </c>
      <c r="B191" s="28" t="s">
        <v>280</v>
      </c>
      <c r="C191" s="27" t="s">
        <v>279</v>
      </c>
      <c r="D191" s="5" t="s">
        <v>18</v>
      </c>
      <c r="E191" s="5" t="s">
        <v>23</v>
      </c>
      <c r="H191" s="7">
        <v>750</v>
      </c>
      <c r="I191" s="7"/>
      <c r="J191" s="2" t="s">
        <v>17</v>
      </c>
      <c r="K191" s="2" t="s">
        <v>26</v>
      </c>
      <c r="M191" s="6" t="s">
        <v>60</v>
      </c>
      <c r="N191" s="4">
        <v>21010</v>
      </c>
      <c r="O191" s="11">
        <f ca="1">(TODAY()-Tabla1[[#This Row],[Fecha de nacimiento]])/365</f>
        <v>69.326027397260276</v>
      </c>
      <c r="P191" s="5" t="s">
        <v>278</v>
      </c>
      <c r="Q191" s="2" t="s">
        <v>13</v>
      </c>
      <c r="R191" s="2" t="s">
        <v>277</v>
      </c>
      <c r="S191" s="2" t="s">
        <v>11</v>
      </c>
      <c r="T191" s="2" t="s">
        <v>10</v>
      </c>
      <c r="U191" s="2" t="s">
        <v>9</v>
      </c>
      <c r="W191" s="2" t="s">
        <v>57</v>
      </c>
      <c r="X191" s="2">
        <v>42115</v>
      </c>
      <c r="Y191" s="2">
        <v>7713821601</v>
      </c>
      <c r="Z191" s="4" t="s">
        <v>6</v>
      </c>
      <c r="AA191" s="2" t="s">
        <v>56</v>
      </c>
      <c r="AB191" s="14">
        <v>46220</v>
      </c>
      <c r="AE191" s="6"/>
      <c r="AG191" s="1" t="s">
        <v>61</v>
      </c>
      <c r="AH191" s="2">
        <v>7717478485</v>
      </c>
      <c r="AI191" s="1" t="s">
        <v>54</v>
      </c>
    </row>
    <row r="192" spans="1:35" x14ac:dyDescent="0.2">
      <c r="A192" s="13">
        <f>SUBTOTAL(3,B$8:B192)</f>
        <v>78</v>
      </c>
      <c r="B192" s="2" t="s">
        <v>276</v>
      </c>
      <c r="C192" s="9" t="s">
        <v>275</v>
      </c>
      <c r="D192" s="5" t="s">
        <v>18</v>
      </c>
      <c r="E192" s="5" t="s">
        <v>23</v>
      </c>
      <c r="G192" s="5"/>
      <c r="H192" s="7">
        <v>800</v>
      </c>
      <c r="I192" s="7">
        <v>800</v>
      </c>
      <c r="J192" s="2" t="s">
        <v>17</v>
      </c>
      <c r="K192" s="2" t="s">
        <v>26</v>
      </c>
      <c r="L192" s="2" t="s">
        <v>39</v>
      </c>
      <c r="M192" s="2" t="s">
        <v>274</v>
      </c>
      <c r="N192" s="4">
        <v>38513</v>
      </c>
      <c r="O192" s="11">
        <f ca="1">(TODAY()-Tabla1[[#This Row],[Fecha de nacimiento]])/365</f>
        <v>21.372602739726027</v>
      </c>
      <c r="P192" s="5" t="s">
        <v>273</v>
      </c>
      <c r="Q192" s="5" t="s">
        <v>13</v>
      </c>
      <c r="R192" s="10" t="s">
        <v>272</v>
      </c>
      <c r="S192" s="2" t="s">
        <v>11</v>
      </c>
      <c r="T192" s="2" t="s">
        <v>10</v>
      </c>
      <c r="U192" s="2" t="s">
        <v>9</v>
      </c>
      <c r="V192" s="2" t="s">
        <v>271</v>
      </c>
      <c r="W192" s="1" t="s">
        <v>270</v>
      </c>
      <c r="X192" s="2">
        <v>42854</v>
      </c>
      <c r="Y192" s="2">
        <v>5631581634</v>
      </c>
      <c r="Z192" s="2" t="s">
        <v>6</v>
      </c>
      <c r="AA192" s="2" t="s">
        <v>34</v>
      </c>
      <c r="AB192" s="4">
        <v>46056</v>
      </c>
      <c r="AC192" s="1" t="s">
        <v>269</v>
      </c>
      <c r="AD192" s="2" t="s">
        <v>3</v>
      </c>
      <c r="AE192" s="2">
        <v>5582946478</v>
      </c>
      <c r="AF192" s="16" t="s">
        <v>268</v>
      </c>
      <c r="AG192" s="42" t="s">
        <v>267</v>
      </c>
      <c r="AH192" s="2">
        <v>5582946478</v>
      </c>
      <c r="AI192" s="1" t="s">
        <v>21</v>
      </c>
    </row>
    <row r="193" spans="1:35" x14ac:dyDescent="0.2">
      <c r="A193" s="13">
        <f>SUBTOTAL(3,B$8:B193)</f>
        <v>79</v>
      </c>
      <c r="B193" s="33" t="s">
        <v>266</v>
      </c>
      <c r="C193" s="32" t="s">
        <v>265</v>
      </c>
      <c r="D193" s="5" t="s">
        <v>18</v>
      </c>
      <c r="E193" s="5" t="s">
        <v>23</v>
      </c>
      <c r="H193" s="7">
        <v>200</v>
      </c>
      <c r="I193" s="7"/>
      <c r="J193" s="2" t="s">
        <v>105</v>
      </c>
      <c r="K193" s="2" t="s">
        <v>26</v>
      </c>
      <c r="N193" s="4"/>
      <c r="O193" s="11">
        <f ca="1">(TODAY()-Tabla1[[#This Row],[Fecha de nacimiento]])/365</f>
        <v>126.88767123287671</v>
      </c>
      <c r="U193" s="2"/>
      <c r="Z193" s="4" t="s">
        <v>6</v>
      </c>
      <c r="AA193" s="2"/>
      <c r="AB193" s="14">
        <v>46308</v>
      </c>
      <c r="AE193" s="6"/>
      <c r="AH193" s="2"/>
      <c r="AI193" s="1" t="s">
        <v>21</v>
      </c>
    </row>
    <row r="194" spans="1:35" x14ac:dyDescent="0.2">
      <c r="A194" s="13">
        <f>SUBTOTAL(3,B$8:B194)</f>
        <v>80</v>
      </c>
      <c r="B194" s="24" t="s">
        <v>264</v>
      </c>
      <c r="C194" s="23" t="s">
        <v>263</v>
      </c>
      <c r="D194" s="18" t="s">
        <v>18</v>
      </c>
      <c r="E194" s="18" t="s">
        <v>23</v>
      </c>
      <c r="F194" s="22"/>
      <c r="G194" s="21"/>
      <c r="H194" s="21">
        <v>800</v>
      </c>
      <c r="I194" s="21"/>
      <c r="J194" s="2" t="s">
        <v>17</v>
      </c>
      <c r="K194" s="2" t="s">
        <v>26</v>
      </c>
      <c r="L194" s="19" t="s">
        <v>51</v>
      </c>
      <c r="M194" s="17" t="s">
        <v>262</v>
      </c>
      <c r="N194" s="19">
        <v>39363</v>
      </c>
      <c r="O194" s="20">
        <f ca="1">(TODAY()-Tabla1[[#This Row],[Fecha de nacimiento]])/365</f>
        <v>19.043835616438358</v>
      </c>
      <c r="P194" s="18" t="s">
        <v>10</v>
      </c>
      <c r="Q194" s="2" t="s">
        <v>13</v>
      </c>
      <c r="S194" s="2" t="s">
        <v>11</v>
      </c>
      <c r="T194" s="2" t="s">
        <v>10</v>
      </c>
      <c r="U194" s="2" t="s">
        <v>9</v>
      </c>
      <c r="V194" s="2" t="s">
        <v>261</v>
      </c>
      <c r="W194" s="2" t="s">
        <v>35</v>
      </c>
      <c r="X194" s="2">
        <v>42185</v>
      </c>
      <c r="Y194" s="2">
        <v>7714360612</v>
      </c>
      <c r="Z194" s="19" t="s">
        <v>6</v>
      </c>
      <c r="AA194" s="18" t="s">
        <v>205</v>
      </c>
      <c r="AB194" s="14">
        <v>46165</v>
      </c>
      <c r="AC194" s="2" t="s">
        <v>33</v>
      </c>
      <c r="AD194" s="2" t="s">
        <v>3</v>
      </c>
      <c r="AE194" s="17">
        <v>7712033713</v>
      </c>
      <c r="AF194" s="16" t="s">
        <v>32</v>
      </c>
      <c r="AG194" s="1" t="s">
        <v>202</v>
      </c>
      <c r="AH194" s="2">
        <v>7713020670</v>
      </c>
      <c r="AI194" s="1" t="s">
        <v>21</v>
      </c>
    </row>
    <row r="195" spans="1:35" x14ac:dyDescent="0.2">
      <c r="A195" s="13">
        <f>SUBTOTAL(3,B$8:B195)</f>
        <v>81</v>
      </c>
      <c r="B195" s="2" t="s">
        <v>260</v>
      </c>
      <c r="C195" s="9" t="s">
        <v>259</v>
      </c>
      <c r="D195" s="5" t="s">
        <v>18</v>
      </c>
      <c r="E195" s="5" t="s">
        <v>23</v>
      </c>
      <c r="G195" s="5"/>
      <c r="H195" s="7">
        <v>800</v>
      </c>
      <c r="I195" s="7">
        <v>800</v>
      </c>
      <c r="J195" s="2" t="s">
        <v>17</v>
      </c>
      <c r="K195" s="2" t="s">
        <v>26</v>
      </c>
      <c r="L195" s="2" t="s">
        <v>258</v>
      </c>
      <c r="M195" s="2" t="s">
        <v>257</v>
      </c>
      <c r="N195" s="4">
        <v>28856</v>
      </c>
      <c r="O195" s="11">
        <f ca="1">(TODAY()-Tabla1[[#This Row],[Fecha de nacimiento]])/365</f>
        <v>47.830136986301369</v>
      </c>
      <c r="P195" s="5" t="s">
        <v>256</v>
      </c>
      <c r="Q195" s="5" t="s">
        <v>13</v>
      </c>
      <c r="R195" s="16" t="s">
        <v>255</v>
      </c>
      <c r="S195" s="2" t="s">
        <v>11</v>
      </c>
      <c r="T195" s="2" t="s">
        <v>10</v>
      </c>
      <c r="U195" s="2" t="s">
        <v>9</v>
      </c>
      <c r="V195" s="2" t="s">
        <v>254</v>
      </c>
      <c r="W195" s="2" t="s">
        <v>253</v>
      </c>
      <c r="X195" s="2">
        <v>42082</v>
      </c>
      <c r="Y195" s="2">
        <v>7711437295</v>
      </c>
      <c r="Z195" s="2" t="s">
        <v>6</v>
      </c>
      <c r="AA195" s="4" t="s">
        <v>252</v>
      </c>
      <c r="AB195" s="14">
        <v>46140</v>
      </c>
      <c r="AE195" s="2"/>
      <c r="AF195" s="5"/>
      <c r="AG195" s="2" t="s">
        <v>251</v>
      </c>
      <c r="AH195" s="2">
        <v>77112351290</v>
      </c>
      <c r="AI195" s="1" t="s">
        <v>21</v>
      </c>
    </row>
    <row r="196" spans="1:35" x14ac:dyDescent="0.2">
      <c r="A196" s="13">
        <f>SUBTOTAL(3,B$8:B196)</f>
        <v>82</v>
      </c>
      <c r="B196" s="2" t="s">
        <v>250</v>
      </c>
      <c r="C196" s="9" t="s">
        <v>249</v>
      </c>
      <c r="D196" s="2" t="s">
        <v>18</v>
      </c>
      <c r="F196" s="12"/>
      <c r="G196" s="2"/>
      <c r="H196" s="7">
        <v>550</v>
      </c>
      <c r="I196" s="7">
        <v>650</v>
      </c>
      <c r="J196" s="2" t="s">
        <v>17</v>
      </c>
      <c r="K196" s="2" t="s">
        <v>16</v>
      </c>
      <c r="L196" s="2" t="s">
        <v>194</v>
      </c>
      <c r="M196" s="2" t="s">
        <v>248</v>
      </c>
      <c r="N196" s="4">
        <v>40703</v>
      </c>
      <c r="O196" s="11">
        <f ca="1">(TODAY()-Tabla1[[#This Row],[Fecha de nacimiento]])/365</f>
        <v>15.372602739726027</v>
      </c>
      <c r="P196" s="5" t="s">
        <v>91</v>
      </c>
      <c r="Q196" s="5" t="s">
        <v>13</v>
      </c>
      <c r="R196" s="26" t="s">
        <v>247</v>
      </c>
      <c r="S196" s="5" t="s">
        <v>11</v>
      </c>
      <c r="T196" s="5" t="s">
        <v>10</v>
      </c>
      <c r="U196" s="5" t="s">
        <v>9</v>
      </c>
      <c r="V196" s="5" t="s">
        <v>246</v>
      </c>
      <c r="W196" s="3" t="s">
        <v>245</v>
      </c>
      <c r="X196" s="6">
        <v>42083</v>
      </c>
      <c r="Y196" s="6">
        <v>7712880215</v>
      </c>
      <c r="Z196" s="5" t="s">
        <v>6</v>
      </c>
      <c r="AA196" s="5" t="s">
        <v>244</v>
      </c>
      <c r="AB196" s="4">
        <v>45862</v>
      </c>
      <c r="AC196" s="3" t="s">
        <v>243</v>
      </c>
      <c r="AD196" s="5" t="s">
        <v>3</v>
      </c>
      <c r="AE196" s="6">
        <v>7717609547</v>
      </c>
      <c r="AF196" s="26" t="s">
        <v>242</v>
      </c>
      <c r="AG196" s="3" t="s">
        <v>241</v>
      </c>
      <c r="AH196" s="6">
        <v>5641138585</v>
      </c>
      <c r="AI196" s="1" t="s">
        <v>84</v>
      </c>
    </row>
    <row r="197" spans="1:35" x14ac:dyDescent="0.2">
      <c r="A197" s="13">
        <f>SUBTOTAL(3,B$8:B197)</f>
        <v>83</v>
      </c>
      <c r="B197" s="2" t="s">
        <v>240</v>
      </c>
      <c r="C197" s="41" t="s">
        <v>239</v>
      </c>
      <c r="D197" s="5" t="s">
        <v>18</v>
      </c>
      <c r="E197" s="5" t="s">
        <v>23</v>
      </c>
      <c r="H197" s="7">
        <v>800</v>
      </c>
      <c r="I197" s="7"/>
      <c r="J197" s="2" t="s">
        <v>17</v>
      </c>
      <c r="K197" s="2" t="s">
        <v>26</v>
      </c>
      <c r="N197" s="4"/>
      <c r="O197" s="11">
        <f ca="1">(TODAY()-Tabla1[[#This Row],[Fecha de nacimiento]])/365</f>
        <v>126.88767123287671</v>
      </c>
      <c r="U197" s="2"/>
      <c r="Z197" s="4" t="s">
        <v>6</v>
      </c>
      <c r="AA197" s="2"/>
      <c r="AB197" s="14">
        <v>46288</v>
      </c>
      <c r="AE197" s="6"/>
      <c r="AH197" s="2"/>
      <c r="AI197" s="1" t="s">
        <v>21</v>
      </c>
    </row>
    <row r="198" spans="1:35" x14ac:dyDescent="0.2">
      <c r="A198" s="13">
        <f>SUBTOTAL(3,B$8:B198)</f>
        <v>84</v>
      </c>
      <c r="B198" s="2" t="s">
        <v>238</v>
      </c>
      <c r="C198" s="9" t="s">
        <v>236</v>
      </c>
      <c r="D198" s="5" t="s">
        <v>18</v>
      </c>
      <c r="E198" s="5" t="s">
        <v>23</v>
      </c>
      <c r="H198" s="7">
        <v>750</v>
      </c>
      <c r="I198" s="7"/>
      <c r="J198" s="2" t="s">
        <v>17</v>
      </c>
      <c r="K198" s="2" t="s">
        <v>16</v>
      </c>
      <c r="N198" s="4"/>
      <c r="O198" s="11">
        <f ca="1">(TODAY()-Tabla1[[#This Row],[Fecha de nacimiento]])/365</f>
        <v>126.88767123287671</v>
      </c>
      <c r="U198" s="2"/>
      <c r="Z198" s="4" t="s">
        <v>6</v>
      </c>
      <c r="AA198" s="2"/>
      <c r="AB198" s="14">
        <v>46286</v>
      </c>
      <c r="AE198" s="6"/>
      <c r="AH198" s="2"/>
      <c r="AI198" s="1" t="s">
        <v>21</v>
      </c>
    </row>
    <row r="199" spans="1:35" x14ac:dyDescent="0.2">
      <c r="A199" s="13">
        <f>SUBTOTAL(3,B$8:B199)</f>
        <v>85</v>
      </c>
      <c r="B199" s="2" t="s">
        <v>237</v>
      </c>
      <c r="C199" s="9" t="s">
        <v>236</v>
      </c>
      <c r="D199" s="5" t="s">
        <v>18</v>
      </c>
      <c r="E199" s="5" t="s">
        <v>23</v>
      </c>
      <c r="H199" s="7">
        <v>250</v>
      </c>
      <c r="I199" s="7"/>
      <c r="J199" s="2" t="s">
        <v>105</v>
      </c>
      <c r="K199" s="2" t="s">
        <v>16</v>
      </c>
      <c r="N199" s="4"/>
      <c r="O199" s="11">
        <f ca="1">(TODAY()-Tabla1[[#This Row],[Fecha de nacimiento]])/365</f>
        <v>126.88767123287671</v>
      </c>
      <c r="U199" s="2"/>
      <c r="Z199" s="4" t="s">
        <v>6</v>
      </c>
      <c r="AA199" s="2"/>
      <c r="AB199" s="14">
        <v>46294</v>
      </c>
      <c r="AE199" s="6"/>
      <c r="AH199" s="2"/>
      <c r="AI199" s="1" t="s">
        <v>21</v>
      </c>
    </row>
    <row r="200" spans="1:35" x14ac:dyDescent="0.2">
      <c r="A200" s="13">
        <f>SUBTOTAL(3,B$8:B200)</f>
        <v>86</v>
      </c>
      <c r="B200" s="2" t="s">
        <v>235</v>
      </c>
      <c r="C200" s="9" t="s">
        <v>234</v>
      </c>
      <c r="D200" s="5" t="s">
        <v>18</v>
      </c>
      <c r="E200" s="5" t="s">
        <v>23</v>
      </c>
      <c r="H200" s="7">
        <v>800</v>
      </c>
      <c r="I200" s="7"/>
      <c r="J200" s="2" t="s">
        <v>17</v>
      </c>
      <c r="K200" s="2" t="s">
        <v>159</v>
      </c>
      <c r="N200" s="4"/>
      <c r="O200" s="11">
        <f ca="1">(TODAY()-Tabla1[[#This Row],[Fecha de nacimiento]])/365</f>
        <v>126.88767123287671</v>
      </c>
      <c r="U200" s="2"/>
      <c r="Z200" s="4" t="s">
        <v>6</v>
      </c>
      <c r="AA200" s="2"/>
      <c r="AB200" s="14">
        <v>46293</v>
      </c>
      <c r="AE200" s="6"/>
      <c r="AH200" s="2"/>
      <c r="AI200" s="1" t="s">
        <v>21</v>
      </c>
    </row>
    <row r="201" spans="1:35" x14ac:dyDescent="0.2">
      <c r="A201" s="13">
        <f>SUBTOTAL(3,B$8:B201)</f>
        <v>87</v>
      </c>
      <c r="B201" s="2" t="s">
        <v>233</v>
      </c>
      <c r="C201" s="9" t="s">
        <v>232</v>
      </c>
      <c r="D201" s="2" t="s">
        <v>18</v>
      </c>
      <c r="F201" s="12"/>
      <c r="G201" s="2"/>
      <c r="H201" s="7">
        <v>700</v>
      </c>
      <c r="I201" s="7">
        <v>800</v>
      </c>
      <c r="J201" s="2" t="s">
        <v>17</v>
      </c>
      <c r="K201" s="2" t="s">
        <v>16</v>
      </c>
      <c r="L201" s="2" t="s">
        <v>15</v>
      </c>
      <c r="M201" s="2" t="s">
        <v>156</v>
      </c>
      <c r="N201" s="4">
        <v>40802</v>
      </c>
      <c r="O201" s="11">
        <f ca="1">(TODAY()-Tabla1[[#This Row],[Fecha de nacimiento]])/365</f>
        <v>15.101369863013698</v>
      </c>
      <c r="P201" s="5" t="s">
        <v>231</v>
      </c>
      <c r="Q201" s="5" t="s">
        <v>13</v>
      </c>
      <c r="R201" s="26" t="s">
        <v>226</v>
      </c>
      <c r="S201" s="5" t="s">
        <v>11</v>
      </c>
      <c r="T201" s="5" t="s">
        <v>10</v>
      </c>
      <c r="U201" s="5" t="s">
        <v>9</v>
      </c>
      <c r="V201" s="5" t="s">
        <v>230</v>
      </c>
      <c r="W201" s="3" t="s">
        <v>229</v>
      </c>
      <c r="X201" s="6">
        <v>42083</v>
      </c>
      <c r="Y201" s="6">
        <v>7713911624</v>
      </c>
      <c r="Z201" s="5" t="s">
        <v>6</v>
      </c>
      <c r="AA201" s="5" t="s">
        <v>228</v>
      </c>
      <c r="AB201" s="4">
        <v>45922</v>
      </c>
      <c r="AC201" s="3" t="s">
        <v>227</v>
      </c>
      <c r="AD201" s="5" t="s">
        <v>3</v>
      </c>
      <c r="AE201" s="6">
        <v>7713911624</v>
      </c>
      <c r="AF201" s="26" t="s">
        <v>226</v>
      </c>
      <c r="AG201" s="3" t="s">
        <v>225</v>
      </c>
      <c r="AH201" s="6">
        <v>7714230718</v>
      </c>
      <c r="AI201" s="1" t="s">
        <v>84</v>
      </c>
    </row>
    <row r="202" spans="1:35" x14ac:dyDescent="0.2">
      <c r="A202" s="13">
        <f>SUBTOTAL(3,B$8:B202)</f>
        <v>88</v>
      </c>
      <c r="B202" s="2" t="s">
        <v>224</v>
      </c>
      <c r="C202" s="9" t="s">
        <v>223</v>
      </c>
      <c r="D202" s="5" t="s">
        <v>18</v>
      </c>
      <c r="E202" s="5" t="s">
        <v>23</v>
      </c>
      <c r="H202" s="7">
        <v>800</v>
      </c>
      <c r="I202" s="7"/>
      <c r="J202" s="2" t="s">
        <v>17</v>
      </c>
      <c r="K202" s="2" t="s">
        <v>22</v>
      </c>
      <c r="N202" s="4"/>
      <c r="O202" s="11">
        <f ca="1">(TODAY()-Tabla1[[#This Row],[Fecha de nacimiento]])/365</f>
        <v>126.88767123287671</v>
      </c>
      <c r="U202" s="2"/>
      <c r="Z202" s="4" t="s">
        <v>6</v>
      </c>
      <c r="AA202" s="2"/>
      <c r="AB202" s="14">
        <v>46268</v>
      </c>
      <c r="AE202" s="6"/>
      <c r="AH202" s="2"/>
      <c r="AI202" s="1" t="s">
        <v>21</v>
      </c>
    </row>
    <row r="203" spans="1:35" x14ac:dyDescent="0.2">
      <c r="A203" s="13">
        <f>SUBTOTAL(3,B$8:B203)</f>
        <v>89</v>
      </c>
      <c r="B203" s="2" t="s">
        <v>222</v>
      </c>
      <c r="C203" s="9" t="s">
        <v>221</v>
      </c>
      <c r="D203" s="5" t="s">
        <v>18</v>
      </c>
      <c r="E203" s="5" t="s">
        <v>23</v>
      </c>
      <c r="G203" s="5"/>
      <c r="H203" s="7">
        <v>750</v>
      </c>
      <c r="I203" s="7">
        <v>750</v>
      </c>
      <c r="J203" s="2" t="s">
        <v>17</v>
      </c>
      <c r="K203" s="2" t="s">
        <v>159</v>
      </c>
      <c r="L203" s="2" t="s">
        <v>39</v>
      </c>
      <c r="M203" s="2" t="s">
        <v>220</v>
      </c>
      <c r="N203" s="4">
        <v>44084</v>
      </c>
      <c r="O203" s="11">
        <f ca="1">(TODAY()-Tabla1[[#This Row],[Fecha de nacimiento]])/365</f>
        <v>6.1095890410958908</v>
      </c>
      <c r="P203" s="5" t="s">
        <v>10</v>
      </c>
      <c r="Q203" s="5" t="s">
        <v>13</v>
      </c>
      <c r="R203" s="10" t="s">
        <v>151</v>
      </c>
      <c r="S203" s="2" t="s">
        <v>11</v>
      </c>
      <c r="T203" s="2" t="s">
        <v>10</v>
      </c>
      <c r="U203" s="2" t="s">
        <v>9</v>
      </c>
      <c r="V203" s="2" t="s">
        <v>219</v>
      </c>
      <c r="W203" s="3" t="s">
        <v>154</v>
      </c>
      <c r="X203" s="2">
        <v>42185</v>
      </c>
      <c r="Y203" s="6">
        <v>5529022955</v>
      </c>
      <c r="Z203" s="2" t="s">
        <v>6</v>
      </c>
      <c r="AA203" s="5" t="s">
        <v>153</v>
      </c>
      <c r="AB203" s="4">
        <v>46042</v>
      </c>
      <c r="AC203" s="1" t="s">
        <v>152</v>
      </c>
      <c r="AD203" s="2" t="s">
        <v>118</v>
      </c>
      <c r="AE203" s="6">
        <v>5529022955</v>
      </c>
      <c r="AF203" s="10" t="s">
        <v>151</v>
      </c>
      <c r="AG203" s="3" t="s">
        <v>150</v>
      </c>
      <c r="AH203" s="6">
        <v>5525030766</v>
      </c>
      <c r="AI203" s="1" t="s">
        <v>132</v>
      </c>
    </row>
    <row r="204" spans="1:35" x14ac:dyDescent="0.2">
      <c r="A204" s="13">
        <f>SUBTOTAL(3,B$8:B204)</f>
        <v>90</v>
      </c>
      <c r="B204" s="2" t="s">
        <v>218</v>
      </c>
      <c r="C204" s="9" t="s">
        <v>217</v>
      </c>
      <c r="D204" s="2" t="s">
        <v>18</v>
      </c>
      <c r="E204" s="2" t="s">
        <v>216</v>
      </c>
      <c r="F204" s="12">
        <v>46157</v>
      </c>
      <c r="G204" s="12">
        <v>46262</v>
      </c>
      <c r="H204" s="7">
        <v>550</v>
      </c>
      <c r="I204" s="7">
        <v>650</v>
      </c>
      <c r="J204" s="2" t="s">
        <v>17</v>
      </c>
      <c r="K204" s="2" t="s">
        <v>26</v>
      </c>
      <c r="L204" s="2"/>
      <c r="M204" s="2" t="s">
        <v>215</v>
      </c>
      <c r="N204" s="4">
        <v>39357</v>
      </c>
      <c r="O204" s="11">
        <f ca="1">(TODAY()-Tabla1[[#This Row],[Fecha de nacimiento]])/365</f>
        <v>19.06027397260274</v>
      </c>
      <c r="P204" s="5" t="s">
        <v>10</v>
      </c>
      <c r="Q204" s="5" t="s">
        <v>13</v>
      </c>
      <c r="R204" s="10" t="s">
        <v>214</v>
      </c>
      <c r="S204" s="2" t="s">
        <v>36</v>
      </c>
      <c r="T204" s="2" t="s">
        <v>10</v>
      </c>
      <c r="U204" s="2" t="s">
        <v>9</v>
      </c>
      <c r="V204" s="2" t="s">
        <v>213</v>
      </c>
      <c r="W204" s="1" t="s">
        <v>212</v>
      </c>
      <c r="X204" s="2">
        <v>42083</v>
      </c>
      <c r="Y204" s="2">
        <v>7298361425</v>
      </c>
      <c r="Z204" s="2" t="s">
        <v>6</v>
      </c>
      <c r="AA204" s="5" t="s">
        <v>211</v>
      </c>
      <c r="AB204" s="4">
        <v>45951</v>
      </c>
      <c r="AC204" s="1" t="s">
        <v>210</v>
      </c>
      <c r="AD204" s="2" t="s">
        <v>3</v>
      </c>
      <c r="AE204" s="2">
        <v>7712212621</v>
      </c>
      <c r="AG204" s="40" t="s">
        <v>209</v>
      </c>
      <c r="AH204" s="2">
        <v>7712366408</v>
      </c>
      <c r="AI204" s="1" t="s">
        <v>0</v>
      </c>
    </row>
    <row r="205" spans="1:35" x14ac:dyDescent="0.2">
      <c r="A205" s="13">
        <f>SUBTOTAL(3,B$8:B205)</f>
        <v>91</v>
      </c>
      <c r="B205" s="24" t="s">
        <v>208</v>
      </c>
      <c r="C205" s="23" t="s">
        <v>33</v>
      </c>
      <c r="D205" s="18" t="s">
        <v>18</v>
      </c>
      <c r="E205" s="18" t="s">
        <v>23</v>
      </c>
      <c r="F205" s="22"/>
      <c r="G205" s="21"/>
      <c r="H205" s="21">
        <v>800</v>
      </c>
      <c r="I205" s="21"/>
      <c r="J205" s="2" t="s">
        <v>17</v>
      </c>
      <c r="K205" s="2" t="s">
        <v>26</v>
      </c>
      <c r="L205" s="19" t="s">
        <v>51</v>
      </c>
      <c r="M205" s="17" t="s">
        <v>193</v>
      </c>
      <c r="N205" s="19">
        <v>29607</v>
      </c>
      <c r="O205" s="20">
        <f ca="1">(TODAY()-Tabla1[[#This Row],[Fecha de nacimiento]])/365</f>
        <v>45.772602739726025</v>
      </c>
      <c r="P205" s="18" t="s">
        <v>10</v>
      </c>
      <c r="Q205" s="2" t="s">
        <v>13</v>
      </c>
      <c r="R205" s="16" t="s">
        <v>207</v>
      </c>
      <c r="S205" s="2" t="s">
        <v>11</v>
      </c>
      <c r="T205" s="2" t="s">
        <v>10</v>
      </c>
      <c r="U205" s="2" t="s">
        <v>9</v>
      </c>
      <c r="V205" s="2" t="s">
        <v>206</v>
      </c>
      <c r="W205" s="2" t="s">
        <v>35</v>
      </c>
      <c r="X205" s="2">
        <v>42185</v>
      </c>
      <c r="Y205" s="2">
        <v>7712033713</v>
      </c>
      <c r="Z205" s="19" t="s">
        <v>6</v>
      </c>
      <c r="AA205" s="18" t="s">
        <v>205</v>
      </c>
      <c r="AB205" s="14">
        <v>46165</v>
      </c>
      <c r="AC205" s="2" t="s">
        <v>204</v>
      </c>
      <c r="AD205" s="2" t="s">
        <v>203</v>
      </c>
      <c r="AE205" s="17">
        <v>7711259099</v>
      </c>
      <c r="AG205" s="1" t="s">
        <v>202</v>
      </c>
      <c r="AH205" s="2">
        <v>7713020670</v>
      </c>
      <c r="AI205" s="1" t="s">
        <v>21</v>
      </c>
    </row>
    <row r="206" spans="1:35" x14ac:dyDescent="0.2">
      <c r="A206" s="13">
        <f>SUBTOTAL(3,B$8:B206)</f>
        <v>92</v>
      </c>
      <c r="B206" s="33" t="s">
        <v>201</v>
      </c>
      <c r="C206" s="32" t="s">
        <v>33</v>
      </c>
      <c r="D206" s="5" t="s">
        <v>18</v>
      </c>
      <c r="E206" s="5" t="s">
        <v>23</v>
      </c>
      <c r="H206" s="7">
        <v>200</v>
      </c>
      <c r="I206" s="7"/>
      <c r="J206" s="2" t="s">
        <v>105</v>
      </c>
      <c r="K206" s="2" t="s">
        <v>26</v>
      </c>
      <c r="N206" s="4"/>
      <c r="O206" s="11">
        <f ca="1">(TODAY()-Tabla1[[#This Row],[Fecha de nacimiento]])/365</f>
        <v>126.88767123287671</v>
      </c>
      <c r="U206" s="2"/>
      <c r="Z206" s="4" t="s">
        <v>6</v>
      </c>
      <c r="AA206" s="2"/>
      <c r="AB206" s="14">
        <v>46308</v>
      </c>
      <c r="AE206" s="6"/>
      <c r="AH206" s="2"/>
      <c r="AI206" s="1" t="s">
        <v>21</v>
      </c>
    </row>
    <row r="207" spans="1:35" x14ac:dyDescent="0.2">
      <c r="A207" s="13">
        <f>SUBTOTAL(3,B$8:B207)</f>
        <v>93</v>
      </c>
      <c r="B207" s="2" t="s">
        <v>200</v>
      </c>
      <c r="C207" s="9" t="s">
        <v>199</v>
      </c>
      <c r="D207" s="5" t="s">
        <v>18</v>
      </c>
      <c r="E207" s="5" t="s">
        <v>23</v>
      </c>
      <c r="H207" s="7">
        <v>800</v>
      </c>
      <c r="I207" s="7"/>
      <c r="J207" s="2" t="s">
        <v>17</v>
      </c>
      <c r="K207" s="2" t="s">
        <v>26</v>
      </c>
      <c r="N207" s="4"/>
      <c r="O207" s="11">
        <f ca="1">(TODAY()-Tabla1[[#This Row],[Fecha de nacimiento]])/365</f>
        <v>126.88767123287671</v>
      </c>
      <c r="U207" s="2"/>
      <c r="Z207" s="4" t="s">
        <v>6</v>
      </c>
      <c r="AA207" s="2"/>
      <c r="AB207" s="14">
        <v>46276</v>
      </c>
      <c r="AE207" s="6"/>
      <c r="AH207" s="2"/>
      <c r="AI207" s="1" t="s">
        <v>21</v>
      </c>
    </row>
    <row r="208" spans="1:35" x14ac:dyDescent="0.2">
      <c r="A208" s="13">
        <f>SUBTOTAL(3,B$8:B208)</f>
        <v>94</v>
      </c>
      <c r="B208" s="33" t="s">
        <v>198</v>
      </c>
      <c r="C208" s="32" t="s">
        <v>197</v>
      </c>
      <c r="D208" s="5" t="s">
        <v>18</v>
      </c>
      <c r="E208" s="5" t="s">
        <v>23</v>
      </c>
      <c r="H208" s="7">
        <v>800</v>
      </c>
      <c r="I208" s="7"/>
      <c r="J208" s="2" t="s">
        <v>17</v>
      </c>
      <c r="K208" s="2" t="s">
        <v>26</v>
      </c>
      <c r="N208" s="4"/>
      <c r="O208" s="11">
        <f ca="1">(TODAY()-Tabla1[[#This Row],[Fecha de nacimiento]])/365</f>
        <v>126.88767123287671</v>
      </c>
      <c r="U208" s="2"/>
      <c r="Z208" s="4" t="s">
        <v>6</v>
      </c>
      <c r="AA208" s="2"/>
      <c r="AB208" s="14">
        <v>46304</v>
      </c>
      <c r="AE208" s="6"/>
      <c r="AH208" s="2"/>
      <c r="AI208" s="1" t="s">
        <v>21</v>
      </c>
    </row>
    <row r="209" spans="1:35" x14ac:dyDescent="0.2">
      <c r="A209" s="13">
        <f>SUBTOTAL(3,B$8:B209)</f>
        <v>95</v>
      </c>
      <c r="B209" s="2" t="s">
        <v>196</v>
      </c>
      <c r="C209" s="9" t="s">
        <v>195</v>
      </c>
      <c r="D209" s="5" t="s">
        <v>18</v>
      </c>
      <c r="E209" s="5" t="s">
        <v>23</v>
      </c>
      <c r="G209" s="5"/>
      <c r="H209" s="7">
        <v>800</v>
      </c>
      <c r="I209" s="7">
        <v>800</v>
      </c>
      <c r="J209" s="2" t="s">
        <v>17</v>
      </c>
      <c r="K209" s="2" t="s">
        <v>16</v>
      </c>
      <c r="L209" s="2" t="s">
        <v>194</v>
      </c>
      <c r="M209" s="2" t="s">
        <v>193</v>
      </c>
      <c r="N209" s="4">
        <v>41535</v>
      </c>
      <c r="O209" s="11">
        <f ca="1">(TODAY()-Tabla1[[#This Row],[Fecha de nacimiento]])/365</f>
        <v>13.093150684931507</v>
      </c>
      <c r="P209" s="5" t="s">
        <v>59</v>
      </c>
      <c r="Q209" s="5" t="s">
        <v>13</v>
      </c>
      <c r="R209" s="10" t="s">
        <v>192</v>
      </c>
      <c r="S209" s="2" t="s">
        <v>11</v>
      </c>
      <c r="T209" s="2" t="s">
        <v>10</v>
      </c>
      <c r="U209" s="2" t="s">
        <v>9</v>
      </c>
      <c r="V209" s="2" t="s">
        <v>191</v>
      </c>
      <c r="W209" s="1" t="s">
        <v>190</v>
      </c>
      <c r="X209" s="2">
        <v>42180</v>
      </c>
      <c r="Y209" s="2">
        <v>7712157585</v>
      </c>
      <c r="Z209" s="2" t="s">
        <v>6</v>
      </c>
      <c r="AA209" s="2" t="s">
        <v>189</v>
      </c>
      <c r="AB209" s="4">
        <v>46076</v>
      </c>
      <c r="AC209" s="1" t="s">
        <v>188</v>
      </c>
      <c r="AD209" s="2" t="s">
        <v>118</v>
      </c>
      <c r="AE209" s="2">
        <v>7712157585</v>
      </c>
      <c r="AF209" s="16" t="s">
        <v>187</v>
      </c>
      <c r="AG209" s="3" t="s">
        <v>186</v>
      </c>
      <c r="AH209" s="2">
        <v>7712157585</v>
      </c>
      <c r="AI209" s="1" t="s">
        <v>21</v>
      </c>
    </row>
    <row r="210" spans="1:35" x14ac:dyDescent="0.2">
      <c r="A210" s="13">
        <f>SUBTOTAL(3,B$8:B210)</f>
        <v>96</v>
      </c>
      <c r="B210" s="33" t="s">
        <v>185</v>
      </c>
      <c r="C210" s="39" t="s">
        <v>184</v>
      </c>
      <c r="D210" s="5" t="s">
        <v>18</v>
      </c>
      <c r="E210" s="5" t="s">
        <v>23</v>
      </c>
      <c r="H210" s="7">
        <v>800</v>
      </c>
      <c r="I210" s="7"/>
      <c r="J210" s="2" t="s">
        <v>17</v>
      </c>
      <c r="K210" s="2" t="s">
        <v>22</v>
      </c>
      <c r="N210" s="4"/>
      <c r="O210" s="11">
        <f ca="1">(TODAY()-Tabla1[[#This Row],[Fecha de nacimiento]])/365</f>
        <v>126.88767123287671</v>
      </c>
      <c r="U210" s="2"/>
      <c r="Z210" s="4" t="s">
        <v>6</v>
      </c>
      <c r="AA210" s="2"/>
      <c r="AB210" s="14">
        <v>40460</v>
      </c>
      <c r="AE210" s="6"/>
      <c r="AH210" s="2"/>
      <c r="AI210" s="1" t="s">
        <v>21</v>
      </c>
    </row>
    <row r="211" spans="1:35" hidden="1" x14ac:dyDescent="0.2">
      <c r="A211" s="13">
        <f>SUBTOTAL(3,B$8:B211)</f>
        <v>96</v>
      </c>
      <c r="B211" s="37" t="s">
        <v>183</v>
      </c>
      <c r="C211" s="36" t="s">
        <v>182</v>
      </c>
      <c r="D211" s="35" t="s">
        <v>113</v>
      </c>
      <c r="E211" s="35" t="s">
        <v>23</v>
      </c>
      <c r="F211" s="34">
        <v>46304</v>
      </c>
      <c r="H211" s="7">
        <v>800</v>
      </c>
      <c r="I211" s="7"/>
      <c r="J211" s="2" t="s">
        <v>17</v>
      </c>
      <c r="K211" s="2" t="s">
        <v>26</v>
      </c>
      <c r="N211" s="4">
        <v>22640</v>
      </c>
      <c r="O211" s="11">
        <f ca="1">(TODAY()-Tabla1[[#This Row],[Fecha de nacimiento]])/365</f>
        <v>64.860273972602741</v>
      </c>
      <c r="P211" s="5" t="s">
        <v>181</v>
      </c>
      <c r="Q211" s="2" t="s">
        <v>13</v>
      </c>
      <c r="R211" s="16" t="s">
        <v>180</v>
      </c>
      <c r="S211" s="2" t="s">
        <v>36</v>
      </c>
      <c r="T211" s="2" t="s">
        <v>10</v>
      </c>
      <c r="U211" s="2" t="s">
        <v>9</v>
      </c>
      <c r="V211" s="2" t="s">
        <v>179</v>
      </c>
      <c r="W211" s="2" t="s">
        <v>178</v>
      </c>
      <c r="X211" s="2">
        <v>42083</v>
      </c>
      <c r="Y211" s="2">
        <v>5514933923</v>
      </c>
      <c r="Z211" s="4" t="s">
        <v>6</v>
      </c>
      <c r="AA211" s="2" t="s">
        <v>177</v>
      </c>
      <c r="AB211" s="14">
        <v>46287</v>
      </c>
      <c r="AE211" s="6"/>
      <c r="AG211" s="1" t="s">
        <v>176</v>
      </c>
      <c r="AH211" s="2">
        <v>5522710469</v>
      </c>
      <c r="AI211" s="1" t="s">
        <v>21</v>
      </c>
    </row>
    <row r="212" spans="1:35" x14ac:dyDescent="0.2">
      <c r="A212" s="13">
        <f>SUBTOTAL(3,B$8:B212)</f>
        <v>97</v>
      </c>
      <c r="B212" s="33" t="s">
        <v>175</v>
      </c>
      <c r="C212" s="32" t="s">
        <v>174</v>
      </c>
      <c r="D212" s="5" t="s">
        <v>18</v>
      </c>
      <c r="E212" s="5" t="s">
        <v>23</v>
      </c>
      <c r="H212" s="7">
        <v>750</v>
      </c>
      <c r="I212" s="7"/>
      <c r="J212" s="2" t="s">
        <v>17</v>
      </c>
      <c r="K212" s="2" t="s">
        <v>16</v>
      </c>
      <c r="N212" s="4"/>
      <c r="O212" s="11">
        <f ca="1">(TODAY()-Tabla1[[#This Row],[Fecha de nacimiento]])/365</f>
        <v>126.88767123287671</v>
      </c>
      <c r="U212" s="2"/>
      <c r="Z212" s="4" t="s">
        <v>6</v>
      </c>
      <c r="AA212" s="2"/>
      <c r="AB212" s="14">
        <v>46308</v>
      </c>
      <c r="AE212" s="6"/>
      <c r="AH212" s="2"/>
      <c r="AI212" s="1" t="s">
        <v>21</v>
      </c>
    </row>
    <row r="213" spans="1:35" x14ac:dyDescent="0.2">
      <c r="A213" s="13">
        <f>SUBTOTAL(3,B$8:B213)</f>
        <v>98</v>
      </c>
      <c r="B213" s="2" t="s">
        <v>173</v>
      </c>
      <c r="C213" s="9" t="s">
        <v>172</v>
      </c>
      <c r="D213" s="5" t="s">
        <v>18</v>
      </c>
      <c r="E213" s="5" t="s">
        <v>171</v>
      </c>
      <c r="G213" s="5"/>
      <c r="H213" s="7">
        <v>800</v>
      </c>
      <c r="I213" s="7">
        <v>800</v>
      </c>
      <c r="J213" s="2" t="s">
        <v>17</v>
      </c>
      <c r="K213" s="2" t="s">
        <v>22</v>
      </c>
      <c r="L213" s="2" t="s">
        <v>15</v>
      </c>
      <c r="M213" s="4" t="s">
        <v>170</v>
      </c>
      <c r="N213" s="4">
        <v>43648</v>
      </c>
      <c r="O213" s="11">
        <f ca="1">(TODAY()-Tabla1[[#This Row],[Fecha de nacimiento]])/365</f>
        <v>7.3041095890410963</v>
      </c>
      <c r="P213" s="5" t="s">
        <v>59</v>
      </c>
      <c r="Q213" s="5" t="s">
        <v>13</v>
      </c>
      <c r="R213" s="16" t="s">
        <v>165</v>
      </c>
      <c r="S213" s="2" t="s">
        <v>11</v>
      </c>
      <c r="T213" s="2" t="s">
        <v>10</v>
      </c>
      <c r="U213" s="2" t="s">
        <v>9</v>
      </c>
      <c r="V213" s="2" t="s">
        <v>169</v>
      </c>
      <c r="W213" s="2" t="s">
        <v>168</v>
      </c>
      <c r="X213" s="2">
        <v>42185</v>
      </c>
      <c r="Y213" s="2" t="s">
        <v>127</v>
      </c>
      <c r="Z213" s="2" t="s">
        <v>6</v>
      </c>
      <c r="AA213" s="4" t="s">
        <v>167</v>
      </c>
      <c r="AB213" s="14">
        <v>46137</v>
      </c>
      <c r="AC213" s="2" t="s">
        <v>166</v>
      </c>
      <c r="AD213" s="2" t="s">
        <v>3</v>
      </c>
      <c r="AE213" s="2">
        <v>7712903023</v>
      </c>
      <c r="AF213" s="10" t="s">
        <v>165</v>
      </c>
      <c r="AG213" s="2" t="s">
        <v>164</v>
      </c>
      <c r="AH213" s="2">
        <v>7714251317</v>
      </c>
      <c r="AI213" s="1" t="s">
        <v>21</v>
      </c>
    </row>
    <row r="214" spans="1:35" hidden="1" x14ac:dyDescent="0.2">
      <c r="A214" s="13">
        <f>SUBTOTAL(3,B$8:B214)</f>
        <v>98</v>
      </c>
      <c r="B214" s="2" t="s">
        <v>163</v>
      </c>
      <c r="C214" s="15" t="s">
        <v>162</v>
      </c>
      <c r="D214" s="5" t="s">
        <v>113</v>
      </c>
      <c r="E214" s="5" t="s">
        <v>23</v>
      </c>
      <c r="F214" s="8">
        <v>46301</v>
      </c>
      <c r="H214" s="7">
        <v>750</v>
      </c>
      <c r="I214" s="7"/>
      <c r="J214" s="2" t="s">
        <v>17</v>
      </c>
      <c r="K214" s="2" t="s">
        <v>26</v>
      </c>
      <c r="N214" s="4"/>
      <c r="O214" s="11">
        <f ca="1">(TODAY()-Tabla1[[#This Row],[Fecha de nacimiento]])/365</f>
        <v>126.88767123287671</v>
      </c>
      <c r="U214" s="2"/>
      <c r="AA214" s="2"/>
      <c r="AB214" s="14">
        <v>46289</v>
      </c>
      <c r="AE214" s="6"/>
      <c r="AH214" s="2"/>
      <c r="AI214" s="1" t="s">
        <v>21</v>
      </c>
    </row>
    <row r="215" spans="1:35" x14ac:dyDescent="0.2">
      <c r="A215" s="13">
        <f>SUBTOTAL(3,B$8:B215)</f>
        <v>99</v>
      </c>
      <c r="B215" s="2" t="s">
        <v>161</v>
      </c>
      <c r="C215" s="9" t="s">
        <v>160</v>
      </c>
      <c r="D215" s="5" t="s">
        <v>18</v>
      </c>
      <c r="E215" s="5" t="s">
        <v>23</v>
      </c>
      <c r="H215" s="7">
        <v>750</v>
      </c>
      <c r="I215" s="7"/>
      <c r="J215" s="2" t="s">
        <v>17</v>
      </c>
      <c r="K215" s="2" t="s">
        <v>159</v>
      </c>
      <c r="N215" s="4"/>
      <c r="O215" s="11">
        <f ca="1">(TODAY()-Tabla1[[#This Row],[Fecha de nacimiento]])/365</f>
        <v>126.88767123287671</v>
      </c>
      <c r="U215" s="2"/>
      <c r="Z215" s="4" t="s">
        <v>6</v>
      </c>
      <c r="AA215" s="2"/>
      <c r="AB215" s="14">
        <v>46286</v>
      </c>
      <c r="AE215" s="6"/>
      <c r="AH215" s="2"/>
      <c r="AI215" s="1" t="s">
        <v>21</v>
      </c>
    </row>
    <row r="216" spans="1:35" x14ac:dyDescent="0.2">
      <c r="A216" s="13">
        <f>SUBTOTAL(3,B$8:B216)</f>
        <v>100</v>
      </c>
      <c r="B216" s="2" t="s">
        <v>158</v>
      </c>
      <c r="C216" s="9" t="s">
        <v>157</v>
      </c>
      <c r="D216" s="5" t="s">
        <v>18</v>
      </c>
      <c r="E216" s="5" t="s">
        <v>23</v>
      </c>
      <c r="G216" s="5"/>
      <c r="H216" s="7">
        <v>750</v>
      </c>
      <c r="I216" s="7">
        <v>750</v>
      </c>
      <c r="J216" s="2" t="s">
        <v>17</v>
      </c>
      <c r="K216" s="2" t="s">
        <v>22</v>
      </c>
      <c r="L216" s="2" t="s">
        <v>15</v>
      </c>
      <c r="M216" s="2" t="s">
        <v>156</v>
      </c>
      <c r="N216" s="4">
        <v>41602</v>
      </c>
      <c r="O216" s="11">
        <f ca="1">(TODAY()-Tabla1[[#This Row],[Fecha de nacimiento]])/365</f>
        <v>12.90958904109589</v>
      </c>
      <c r="P216" s="5" t="s">
        <v>91</v>
      </c>
      <c r="Q216" s="5" t="s">
        <v>13</v>
      </c>
      <c r="R216" s="10" t="s">
        <v>151</v>
      </c>
      <c r="S216" s="5" t="s">
        <v>36</v>
      </c>
      <c r="T216" s="5" t="s">
        <v>10</v>
      </c>
      <c r="U216" s="5" t="s">
        <v>9</v>
      </c>
      <c r="V216" s="5" t="s">
        <v>155</v>
      </c>
      <c r="W216" s="3" t="s">
        <v>154</v>
      </c>
      <c r="X216" s="6">
        <v>42185</v>
      </c>
      <c r="Y216" s="6">
        <v>5529022955</v>
      </c>
      <c r="Z216" s="5" t="s">
        <v>6</v>
      </c>
      <c r="AA216" s="5" t="s">
        <v>153</v>
      </c>
      <c r="AB216" s="4">
        <v>46042</v>
      </c>
      <c r="AC216" s="3" t="s">
        <v>152</v>
      </c>
      <c r="AD216" s="5" t="s">
        <v>118</v>
      </c>
      <c r="AE216" s="6">
        <v>5529022955</v>
      </c>
      <c r="AF216" s="10" t="s">
        <v>151</v>
      </c>
      <c r="AG216" s="3" t="s">
        <v>150</v>
      </c>
      <c r="AH216" s="6">
        <v>5525030766</v>
      </c>
      <c r="AI216" s="1" t="s">
        <v>132</v>
      </c>
    </row>
    <row r="217" spans="1:35" x14ac:dyDescent="0.2">
      <c r="A217" s="13">
        <f>SUBTOTAL(3,B$8:B217)</f>
        <v>101</v>
      </c>
      <c r="B217" s="2" t="s">
        <v>149</v>
      </c>
      <c r="C217" s="9" t="s">
        <v>148</v>
      </c>
      <c r="D217" s="5" t="s">
        <v>18</v>
      </c>
      <c r="E217" s="5" t="s">
        <v>23</v>
      </c>
      <c r="G217" s="5"/>
      <c r="H217" s="7"/>
      <c r="I217" s="7">
        <v>750</v>
      </c>
      <c r="J217" s="2" t="s">
        <v>17</v>
      </c>
      <c r="K217" s="2" t="s">
        <v>22</v>
      </c>
      <c r="L217" s="2" t="s">
        <v>39</v>
      </c>
      <c r="M217" s="4" t="s">
        <v>147</v>
      </c>
      <c r="N217" s="4">
        <v>41909</v>
      </c>
      <c r="O217" s="11">
        <f ca="1">(TODAY()-Tabla1[[#This Row],[Fecha de nacimiento]])/365</f>
        <v>12.068493150684931</v>
      </c>
      <c r="P217" s="5" t="s">
        <v>146</v>
      </c>
      <c r="Q217" s="5" t="s">
        <v>13</v>
      </c>
      <c r="R217" s="16" t="s">
        <v>141</v>
      </c>
      <c r="S217" s="2" t="s">
        <v>36</v>
      </c>
      <c r="T217" s="2" t="s">
        <v>10</v>
      </c>
      <c r="U217" s="2" t="s">
        <v>9</v>
      </c>
      <c r="V217" s="2" t="s">
        <v>145</v>
      </c>
      <c r="W217" s="2" t="s">
        <v>144</v>
      </c>
      <c r="X217" s="2">
        <v>42083</v>
      </c>
      <c r="Y217" s="2" t="s">
        <v>127</v>
      </c>
      <c r="Z217" s="2" t="s">
        <v>6</v>
      </c>
      <c r="AA217" s="4" t="s">
        <v>143</v>
      </c>
      <c r="AB217" s="14">
        <v>46144</v>
      </c>
      <c r="AC217" s="2" t="s">
        <v>142</v>
      </c>
      <c r="AD217" s="2" t="s">
        <v>3</v>
      </c>
      <c r="AE217" s="2">
        <v>9371269511</v>
      </c>
      <c r="AF217" s="10" t="s">
        <v>141</v>
      </c>
      <c r="AG217" s="2" t="s">
        <v>140</v>
      </c>
      <c r="AH217" s="2">
        <v>9621702392</v>
      </c>
      <c r="AI217" s="1" t="s">
        <v>84</v>
      </c>
    </row>
    <row r="218" spans="1:35" x14ac:dyDescent="0.2">
      <c r="A218" s="13">
        <f>SUBTOTAL(3,B$8:B218)</f>
        <v>102</v>
      </c>
      <c r="B218" s="2" t="s">
        <v>139</v>
      </c>
      <c r="C218" s="9" t="s">
        <v>138</v>
      </c>
      <c r="D218" s="2" t="s">
        <v>18</v>
      </c>
      <c r="F218" s="12"/>
      <c r="G218" s="2"/>
      <c r="H218" s="7">
        <v>700</v>
      </c>
      <c r="I218" s="7">
        <v>800</v>
      </c>
      <c r="J218" s="2" t="s">
        <v>17</v>
      </c>
      <c r="K218" s="2" t="s">
        <v>16</v>
      </c>
      <c r="L218" s="2" t="s">
        <v>51</v>
      </c>
      <c r="M218" s="2" t="s">
        <v>14</v>
      </c>
      <c r="N218" s="4">
        <v>41434</v>
      </c>
      <c r="O218" s="11">
        <f ca="1">(TODAY()-Tabla1[[#This Row],[Fecha de nacimiento]])/365</f>
        <v>13.36986301369863</v>
      </c>
      <c r="P218" s="5" t="s">
        <v>10</v>
      </c>
      <c r="Q218" s="5" t="s">
        <v>13</v>
      </c>
      <c r="R218" s="26" t="s">
        <v>134</v>
      </c>
      <c r="S218" s="5" t="s">
        <v>36</v>
      </c>
      <c r="T218" s="5" t="s">
        <v>10</v>
      </c>
      <c r="U218" s="5" t="s">
        <v>9</v>
      </c>
      <c r="V218" s="5" t="s">
        <v>137</v>
      </c>
      <c r="W218" s="3" t="s">
        <v>136</v>
      </c>
      <c r="X218" s="6">
        <v>42083</v>
      </c>
      <c r="Y218" s="6">
        <v>77117221555</v>
      </c>
      <c r="Z218" s="5" t="s">
        <v>6</v>
      </c>
      <c r="AA218" s="5" t="s">
        <v>5</v>
      </c>
      <c r="AB218" s="4">
        <v>45878</v>
      </c>
      <c r="AC218" s="3" t="s">
        <v>135</v>
      </c>
      <c r="AD218" s="5" t="s">
        <v>3</v>
      </c>
      <c r="AE218" s="6">
        <v>7711721555</v>
      </c>
      <c r="AF218" s="26" t="s">
        <v>134</v>
      </c>
      <c r="AG218" s="3" t="s">
        <v>133</v>
      </c>
      <c r="AH218" s="6">
        <v>7712427243</v>
      </c>
      <c r="AI218" s="1" t="s">
        <v>132</v>
      </c>
    </row>
    <row r="219" spans="1:35" x14ac:dyDescent="0.2">
      <c r="A219" s="13">
        <f>SUBTOTAL(3,B$8:B219)</f>
        <v>103</v>
      </c>
      <c r="B219" s="2" t="s">
        <v>131</v>
      </c>
      <c r="C219" s="9" t="s">
        <v>130</v>
      </c>
      <c r="D219" s="5" t="s">
        <v>18</v>
      </c>
      <c r="E219" s="5" t="s">
        <v>23</v>
      </c>
      <c r="G219" s="5"/>
      <c r="H219" s="7">
        <v>750</v>
      </c>
      <c r="I219" s="7">
        <v>750</v>
      </c>
      <c r="J219" s="2" t="s">
        <v>17</v>
      </c>
      <c r="K219" s="2" t="s">
        <v>22</v>
      </c>
      <c r="L219" s="2" t="s">
        <v>15</v>
      </c>
      <c r="M219" s="2" t="s">
        <v>92</v>
      </c>
      <c r="N219" s="4">
        <v>43175</v>
      </c>
      <c r="O219" s="11">
        <f ca="1">(TODAY()-Tabla1[[#This Row],[Fecha de nacimiento]])/365</f>
        <v>8.6</v>
      </c>
      <c r="P219" s="5" t="s">
        <v>10</v>
      </c>
      <c r="Q219" s="5" t="s">
        <v>13</v>
      </c>
      <c r="R219" s="10" t="s">
        <v>124</v>
      </c>
      <c r="S219" s="2" t="s">
        <v>36</v>
      </c>
      <c r="T219" s="2" t="s">
        <v>10</v>
      </c>
      <c r="U219" s="2" t="s">
        <v>9</v>
      </c>
      <c r="V219" s="2" t="s">
        <v>129</v>
      </c>
      <c r="W219" s="1" t="s">
        <v>128</v>
      </c>
      <c r="X219" s="2">
        <v>42083</v>
      </c>
      <c r="Y219" s="2" t="s">
        <v>127</v>
      </c>
      <c r="Z219" s="2" t="s">
        <v>6</v>
      </c>
      <c r="AA219" s="2" t="s">
        <v>126</v>
      </c>
      <c r="AB219" s="4">
        <v>46048</v>
      </c>
      <c r="AC219" s="1" t="s">
        <v>125</v>
      </c>
      <c r="AD219" s="2" t="s">
        <v>118</v>
      </c>
      <c r="AE219" s="2">
        <v>7715666466</v>
      </c>
      <c r="AF219" s="16" t="s">
        <v>124</v>
      </c>
      <c r="AG219" s="3" t="s">
        <v>123</v>
      </c>
      <c r="AH219" s="2">
        <v>771221059</v>
      </c>
      <c r="AI219" s="1" t="s">
        <v>0</v>
      </c>
    </row>
    <row r="220" spans="1:35" x14ac:dyDescent="0.2">
      <c r="A220" s="13">
        <f>SUBTOTAL(3,B$8:B220)</f>
        <v>104</v>
      </c>
      <c r="B220" s="28" t="s">
        <v>122</v>
      </c>
      <c r="C220" s="27" t="s">
        <v>121</v>
      </c>
      <c r="D220" s="5" t="s">
        <v>18</v>
      </c>
      <c r="E220" s="5" t="s">
        <v>23</v>
      </c>
      <c r="H220" s="7">
        <v>800</v>
      </c>
      <c r="I220" s="7"/>
      <c r="J220" s="2" t="s">
        <v>17</v>
      </c>
      <c r="K220" s="2" t="s">
        <v>22</v>
      </c>
      <c r="N220" s="4">
        <v>42247</v>
      </c>
      <c r="O220" s="11">
        <f ca="1">(TODAY()-Tabla1[[#This Row],[Fecha de nacimiento]])/365</f>
        <v>11.142465753424657</v>
      </c>
      <c r="P220" s="5" t="s">
        <v>59</v>
      </c>
      <c r="Q220" s="2" t="s">
        <v>13</v>
      </c>
      <c r="S220" s="2" t="s">
        <v>36</v>
      </c>
      <c r="T220" s="2" t="s">
        <v>10</v>
      </c>
      <c r="U220" s="2" t="s">
        <v>9</v>
      </c>
      <c r="W220" t="s">
        <v>120</v>
      </c>
      <c r="X220" s="2">
        <v>42115</v>
      </c>
      <c r="Y220" s="2">
        <v>7717478485</v>
      </c>
      <c r="Z220" s="4" t="s">
        <v>6</v>
      </c>
      <c r="AA220" s="2" t="s">
        <v>56</v>
      </c>
      <c r="AB220" s="14">
        <v>46241</v>
      </c>
      <c r="AC220" s="1" t="s">
        <v>119</v>
      </c>
      <c r="AD220" s="2" t="s">
        <v>118</v>
      </c>
      <c r="AE220" s="6">
        <v>7717478485</v>
      </c>
      <c r="AF220" s="38" t="s">
        <v>58</v>
      </c>
      <c r="AG220" s="1" t="s">
        <v>55</v>
      </c>
      <c r="AH220" s="2">
        <v>7717090799</v>
      </c>
      <c r="AI220" s="1" t="s">
        <v>54</v>
      </c>
    </row>
    <row r="221" spans="1:35" hidden="1" x14ac:dyDescent="0.2">
      <c r="A221" s="13">
        <f>SUBTOTAL(3,B$8:B221)</f>
        <v>104</v>
      </c>
      <c r="B221" s="37" t="s">
        <v>117</v>
      </c>
      <c r="C221" s="36" t="s">
        <v>116</v>
      </c>
      <c r="D221" s="35" t="s">
        <v>113</v>
      </c>
      <c r="E221" s="35" t="s">
        <v>23</v>
      </c>
      <c r="F221" s="34">
        <v>46308</v>
      </c>
      <c r="H221" s="7">
        <v>800</v>
      </c>
      <c r="I221" s="7"/>
      <c r="J221" s="2" t="s">
        <v>17</v>
      </c>
      <c r="K221" s="2" t="s">
        <v>26</v>
      </c>
      <c r="N221" s="4"/>
      <c r="O221" s="11">
        <f ca="1">(TODAY()-Tabla1[[#This Row],[Fecha de nacimiento]])/365</f>
        <v>126.88767123287671</v>
      </c>
      <c r="U221" s="2"/>
      <c r="Z221" s="4" t="s">
        <v>6</v>
      </c>
      <c r="AA221" s="2"/>
      <c r="AB221" s="14">
        <v>46296</v>
      </c>
      <c r="AE221" s="6"/>
      <c r="AH221" s="2"/>
      <c r="AI221" s="1" t="s">
        <v>21</v>
      </c>
    </row>
    <row r="222" spans="1:35" hidden="1" x14ac:dyDescent="0.2">
      <c r="A222" s="13">
        <f>SUBTOTAL(3,B$8:B222)</f>
        <v>104</v>
      </c>
      <c r="B222" s="28" t="s">
        <v>115</v>
      </c>
      <c r="C222" s="27" t="s">
        <v>114</v>
      </c>
      <c r="D222" s="5" t="s">
        <v>113</v>
      </c>
      <c r="E222" s="5" t="s">
        <v>23</v>
      </c>
      <c r="H222" s="7">
        <v>800</v>
      </c>
      <c r="I222" s="7"/>
      <c r="J222" s="2" t="s">
        <v>17</v>
      </c>
      <c r="K222" s="2" t="s">
        <v>26</v>
      </c>
      <c r="N222" s="4"/>
      <c r="O222" s="11">
        <f ca="1">(TODAY()-Tabla1[[#This Row],[Fecha de nacimiento]])/365</f>
        <v>126.88767123287671</v>
      </c>
      <c r="U222" s="2"/>
      <c r="Z222" s="4" t="s">
        <v>6</v>
      </c>
      <c r="AA222" s="2"/>
      <c r="AB222" s="14">
        <v>46297</v>
      </c>
      <c r="AE222" s="6"/>
      <c r="AH222" s="2"/>
      <c r="AI222" s="1" t="s">
        <v>21</v>
      </c>
    </row>
    <row r="223" spans="1:35" x14ac:dyDescent="0.2">
      <c r="A223" s="13">
        <f>SUBTOTAL(3,B$8:B223)</f>
        <v>105</v>
      </c>
      <c r="B223" s="2" t="s">
        <v>112</v>
      </c>
      <c r="C223" s="9" t="s">
        <v>111</v>
      </c>
      <c r="D223" s="5" t="s">
        <v>18</v>
      </c>
      <c r="E223" s="5" t="s">
        <v>23</v>
      </c>
      <c r="H223" s="7">
        <v>400</v>
      </c>
      <c r="I223" s="7"/>
      <c r="J223" s="2" t="s">
        <v>17</v>
      </c>
      <c r="K223" s="2" t="s">
        <v>16</v>
      </c>
      <c r="N223" s="4"/>
      <c r="O223" s="11">
        <f ca="1">(TODAY()-Tabla1[[#This Row],[Fecha de nacimiento]])/365</f>
        <v>126.88767123287671</v>
      </c>
      <c r="U223" s="2"/>
      <c r="Z223" s="4" t="s">
        <v>6</v>
      </c>
      <c r="AA223" s="2"/>
      <c r="AB223" s="14">
        <v>46266</v>
      </c>
      <c r="AE223" s="6"/>
      <c r="AH223" s="2"/>
      <c r="AI223" s="1" t="s">
        <v>54</v>
      </c>
    </row>
    <row r="224" spans="1:35" x14ac:dyDescent="0.2">
      <c r="A224" s="13">
        <f>SUBTOTAL(3,B$8:B224)</f>
        <v>106</v>
      </c>
      <c r="B224" s="2" t="s">
        <v>110</v>
      </c>
      <c r="C224" s="9" t="s">
        <v>109</v>
      </c>
      <c r="D224" s="5" t="s">
        <v>18</v>
      </c>
      <c r="E224" s="5" t="s">
        <v>23</v>
      </c>
      <c r="H224" s="7">
        <v>400</v>
      </c>
      <c r="I224" s="7"/>
      <c r="J224" s="2" t="s">
        <v>17</v>
      </c>
      <c r="K224" s="2" t="s">
        <v>22</v>
      </c>
      <c r="N224" s="4"/>
      <c r="O224" s="11">
        <f ca="1">(TODAY()-Tabla1[[#This Row],[Fecha de nacimiento]])/365</f>
        <v>126.88767123287671</v>
      </c>
      <c r="U224" s="2"/>
      <c r="Z224" s="4" t="s">
        <v>6</v>
      </c>
      <c r="AA224" s="2"/>
      <c r="AB224" s="14">
        <v>46277</v>
      </c>
      <c r="AE224" s="6"/>
      <c r="AH224" s="2"/>
      <c r="AI224" s="1" t="s">
        <v>21</v>
      </c>
    </row>
    <row r="225" spans="1:35" x14ac:dyDescent="0.2">
      <c r="A225" s="13">
        <f>SUBTOTAL(3,B$8:B225)</f>
        <v>107</v>
      </c>
      <c r="B225" s="33" t="s">
        <v>108</v>
      </c>
      <c r="C225" s="32" t="s">
        <v>106</v>
      </c>
      <c r="D225" s="5" t="s">
        <v>18</v>
      </c>
      <c r="E225" s="5" t="s">
        <v>23</v>
      </c>
      <c r="H225" s="7">
        <v>800</v>
      </c>
      <c r="I225" s="7"/>
      <c r="J225" s="2" t="s">
        <v>17</v>
      </c>
      <c r="K225" s="2" t="s">
        <v>16</v>
      </c>
      <c r="N225" s="4"/>
      <c r="O225" s="11">
        <f ca="1">(TODAY()-Tabla1[[#This Row],[Fecha de nacimiento]])/365</f>
        <v>126.88767123287671</v>
      </c>
      <c r="U225" s="2"/>
      <c r="Z225" s="4" t="s">
        <v>6</v>
      </c>
      <c r="AA225" s="2"/>
      <c r="AB225" s="14">
        <v>46309</v>
      </c>
      <c r="AE225" s="6"/>
      <c r="AH225" s="2"/>
      <c r="AI225" s="1" t="s">
        <v>21</v>
      </c>
    </row>
    <row r="226" spans="1:35" x14ac:dyDescent="0.2">
      <c r="A226" s="13">
        <f>SUBTOTAL(3,B$8:B226)</f>
        <v>108</v>
      </c>
      <c r="B226" s="33" t="s">
        <v>107</v>
      </c>
      <c r="C226" s="32" t="s">
        <v>106</v>
      </c>
      <c r="D226" s="5" t="s">
        <v>18</v>
      </c>
      <c r="E226" s="5" t="s">
        <v>23</v>
      </c>
      <c r="H226" s="7">
        <v>200</v>
      </c>
      <c r="I226" s="7"/>
      <c r="J226" s="2" t="s">
        <v>105</v>
      </c>
      <c r="K226" s="2" t="s">
        <v>16</v>
      </c>
      <c r="N226" s="4"/>
      <c r="O226" s="11">
        <f ca="1">(TODAY()-Tabla1[[#This Row],[Fecha de nacimiento]])/365</f>
        <v>126.88767123287671</v>
      </c>
      <c r="U226" s="2"/>
      <c r="Z226" s="4" t="s">
        <v>6</v>
      </c>
      <c r="AA226" s="2"/>
      <c r="AB226" s="14">
        <v>46309</v>
      </c>
      <c r="AE226" s="6"/>
      <c r="AH226" s="2"/>
      <c r="AI226" s="1" t="s">
        <v>21</v>
      </c>
    </row>
    <row r="227" spans="1:35" x14ac:dyDescent="0.2">
      <c r="A227" s="13">
        <f>SUBTOTAL(3,B$8:B227)</f>
        <v>109</v>
      </c>
      <c r="B227" s="24" t="s">
        <v>104</v>
      </c>
      <c r="C227" s="23" t="s">
        <v>103</v>
      </c>
      <c r="D227" s="5" t="s">
        <v>18</v>
      </c>
      <c r="E227" s="5" t="s">
        <v>23</v>
      </c>
      <c r="H227" s="7">
        <v>800</v>
      </c>
      <c r="I227" s="7"/>
      <c r="J227" s="2" t="s">
        <v>17</v>
      </c>
      <c r="K227" s="2" t="s">
        <v>16</v>
      </c>
      <c r="L227" s="4" t="s">
        <v>39</v>
      </c>
      <c r="M227" s="6" t="s">
        <v>102</v>
      </c>
      <c r="N227" s="4">
        <v>40001</v>
      </c>
      <c r="O227" s="11">
        <f ca="1">(TODAY()-Tabla1[[#This Row],[Fecha de nacimiento]])/365</f>
        <v>17.295890410958904</v>
      </c>
      <c r="P227" s="5" t="s">
        <v>59</v>
      </c>
      <c r="Q227" s="2" t="s">
        <v>13</v>
      </c>
      <c r="R227" s="16" t="s">
        <v>101</v>
      </c>
      <c r="S227" s="2" t="s">
        <v>36</v>
      </c>
      <c r="T227" s="2" t="s">
        <v>10</v>
      </c>
      <c r="U227" s="2" t="s">
        <v>9</v>
      </c>
      <c r="V227" s="2" t="s">
        <v>100</v>
      </c>
      <c r="W227" s="2" t="s">
        <v>99</v>
      </c>
      <c r="X227" s="2">
        <v>42082</v>
      </c>
      <c r="Y227" s="2">
        <v>7711522279</v>
      </c>
      <c r="Z227" s="4" t="s">
        <v>6</v>
      </c>
      <c r="AA227" s="2" t="s">
        <v>98</v>
      </c>
      <c r="AB227" s="14">
        <v>46172</v>
      </c>
      <c r="AC227" s="2" t="s">
        <v>97</v>
      </c>
      <c r="AD227" s="2" t="s">
        <v>3</v>
      </c>
      <c r="AE227" s="6">
        <v>7713951515</v>
      </c>
      <c r="AF227" s="16" t="s">
        <v>96</v>
      </c>
      <c r="AG227" s="1" t="s">
        <v>95</v>
      </c>
      <c r="AH227" s="2">
        <v>712195578</v>
      </c>
      <c r="AI227" s="1" t="s">
        <v>21</v>
      </c>
    </row>
    <row r="228" spans="1:35" x14ac:dyDescent="0.2">
      <c r="A228" s="13">
        <f>SUBTOTAL(3,B$8:B228)</f>
        <v>110</v>
      </c>
      <c r="B228" s="2" t="s">
        <v>94</v>
      </c>
      <c r="C228" s="9" t="s">
        <v>93</v>
      </c>
      <c r="D228" s="2" t="s">
        <v>18</v>
      </c>
      <c r="F228" s="12"/>
      <c r="G228" s="2"/>
      <c r="H228" s="7">
        <v>700</v>
      </c>
      <c r="I228" s="7">
        <v>800</v>
      </c>
      <c r="J228" s="2" t="s">
        <v>17</v>
      </c>
      <c r="K228" s="2" t="s">
        <v>22</v>
      </c>
      <c r="L228" s="2" t="s">
        <v>51</v>
      </c>
      <c r="M228" s="2" t="s">
        <v>92</v>
      </c>
      <c r="N228" s="4">
        <v>43402</v>
      </c>
      <c r="O228" s="11">
        <f ca="1">(TODAY()-Tabla1[[#This Row],[Fecha de nacimiento]])/365</f>
        <v>7.978082191780822</v>
      </c>
      <c r="P228" s="5" t="s">
        <v>91</v>
      </c>
      <c r="Q228" s="5" t="s">
        <v>13</v>
      </c>
      <c r="R228" s="5" t="s">
        <v>86</v>
      </c>
      <c r="S228" s="5" t="s">
        <v>36</v>
      </c>
      <c r="T228" s="5" t="s">
        <v>10</v>
      </c>
      <c r="U228" s="5" t="s">
        <v>9</v>
      </c>
      <c r="V228" s="5" t="s">
        <v>90</v>
      </c>
      <c r="W228" s="3" t="s">
        <v>89</v>
      </c>
      <c r="X228" s="6">
        <v>42083</v>
      </c>
      <c r="Y228" s="6">
        <v>5512578767</v>
      </c>
      <c r="Z228" s="5" t="s">
        <v>6</v>
      </c>
      <c r="AA228" s="5" t="s">
        <v>88</v>
      </c>
      <c r="AB228" s="4">
        <v>45807</v>
      </c>
      <c r="AC228" s="3" t="s">
        <v>87</v>
      </c>
      <c r="AD228" s="5" t="s">
        <v>3</v>
      </c>
      <c r="AE228" s="6">
        <v>5512578767</v>
      </c>
      <c r="AF228" s="5" t="s">
        <v>86</v>
      </c>
      <c r="AG228" s="3" t="s">
        <v>85</v>
      </c>
      <c r="AH228" s="6">
        <v>5526998603</v>
      </c>
      <c r="AI228" s="1" t="s">
        <v>84</v>
      </c>
    </row>
    <row r="229" spans="1:35" x14ac:dyDescent="0.2">
      <c r="A229" s="13">
        <f>SUBTOTAL(3,B$8:B229)</f>
        <v>111</v>
      </c>
      <c r="B229" s="30" t="s">
        <v>83</v>
      </c>
      <c r="C229" s="29" t="s">
        <v>82</v>
      </c>
      <c r="D229" s="5" t="s">
        <v>18</v>
      </c>
      <c r="E229" s="5" t="s">
        <v>23</v>
      </c>
      <c r="H229" s="7">
        <v>800</v>
      </c>
      <c r="I229" s="7"/>
      <c r="J229" s="2" t="s">
        <v>17</v>
      </c>
      <c r="K229" s="2" t="s">
        <v>22</v>
      </c>
      <c r="L229" s="4" t="s">
        <v>15</v>
      </c>
      <c r="M229" s="6" t="s">
        <v>14</v>
      </c>
      <c r="N229" s="4">
        <v>42323</v>
      </c>
      <c r="O229" s="11">
        <f ca="1">(TODAY()-Tabla1[[#This Row],[Fecha de nacimiento]])/365</f>
        <v>10.934246575342465</v>
      </c>
      <c r="P229" s="5" t="s">
        <v>81</v>
      </c>
      <c r="Q229" s="2" t="s">
        <v>13</v>
      </c>
      <c r="R229" s="31" t="s">
        <v>76</v>
      </c>
      <c r="S229" s="2" t="s">
        <v>11</v>
      </c>
      <c r="T229" s="2" t="s">
        <v>10</v>
      </c>
      <c r="U229" s="2" t="s">
        <v>9</v>
      </c>
      <c r="V229" s="31" t="s">
        <v>80</v>
      </c>
      <c r="W229" s="2" t="s">
        <v>79</v>
      </c>
      <c r="X229" s="2">
        <v>42119</v>
      </c>
      <c r="Y229" s="2">
        <v>7717762740</v>
      </c>
      <c r="Z229" s="4" t="s">
        <v>6</v>
      </c>
      <c r="AA229" s="2" t="s">
        <v>78</v>
      </c>
      <c r="AB229" s="14">
        <v>46181</v>
      </c>
      <c r="AC229" s="2" t="s">
        <v>77</v>
      </c>
      <c r="AD229" s="2" t="s">
        <v>3</v>
      </c>
      <c r="AE229" s="6">
        <v>7717762740</v>
      </c>
      <c r="AF229" s="2" t="s">
        <v>76</v>
      </c>
      <c r="AG229" s="1" t="s">
        <v>75</v>
      </c>
      <c r="AH229" s="2">
        <v>5552152841</v>
      </c>
      <c r="AI229" s="1" t="s">
        <v>21</v>
      </c>
    </row>
    <row r="230" spans="1:35" x14ac:dyDescent="0.2">
      <c r="A230" s="13">
        <f>SUBTOTAL(3,B$8:B230)</f>
        <v>112</v>
      </c>
      <c r="B230" s="30" t="s">
        <v>74</v>
      </c>
      <c r="C230" s="29" t="s">
        <v>73</v>
      </c>
      <c r="D230" s="5" t="s">
        <v>18</v>
      </c>
      <c r="E230" s="5" t="s">
        <v>23</v>
      </c>
      <c r="H230" s="7">
        <v>800</v>
      </c>
      <c r="I230" s="7"/>
      <c r="J230" s="2" t="s">
        <v>17</v>
      </c>
      <c r="K230" s="2" t="s">
        <v>26</v>
      </c>
      <c r="L230" s="4" t="s">
        <v>39</v>
      </c>
      <c r="M230" s="6" t="s">
        <v>72</v>
      </c>
      <c r="N230" s="4">
        <v>30556</v>
      </c>
      <c r="O230" s="11">
        <f ca="1">(TODAY()-Tabla1[[#This Row],[Fecha de nacimiento]])/365</f>
        <v>43.172602739726024</v>
      </c>
      <c r="P230" s="5" t="s">
        <v>10</v>
      </c>
      <c r="Q230" s="2" t="s">
        <v>13</v>
      </c>
      <c r="R230" s="16" t="s">
        <v>71</v>
      </c>
      <c r="S230" s="2" t="s">
        <v>36</v>
      </c>
      <c r="T230" s="2" t="s">
        <v>10</v>
      </c>
      <c r="U230" s="2" t="s">
        <v>9</v>
      </c>
      <c r="V230" s="2" t="s">
        <v>70</v>
      </c>
      <c r="W230" s="2" t="s">
        <v>69</v>
      </c>
      <c r="X230" s="2">
        <v>42085</v>
      </c>
      <c r="Y230" s="2">
        <v>5529022955</v>
      </c>
      <c r="Z230" s="4" t="s">
        <v>6</v>
      </c>
      <c r="AA230" s="2" t="s">
        <v>68</v>
      </c>
      <c r="AB230" s="14">
        <v>45813</v>
      </c>
      <c r="AC230" s="2" t="s">
        <v>67</v>
      </c>
      <c r="AD230" s="2" t="s">
        <v>66</v>
      </c>
      <c r="AE230" s="6">
        <v>5525030766</v>
      </c>
      <c r="AG230" s="1" t="s">
        <v>65</v>
      </c>
      <c r="AH230" s="2">
        <v>7713420570</v>
      </c>
      <c r="AI230" s="1" t="s">
        <v>54</v>
      </c>
    </row>
    <row r="231" spans="1:35" x14ac:dyDescent="0.2">
      <c r="A231" s="13">
        <f>SUBTOTAL(3,B$8:B231)</f>
        <v>113</v>
      </c>
      <c r="B231" s="28" t="s">
        <v>64</v>
      </c>
      <c r="C231" s="27" t="s">
        <v>63</v>
      </c>
      <c r="D231" s="5" t="s">
        <v>18</v>
      </c>
      <c r="E231" s="5" t="s">
        <v>23</v>
      </c>
      <c r="H231" s="7">
        <v>800</v>
      </c>
      <c r="I231" s="7"/>
      <c r="J231" s="2" t="s">
        <v>17</v>
      </c>
      <c r="K231" s="2" t="s">
        <v>26</v>
      </c>
      <c r="N231" s="4"/>
      <c r="O231" s="11">
        <f ca="1">(TODAY()-Tabla1[[#This Row],[Fecha de nacimiento]])/365</f>
        <v>126.88767123287671</v>
      </c>
      <c r="U231" s="2"/>
      <c r="Z231" s="4" t="s">
        <v>6</v>
      </c>
      <c r="AA231" s="2"/>
      <c r="AB231" s="14">
        <v>46247</v>
      </c>
      <c r="AE231" s="6"/>
      <c r="AH231" s="2"/>
      <c r="AI231" s="1" t="s">
        <v>54</v>
      </c>
    </row>
    <row r="232" spans="1:35" x14ac:dyDescent="0.2">
      <c r="A232" s="13">
        <f>SUBTOTAL(3,B$8:B232)</f>
        <v>114</v>
      </c>
      <c r="B232" s="28" t="s">
        <v>62</v>
      </c>
      <c r="C232" s="27" t="s">
        <v>61</v>
      </c>
      <c r="D232" s="5" t="s">
        <v>18</v>
      </c>
      <c r="E232" s="5" t="s">
        <v>23</v>
      </c>
      <c r="H232" s="7">
        <v>750</v>
      </c>
      <c r="I232" s="7"/>
      <c r="J232" s="2" t="s">
        <v>17</v>
      </c>
      <c r="K232" s="2" t="s">
        <v>26</v>
      </c>
      <c r="M232" s="6" t="s">
        <v>60</v>
      </c>
      <c r="N232" s="4">
        <v>20444</v>
      </c>
      <c r="O232" s="11">
        <f ca="1">(TODAY()-Tabla1[[#This Row],[Fecha de nacimiento]])/365</f>
        <v>70.876712328767127</v>
      </c>
      <c r="P232" s="5" t="s">
        <v>59</v>
      </c>
      <c r="Q232" s="2" t="s">
        <v>13</v>
      </c>
      <c r="R232" s="2" t="s">
        <v>58</v>
      </c>
      <c r="S232" s="2" t="s">
        <v>36</v>
      </c>
      <c r="T232" s="2" t="s">
        <v>10</v>
      </c>
      <c r="U232" s="2" t="s">
        <v>9</v>
      </c>
      <c r="W232" s="2" t="s">
        <v>57</v>
      </c>
      <c r="X232" s="2">
        <v>42115</v>
      </c>
      <c r="Y232" s="2">
        <v>7717478485</v>
      </c>
      <c r="Z232" s="4" t="s">
        <v>6</v>
      </c>
      <c r="AA232" s="2" t="s">
        <v>56</v>
      </c>
      <c r="AB232" s="14">
        <v>46220</v>
      </c>
      <c r="AE232" s="6"/>
      <c r="AG232" s="1" t="s">
        <v>55</v>
      </c>
      <c r="AH232" s="2">
        <v>7717090799</v>
      </c>
      <c r="AI232" s="1" t="s">
        <v>54</v>
      </c>
    </row>
    <row r="233" spans="1:35" x14ac:dyDescent="0.2">
      <c r="A233" s="13">
        <f>SUBTOTAL(3,B$8:B233)</f>
        <v>115</v>
      </c>
      <c r="B233" s="2" t="s">
        <v>53</v>
      </c>
      <c r="C233" s="9" t="s">
        <v>52</v>
      </c>
      <c r="D233" s="2" t="s">
        <v>18</v>
      </c>
      <c r="F233" s="12"/>
      <c r="G233" s="2"/>
      <c r="H233" s="7">
        <v>350</v>
      </c>
      <c r="I233" s="7">
        <v>400</v>
      </c>
      <c r="J233" s="2" t="s">
        <v>17</v>
      </c>
      <c r="K233" s="2" t="s">
        <v>16</v>
      </c>
      <c r="L233" s="2" t="s">
        <v>51</v>
      </c>
      <c r="M233" s="2" t="s">
        <v>50</v>
      </c>
      <c r="N233" s="4">
        <v>40701</v>
      </c>
      <c r="O233" s="11">
        <f ca="1">(TODAY()-Tabla1[[#This Row],[Fecha de nacimiento]])/365</f>
        <v>15.378082191780821</v>
      </c>
      <c r="P233" s="5" t="s">
        <v>10</v>
      </c>
      <c r="Q233" s="5" t="s">
        <v>13</v>
      </c>
      <c r="R233" s="26" t="s">
        <v>49</v>
      </c>
      <c r="S233" s="2" t="s">
        <v>11</v>
      </c>
      <c r="T233" s="2" t="s">
        <v>10</v>
      </c>
      <c r="U233" s="2" t="s">
        <v>9</v>
      </c>
      <c r="V233" s="2" t="s">
        <v>48</v>
      </c>
      <c r="W233" s="1" t="s">
        <v>47</v>
      </c>
      <c r="X233" s="2">
        <v>42184</v>
      </c>
      <c r="Y233" s="2" t="s">
        <v>46</v>
      </c>
      <c r="Z233" s="2" t="s">
        <v>6</v>
      </c>
      <c r="AA233" s="2" t="s">
        <v>45</v>
      </c>
      <c r="AB233" s="4">
        <v>45952</v>
      </c>
      <c r="AC233" s="1" t="s">
        <v>44</v>
      </c>
      <c r="AD233" s="2" t="s">
        <v>3</v>
      </c>
      <c r="AE233" s="2">
        <v>7711323122</v>
      </c>
      <c r="AF233" s="25" t="s">
        <v>43</v>
      </c>
      <c r="AG233" s="3" t="s">
        <v>42</v>
      </c>
      <c r="AH233" s="2">
        <v>7711872504</v>
      </c>
      <c r="AI233" s="1" t="s">
        <v>0</v>
      </c>
    </row>
    <row r="234" spans="1:35" x14ac:dyDescent="0.2">
      <c r="A234" s="13">
        <f>SUBTOTAL(3,B$8:B234)</f>
        <v>116</v>
      </c>
      <c r="B234" s="24" t="s">
        <v>41</v>
      </c>
      <c r="C234" s="23" t="s">
        <v>40</v>
      </c>
      <c r="D234" s="18" t="s">
        <v>18</v>
      </c>
      <c r="E234" s="18" t="s">
        <v>23</v>
      </c>
      <c r="F234" s="22"/>
      <c r="G234" s="21"/>
      <c r="H234" s="21">
        <v>750</v>
      </c>
      <c r="I234" s="21"/>
      <c r="J234" s="2" t="s">
        <v>17</v>
      </c>
      <c r="K234" s="2" t="s">
        <v>26</v>
      </c>
      <c r="L234" s="19" t="s">
        <v>39</v>
      </c>
      <c r="M234" s="17" t="s">
        <v>38</v>
      </c>
      <c r="N234" s="19">
        <v>38759</v>
      </c>
      <c r="O234" s="20">
        <f ca="1">(TODAY()-Tabla1[[#This Row],[Fecha de nacimiento]])/365</f>
        <v>20.698630136986303</v>
      </c>
      <c r="P234" s="18" t="s">
        <v>10</v>
      </c>
      <c r="Q234" s="2" t="s">
        <v>13</v>
      </c>
      <c r="R234" s="16" t="s">
        <v>37</v>
      </c>
      <c r="S234" s="2" t="s">
        <v>36</v>
      </c>
      <c r="T234" s="2" t="s">
        <v>10</v>
      </c>
      <c r="U234" s="2" t="s">
        <v>9</v>
      </c>
      <c r="W234" s="2" t="s">
        <v>35</v>
      </c>
      <c r="X234" s="2">
        <v>42185</v>
      </c>
      <c r="Y234" s="2">
        <v>7713020670</v>
      </c>
      <c r="Z234" s="19" t="s">
        <v>6</v>
      </c>
      <c r="AA234" s="18" t="s">
        <v>34</v>
      </c>
      <c r="AB234" s="14">
        <v>46165</v>
      </c>
      <c r="AC234" s="2" t="s">
        <v>33</v>
      </c>
      <c r="AD234" s="2" t="s">
        <v>3</v>
      </c>
      <c r="AE234" s="17">
        <v>7712033713</v>
      </c>
      <c r="AF234" s="16" t="s">
        <v>32</v>
      </c>
      <c r="AG234" s="1" t="s">
        <v>31</v>
      </c>
      <c r="AH234" s="2">
        <v>7714360612</v>
      </c>
      <c r="AI234" s="1" t="s">
        <v>21</v>
      </c>
    </row>
    <row r="235" spans="1:35" x14ac:dyDescent="0.2">
      <c r="A235" s="13">
        <f>SUBTOTAL(3,B$8:B235)</f>
        <v>117</v>
      </c>
      <c r="B235" s="2" t="s">
        <v>30</v>
      </c>
      <c r="C235" s="9" t="s">
        <v>29</v>
      </c>
      <c r="D235" s="5" t="s">
        <v>18</v>
      </c>
      <c r="E235" s="5" t="s">
        <v>23</v>
      </c>
      <c r="H235" s="7">
        <v>800</v>
      </c>
      <c r="I235" s="7"/>
      <c r="J235" s="2" t="s">
        <v>17</v>
      </c>
      <c r="K235" s="2" t="s">
        <v>22</v>
      </c>
      <c r="N235" s="4"/>
      <c r="O235" s="11">
        <f ca="1">(TODAY()-Tabla1[[#This Row],[Fecha de nacimiento]])/365</f>
        <v>126.88767123287671</v>
      </c>
      <c r="U235" s="2"/>
      <c r="Z235" s="4" t="s">
        <v>6</v>
      </c>
      <c r="AA235" s="2"/>
      <c r="AB235" s="14">
        <v>46273</v>
      </c>
      <c r="AE235" s="6"/>
      <c r="AH235" s="2"/>
      <c r="AI235" s="1" t="s">
        <v>21</v>
      </c>
    </row>
    <row r="236" spans="1:35" x14ac:dyDescent="0.2">
      <c r="A236" s="13">
        <f>SUBTOTAL(3,B$8:B236)</f>
        <v>118</v>
      </c>
      <c r="B236" s="2" t="s">
        <v>28</v>
      </c>
      <c r="C236" s="15" t="s">
        <v>27</v>
      </c>
      <c r="D236" s="5" t="s">
        <v>18</v>
      </c>
      <c r="E236" s="5" t="s">
        <v>23</v>
      </c>
      <c r="H236" s="7">
        <v>750</v>
      </c>
      <c r="I236" s="7"/>
      <c r="J236" s="2" t="s">
        <v>17</v>
      </c>
      <c r="K236" s="2" t="s">
        <v>26</v>
      </c>
      <c r="N236" s="4"/>
      <c r="O236" s="11">
        <f ca="1">(TODAY()-Tabla1[[#This Row],[Fecha de nacimiento]])/365</f>
        <v>126.88767123287671</v>
      </c>
      <c r="U236" s="2"/>
      <c r="Z236" s="4" t="s">
        <v>6</v>
      </c>
      <c r="AA236" s="2"/>
      <c r="AB236" s="14">
        <v>46289</v>
      </c>
      <c r="AE236" s="6"/>
      <c r="AH236" s="2"/>
      <c r="AI236" s="1" t="s">
        <v>21</v>
      </c>
    </row>
    <row r="237" spans="1:35" x14ac:dyDescent="0.2">
      <c r="A237" s="13">
        <f>SUBTOTAL(3,B$8:B237)</f>
        <v>119</v>
      </c>
      <c r="B237" s="2" t="s">
        <v>25</v>
      </c>
      <c r="C237" s="9" t="s">
        <v>24</v>
      </c>
      <c r="D237" s="5" t="s">
        <v>18</v>
      </c>
      <c r="E237" s="5" t="s">
        <v>23</v>
      </c>
      <c r="H237" s="7">
        <v>750</v>
      </c>
      <c r="I237" s="7"/>
      <c r="J237" s="2" t="s">
        <v>17</v>
      </c>
      <c r="K237" s="2" t="s">
        <v>22</v>
      </c>
      <c r="N237" s="4"/>
      <c r="O237" s="11">
        <f ca="1">(TODAY()-Tabla1[[#This Row],[Fecha de nacimiento]])/365</f>
        <v>126.88767123287671</v>
      </c>
      <c r="U237" s="2"/>
      <c r="Z237" s="4" t="s">
        <v>6</v>
      </c>
      <c r="AA237" s="2"/>
      <c r="AB237" s="14">
        <v>46274</v>
      </c>
      <c r="AE237" s="6"/>
      <c r="AH237" s="2"/>
      <c r="AI237" s="1" t="s">
        <v>21</v>
      </c>
    </row>
    <row r="238" spans="1:35" x14ac:dyDescent="0.2">
      <c r="A238" s="13">
        <f>SUBTOTAL(3,B$8:B238)</f>
        <v>120</v>
      </c>
      <c r="B238" s="2" t="s">
        <v>20</v>
      </c>
      <c r="C238" s="9" t="s">
        <v>19</v>
      </c>
      <c r="D238" s="2" t="s">
        <v>18</v>
      </c>
      <c r="F238" s="12"/>
      <c r="G238" s="2"/>
      <c r="H238" s="7">
        <v>600</v>
      </c>
      <c r="I238" s="7">
        <v>700</v>
      </c>
      <c r="J238" s="2" t="s">
        <v>17</v>
      </c>
      <c r="K238" s="2" t="s">
        <v>16</v>
      </c>
      <c r="L238" s="2" t="s">
        <v>15</v>
      </c>
      <c r="M238" s="2" t="s">
        <v>14</v>
      </c>
      <c r="N238" s="4">
        <v>41454</v>
      </c>
      <c r="O238" s="11">
        <f ca="1">(TODAY()-Tabla1[[#This Row],[Fecha de nacimiento]])/365</f>
        <v>13.315068493150685</v>
      </c>
      <c r="P238" s="5" t="s">
        <v>10</v>
      </c>
      <c r="Q238" s="5" t="s">
        <v>13</v>
      </c>
      <c r="R238" s="10" t="s">
        <v>12</v>
      </c>
      <c r="S238" s="5" t="s">
        <v>11</v>
      </c>
      <c r="T238" s="5" t="s">
        <v>10</v>
      </c>
      <c r="U238" s="5" t="s">
        <v>9</v>
      </c>
      <c r="V238" s="5" t="s">
        <v>8</v>
      </c>
      <c r="W238" s="3" t="s">
        <v>7</v>
      </c>
      <c r="X238" s="6">
        <v>42083</v>
      </c>
      <c r="Y238" s="6">
        <v>771130032</v>
      </c>
      <c r="Z238" s="5" t="s">
        <v>6</v>
      </c>
      <c r="AA238" s="5" t="s">
        <v>5</v>
      </c>
      <c r="AB238" s="4">
        <v>45880</v>
      </c>
      <c r="AC238" s="3" t="s">
        <v>4</v>
      </c>
      <c r="AD238" s="5" t="s">
        <v>3</v>
      </c>
      <c r="AE238" s="6">
        <v>7711130824</v>
      </c>
      <c r="AF238" s="10" t="s">
        <v>2</v>
      </c>
      <c r="AG238" s="3" t="s">
        <v>1</v>
      </c>
      <c r="AH238" s="6">
        <v>7712365570</v>
      </c>
      <c r="AI238" s="1" t="s">
        <v>0</v>
      </c>
    </row>
  </sheetData>
  <hyperlinks>
    <hyperlink ref="R34" r:id="rId1" xr:uid="{5E48A963-8F59-CD4E-919C-B972AD84BFAB}"/>
    <hyperlink ref="R100" r:id="rId2" xr:uid="{B2833FE6-7FB3-2E45-9896-50E4A134822A}"/>
    <hyperlink ref="R37" r:id="rId3" xr:uid="{2EAE9FE7-E009-8F4C-939B-1A212362F17B}"/>
    <hyperlink ref="R41" r:id="rId4" xr:uid="{07C8F68D-5648-D44E-BFD1-84969136FEFB}"/>
    <hyperlink ref="R40" r:id="rId5" xr:uid="{C201B59B-8F4A-204B-9C9F-7A69B0B7083F}"/>
    <hyperlink ref="R62" r:id="rId6" xr:uid="{9BF1CEC1-FEDF-F840-8FB2-52CE909405E4}"/>
    <hyperlink ref="AF62" r:id="rId7" xr:uid="{FB4617A1-BB45-E14A-AA61-1D96D492846F}"/>
    <hyperlink ref="R18" r:id="rId8" xr:uid="{6E43C5ED-2212-5943-BDFC-48668F6B0525}"/>
    <hyperlink ref="AF18" r:id="rId9" xr:uid="{D73BDAB8-439B-B744-93E9-6DB2CB1854D4}"/>
    <hyperlink ref="R45" r:id="rId10" xr:uid="{05FBB6C1-B62B-954F-ACE3-A37DAB18910B}"/>
    <hyperlink ref="AF45" r:id="rId11" xr:uid="{84D447D8-D45F-3546-A268-64D13D9D43B4}"/>
    <hyperlink ref="R119" r:id="rId12" xr:uid="{9AF69533-7D12-7C4E-9593-D6D999829AA6}"/>
    <hyperlink ref="AF119" r:id="rId13" xr:uid="{12C6A99D-0830-A04F-862F-68A1A6CA34E1}"/>
    <hyperlink ref="R46" r:id="rId14" xr:uid="{7987EE2F-D191-C148-B051-C0D7AE286B32}"/>
    <hyperlink ref="AF46" r:id="rId15" xr:uid="{7DF439CB-65C5-4146-B5D1-8326FC32BCF3}"/>
    <hyperlink ref="R196" r:id="rId16" xr:uid="{737119BE-3A6C-BD4D-BDB8-765DB0607A52}"/>
    <hyperlink ref="AF196" r:id="rId17" xr:uid="{032D01E9-7A47-0844-B777-233E1ABEF9AB}"/>
    <hyperlink ref="R78" r:id="rId18" xr:uid="{13649CD8-BEF8-4F4E-9EA2-1C56C002AF21}"/>
    <hyperlink ref="AF78" r:id="rId19" xr:uid="{7D4446FE-AF39-464A-A893-4B0E99ECF795}"/>
    <hyperlink ref="R121" r:id="rId20" xr:uid="{B5C6E281-551A-3740-BCC9-95520C143367}"/>
    <hyperlink ref="R218" r:id="rId21" tooltip="mailto:mg.r@live.com.mx" xr:uid="{6B8F0BEF-4FC8-574E-9B41-6B82E108F3B0}"/>
    <hyperlink ref="AF218" r:id="rId22" xr:uid="{5DAC1806-3D72-4A43-9C0A-2B2937BC29DA}"/>
    <hyperlink ref="R57" r:id="rId23" xr:uid="{8A8AA962-C79D-ED45-8CA5-DF0D8D692630}"/>
    <hyperlink ref="R150" r:id="rId24" xr:uid="{7D6C1694-4D00-0E48-8513-3CE667D31609}"/>
    <hyperlink ref="AF150" r:id="rId25" xr:uid="{893EAF13-8ABC-F947-8EE7-C697248C11A5}"/>
    <hyperlink ref="R20" r:id="rId26" xr:uid="{F9A4872E-0733-9848-A7A1-993DB6440DB3}"/>
    <hyperlink ref="R65" r:id="rId27" xr:uid="{5F19D0EF-875C-DC43-905E-8C7DDFA52221}"/>
    <hyperlink ref="R66" r:id="rId28" xr:uid="{5810C9EE-49C7-D248-9D6E-A7052161420E}"/>
    <hyperlink ref="AF66" r:id="rId29" xr:uid="{C9C9F8D2-EF13-D344-A197-1877A9A1A379}"/>
    <hyperlink ref="R67" r:id="rId30" xr:uid="{CBDC13DC-4BE9-8D49-9547-3654E7247F86}"/>
    <hyperlink ref="AF67" r:id="rId31" xr:uid="{9820C313-122C-734F-9940-F3B7711F3A4C}"/>
    <hyperlink ref="R201" r:id="rId32" xr:uid="{A72A2455-6704-0945-93B3-A66D682ADBDD}"/>
    <hyperlink ref="AF201" r:id="rId33" xr:uid="{707C4FCD-C9DD-2843-9E62-124F5AFE7887}"/>
    <hyperlink ref="R120" r:id="rId34" xr:uid="{C6014BEA-05E9-A042-97B3-1A15DE621853}"/>
    <hyperlink ref="AF120" r:id="rId35" xr:uid="{7AB7045B-CE2E-F146-A907-48F841122369}"/>
    <hyperlink ref="R117" r:id="rId36" xr:uid="{FB57CE83-30D1-3749-88F2-02B784961424}"/>
    <hyperlink ref="AF117" r:id="rId37" xr:uid="{FEAFB8C7-53E0-714E-9476-A39EA91B9676}"/>
    <hyperlink ref="R94" r:id="rId38" xr:uid="{2D021768-8448-BA4F-90DB-237CF8784D86}"/>
    <hyperlink ref="AF94" r:id="rId39" xr:uid="{89EC47E5-5710-CF49-9A07-908B04E3D2D0}"/>
    <hyperlink ref="R64" r:id="rId40" xr:uid="{93E9EA7B-7B75-AD48-ADF7-F322DA8C0DED}"/>
    <hyperlink ref="AF64" r:id="rId41" xr:uid="{F654C504-E04B-634F-A270-9BE26685F951}"/>
    <hyperlink ref="AF102" r:id="rId42" xr:uid="{C84E5A79-76E9-744C-B765-FDD47E032479}"/>
    <hyperlink ref="R36" r:id="rId43" xr:uid="{0695996F-A67F-B248-BA12-98C5324D3A18}"/>
    <hyperlink ref="AF36" r:id="rId44" xr:uid="{DD1D9B91-EC8C-3842-BA7E-3D5FB3EECEB8}"/>
    <hyperlink ref="R102" r:id="rId45" xr:uid="{C3233770-DA2A-1240-B7F3-7515727A6848}"/>
    <hyperlink ref="R92" r:id="rId46" xr:uid="{9D9AAD2F-35D6-F54E-8997-E819817C706B}"/>
    <hyperlink ref="AF92" r:id="rId47" xr:uid="{FCCBC4D8-E693-FB4D-954D-D0FBC3E94491}"/>
    <hyperlink ref="R14" r:id="rId48" xr:uid="{70EA6DBF-EFF7-A542-ABC4-DA03017CECE4}"/>
    <hyperlink ref="AF14" r:id="rId49" xr:uid="{A77A2325-7B54-5E41-A962-4B7A04AE3E79}"/>
    <hyperlink ref="R84" r:id="rId50" xr:uid="{86363160-2586-3144-8D37-514775A304EC}"/>
    <hyperlink ref="AF84" r:id="rId51" xr:uid="{FE1B0176-DB9C-5D48-9DFA-9CB3ED825830}"/>
    <hyperlink ref="R182" r:id="rId52" xr:uid="{9EAA25FF-B172-394B-8211-979783BD72E0}"/>
    <hyperlink ref="R132" r:id="rId53" xr:uid="{86150BCC-62CD-F547-BC5C-B021E01AE14A}"/>
    <hyperlink ref="AF182" r:id="rId54" xr:uid="{A6E381F1-2AAC-FC49-80D4-B3273351253D}"/>
    <hyperlink ref="AF132" r:id="rId55" xr:uid="{0EEEFD9C-D601-874F-8AAB-C87FFB62B0AC}"/>
    <hyperlink ref="R233" r:id="rId56" xr:uid="{1DCD3AE8-DB74-5747-B33C-F50D4B11B364}"/>
    <hyperlink ref="AF233" r:id="rId57" xr:uid="{52F04A61-7E19-574C-99D4-DCFBA1B0A8AB}"/>
    <hyperlink ref="AF19" r:id="rId58" xr:uid="{7239DFAC-41C2-1741-9A37-30C40E787D78}"/>
    <hyperlink ref="R115" r:id="rId59" xr:uid="{394CC758-DE6F-9D44-A81C-8ACAA39FFBC7}"/>
    <hyperlink ref="R204" r:id="rId60" xr:uid="{7B1A8829-960C-4340-AD1A-1DE15129ED15}"/>
    <hyperlink ref="R90" r:id="rId61" xr:uid="{3C550179-C8E3-1F4B-B9AA-BD8B5D13746C}"/>
    <hyperlink ref="AF90" r:id="rId62" xr:uid="{14551E14-9F08-0141-8A23-A704BF76BF52}"/>
    <hyperlink ref="AF171" r:id="rId63" xr:uid="{5CA396EF-ABA8-B54C-B7D5-86A9DDF9DF18}"/>
    <hyperlink ref="R43" r:id="rId64" xr:uid="{F463D47C-7AFA-A641-8DBD-EA47CCBD9833}"/>
    <hyperlink ref="R81" r:id="rId65" xr:uid="{82DF17C5-504B-C743-8C4B-7C6C284CB217}"/>
    <hyperlink ref="AF43" r:id="rId66" xr:uid="{1539E909-ECB2-D046-A55D-4F81B3D437AE}"/>
    <hyperlink ref="AF81" r:id="rId67" xr:uid="{776794E3-EC1B-A342-B6A5-9ABF969A51D7}"/>
    <hyperlink ref="R68" r:id="rId68" xr:uid="{86A3C9CE-C39E-8343-8924-247A4DF900F9}"/>
    <hyperlink ref="AF68" r:id="rId69" xr:uid="{5A2B2D76-6C7C-6F40-BE67-B04F939E5499}"/>
    <hyperlink ref="R69" r:id="rId70" xr:uid="{FA48BFA1-7957-C24B-B8F5-1C385F6C292A}"/>
    <hyperlink ref="AF69" r:id="rId71" xr:uid="{647712AC-A3DF-164B-9953-E80C89481ABD}"/>
    <hyperlink ref="R50" r:id="rId72" xr:uid="{52F55332-B09B-DF40-9510-CC282AAB4599}"/>
    <hyperlink ref="AF50" r:id="rId73" xr:uid="{3A78ACF0-075D-6049-A336-088D08F891CE}"/>
    <hyperlink ref="R53" r:id="rId74" xr:uid="{28269488-362D-B045-9675-59DD9EA2E0AC}"/>
    <hyperlink ref="AF53" r:id="rId75" xr:uid="{8E4DB84E-221B-0A40-8AEC-D772F78ADCCF}"/>
    <hyperlink ref="R96" r:id="rId76" xr:uid="{B3476BDE-A278-B241-8E2F-E907E5640443}"/>
    <hyperlink ref="AF96" r:id="rId77" xr:uid="{304274E6-8284-8A40-8D71-60D0BA8E07DE}"/>
    <hyperlink ref="R87" r:id="rId78" xr:uid="{8880495E-EAAB-D24E-B0AD-37F7A5A480D7}"/>
    <hyperlink ref="R73" r:id="rId79" xr:uid="{CDE6BE41-AF42-2842-8956-38635BBFB648}"/>
    <hyperlink ref="AF73" r:id="rId80" xr:uid="{D9282054-FA5A-F049-8BF6-58F5B2591C6E}"/>
    <hyperlink ref="R109" r:id="rId81" xr:uid="{9E6CE968-CF02-844C-BD3A-06606417B28C}"/>
    <hyperlink ref="AF109" r:id="rId82" xr:uid="{C6AA3E75-97CF-7940-96D2-345B8C1D4117}"/>
    <hyperlink ref="R141" r:id="rId83" xr:uid="{B79130E6-8585-E648-84BD-08ACC17E9C35}"/>
    <hyperlink ref="AF141" r:id="rId84" xr:uid="{4B3C289E-E611-4C41-AC9E-D12E26BF10A6}"/>
    <hyperlink ref="R187" r:id="rId85" xr:uid="{0F9A583A-26C4-A44B-BEF4-3042D40FAC3B}"/>
    <hyperlink ref="AF187" r:id="rId86" xr:uid="{FB814BA1-90D6-E044-861A-99A2390DECDB}"/>
    <hyperlink ref="AF75" r:id="rId87" xr:uid="{7769AE50-0C20-1C45-BC76-A6ACCB1D323A}"/>
    <hyperlink ref="R151" r:id="rId88" xr:uid="{DCF9248F-D9D0-7E45-8CD7-415628CB04E2}"/>
    <hyperlink ref="AF151" r:id="rId89" xr:uid="{9D1BBCC1-682E-6541-97F9-5A1BFE4F797A}"/>
    <hyperlink ref="R114" r:id="rId90" xr:uid="{1B67CC65-64C4-0840-867E-9335C0C465C6}"/>
    <hyperlink ref="AF114" r:id="rId91" xr:uid="{A283FC44-4453-684F-B996-A00B44E433C4}"/>
    <hyperlink ref="R118" r:id="rId92" xr:uid="{E5CA618F-61AB-CF4D-BD93-7DF1406B1C7F}"/>
    <hyperlink ref="AF118" r:id="rId93" xr:uid="{F05276D9-87BE-EA48-B23C-40BF0277161B}"/>
    <hyperlink ref="R177" r:id="rId94" xr:uid="{FAE4675F-B622-6146-AF1F-C526E5B25156}"/>
    <hyperlink ref="AF177" r:id="rId95" xr:uid="{20305ABD-D245-614D-9A72-6314D614A47B}"/>
    <hyperlink ref="R91" r:id="rId96" xr:uid="{63F7FEDA-6D41-2947-A059-022AD9F0C068}"/>
    <hyperlink ref="AF91" r:id="rId97" xr:uid="{63956B31-82DE-3E4D-9B19-ECAF321D6AC4}"/>
    <hyperlink ref="R82" r:id="rId98" xr:uid="{77E27A2E-1B07-064B-BAEF-D1E3E9A6821E}"/>
    <hyperlink ref="AF82" r:id="rId99" xr:uid="{05372C05-210D-8E4D-97B8-5CBA6D2D0039}"/>
    <hyperlink ref="R216" r:id="rId100" xr:uid="{F19BEF58-CED6-F741-8085-39363A00E9C2}"/>
    <hyperlink ref="R203" r:id="rId101" xr:uid="{2392F6EA-881C-8F49-AAB4-AA59619F576E}"/>
    <hyperlink ref="AF216" r:id="rId102" xr:uid="{F3B9BADE-E78E-AC4C-B52A-8DF95CCDA94C}"/>
    <hyperlink ref="AF203" r:id="rId103" xr:uid="{BF04C21B-B9B7-5046-BF23-386705B1962E}"/>
    <hyperlink ref="R192" r:id="rId104" xr:uid="{C4549D7F-0CCD-7044-BA2E-7E621E8FCDDB}"/>
    <hyperlink ref="AF192" r:id="rId105" xr:uid="{5E4C002D-F1C9-354D-9AD1-66C93BB63EDF}"/>
    <hyperlink ref="AF74" r:id="rId106" xr:uid="{66ADF4E5-A56D-D241-A4AD-9365FDA461AA}"/>
    <hyperlink ref="R110" r:id="rId107" xr:uid="{E338CB28-B51D-4340-8872-680DB2589286}"/>
    <hyperlink ref="R74" r:id="rId108" xr:uid="{54736980-E798-3F40-A48A-95002A7ED867}"/>
    <hyperlink ref="AF110" r:id="rId109" xr:uid="{44C158FB-F944-5647-8FF7-C9D7A4094EC6}"/>
    <hyperlink ref="AF60" r:id="rId110" xr:uid="{A1895565-911E-734A-B017-A09429E298DE}"/>
    <hyperlink ref="R56" r:id="rId111" xr:uid="{15B04E70-6BD5-9C45-8B90-65ED67890B9D}"/>
    <hyperlink ref="AF56" r:id="rId112" xr:uid="{4E0A625F-CB3D-ED4D-8AFE-2865AE2F64D3}"/>
    <hyperlink ref="R238" r:id="rId113" xr:uid="{1A5C5D28-165A-6740-BF65-39C87BBB7BA3}"/>
    <hyperlink ref="AF238" r:id="rId114" xr:uid="{8F58B27E-34E5-5B40-A14F-6E846946F243}"/>
    <hyperlink ref="R181" r:id="rId115" xr:uid="{1C9B7411-1F44-DA40-95FD-2EE8BD85D720}"/>
    <hyperlink ref="AF181" r:id="rId116" xr:uid="{5C109A78-44A6-D247-A2DF-C3FE9AA86C4C}"/>
    <hyperlink ref="R27" r:id="rId117" xr:uid="{7C271724-BA01-C24F-8342-114FF05262F6}"/>
    <hyperlink ref="AF27" r:id="rId118" xr:uid="{8C1D7F20-170F-D64A-AB7A-F11884C56DA5}"/>
    <hyperlink ref="AF219" r:id="rId119" xr:uid="{26789FD1-29B7-B64B-932D-E7FF9CBB8FD3}"/>
    <hyperlink ref="R219" r:id="rId120" xr:uid="{7251A14E-7849-8542-BAB7-2EE3A79B324D}"/>
    <hyperlink ref="R104" r:id="rId121" xr:uid="{FECE75BF-44CC-FF4A-847E-FDB0EE29D02D}"/>
    <hyperlink ref="AF104" r:id="rId122" xr:uid="{B26D0ED9-4E9E-0D4C-8E99-9B488B7DF0F1}"/>
    <hyperlink ref="R86" r:id="rId123" xr:uid="{34F7EF25-E204-A44E-8639-80BFAF320E9B}"/>
    <hyperlink ref="AF86" r:id="rId124" xr:uid="{27227829-45D8-6A40-85E6-19301D6B957E}"/>
    <hyperlink ref="R209" r:id="rId125" xr:uid="{23D19A78-9610-5243-8F3D-78D4DF127E0F}"/>
    <hyperlink ref="AF209" r:id="rId126" xr:uid="{EED739E8-C9B5-054A-9CAC-3ED9C8A4F6D7}"/>
    <hyperlink ref="R85" r:id="rId127" xr:uid="{0C506AAB-ED75-9645-8CAD-4E87513A78CB}"/>
    <hyperlink ref="AF85" r:id="rId128" xr:uid="{BD718F8D-7F51-2242-B22A-0C0A6B059D6C}"/>
    <hyperlink ref="R106" r:id="rId129" xr:uid="{34995C62-6B4B-EA4F-93E4-4E9B26763A5C}"/>
    <hyperlink ref="AF106" r:id="rId130" xr:uid="{3C8FAEC1-5A33-0444-8FF5-DAB51CE3F581}"/>
    <hyperlink ref="R189" r:id="rId131" xr:uid="{1B3E6688-AC4D-7E4E-BFC0-263B0F83D42D}"/>
    <hyperlink ref="AF189" r:id="rId132" xr:uid="{B4DA1805-A0D9-6846-9704-96D1DF030222}"/>
    <hyperlink ref="R112" r:id="rId133" xr:uid="{4BDDA092-287D-9B4B-A7CF-BA927919A914}"/>
    <hyperlink ref="AF112" r:id="rId134" xr:uid="{E6192445-C9AA-9F47-9E2A-A2FDA9FAD348}"/>
    <hyperlink ref="R116" r:id="rId135" xr:uid="{06D67A8B-FBC9-E74F-B249-ECECAC1490CD}"/>
    <hyperlink ref="AF116" r:id="rId136" xr:uid="{DF5BD26C-573C-1F4D-9228-E9BCF52AE198}"/>
    <hyperlink ref="R97" r:id="rId137" xr:uid="{C401C2C0-2035-254E-B716-5B24B3A9D9D6}"/>
    <hyperlink ref="AF97" r:id="rId138" xr:uid="{A50927B9-4337-284A-8C58-60F98D71A54A}"/>
    <hyperlink ref="R76" r:id="rId139" xr:uid="{E025B06E-128F-E341-888E-6CDF8061E089}"/>
    <hyperlink ref="AF76" r:id="rId140" xr:uid="{E4D95960-1C2A-5148-9BE0-A9B02881E42C}"/>
    <hyperlink ref="R195" r:id="rId141" xr:uid="{DB634D2B-4ED3-1041-925E-FB02D9D42AF5}"/>
    <hyperlink ref="R217" r:id="rId142" xr:uid="{15B0245A-E3BC-D34E-AC87-A3E163B33453}"/>
    <hyperlink ref="AF217" r:id="rId143" xr:uid="{30387D20-058E-1640-AFD9-850152F0B241}"/>
    <hyperlink ref="R149" r:id="rId144" xr:uid="{9A88C47B-99CA-A544-AFA9-ED0EF36ADCDE}"/>
    <hyperlink ref="AF149" r:id="rId145" xr:uid="{12008050-6E4E-E346-B496-E6EEC70164D4}"/>
    <hyperlink ref="R213" r:id="rId146" xr:uid="{173ACE02-DECD-9047-A234-E0A0DB3F7712}"/>
    <hyperlink ref="AF213" r:id="rId147" xr:uid="{1E472F8C-A269-4045-B2AD-DA0006088B1A}"/>
    <hyperlink ref="R134" r:id="rId148" xr:uid="{10929241-A9E5-CA45-A9BE-FDCF3F00EDE0}"/>
    <hyperlink ref="AF134" r:id="rId149" xr:uid="{B7BA783C-431F-CB4B-86DD-7BF851C17A58}"/>
    <hyperlink ref="R135" r:id="rId150" xr:uid="{F7B8F23F-56A5-884D-B730-7E27DBC0CD7B}"/>
    <hyperlink ref="AF135" r:id="rId151" xr:uid="{232099DD-22F7-FD43-B0EB-9C08F8D140F7}"/>
    <hyperlink ref="R108" r:id="rId152" xr:uid="{274A3AB5-2989-4648-87D4-B5B1E5712704}"/>
    <hyperlink ref="AF108" r:id="rId153" xr:uid="{C3871B2F-4575-674C-AAC1-8D1223D710AC}"/>
    <hyperlink ref="R186" r:id="rId154" xr:uid="{D6195A56-770D-7041-9481-72890C164338}"/>
    <hyperlink ref="R136" r:id="rId155" xr:uid="{6F23D024-AC52-C14C-8533-972BA6A73524}"/>
    <hyperlink ref="AF136" r:id="rId156" xr:uid="{C9DCF9C0-742C-5845-B9F1-1B2FE2C24E8C}"/>
    <hyperlink ref="R124" r:id="rId157" xr:uid="{C1EC6BE5-B3D9-E542-AE6F-35E4B8728DA9}"/>
    <hyperlink ref="AF124" r:id="rId158" xr:uid="{F1D25F39-F777-D542-85B1-61DF9394663C}"/>
    <hyperlink ref="R183" r:id="rId159" xr:uid="{48F0AF59-E0B0-764E-A7DA-D1B661662CE5}"/>
    <hyperlink ref="AF183" r:id="rId160" xr:uid="{00FBDC1A-44C7-F446-9C6E-C520A4F1D25D}"/>
    <hyperlink ref="R88" r:id="rId161" xr:uid="{6A09E7B5-14DB-054A-970E-B93E14F35818}"/>
    <hyperlink ref="AF88" r:id="rId162" xr:uid="{7ECFE0BA-8FB5-524E-A4AC-E2B78195F8F8}"/>
    <hyperlink ref="AF194" r:id="rId163" xr:uid="{E4C40073-82FF-F147-86AB-BB7E79462D16}"/>
    <hyperlink ref="R234" r:id="rId164" xr:uid="{3CF63313-4ABB-144C-AD37-DDE3F57209F6}"/>
    <hyperlink ref="AF234" r:id="rId165" xr:uid="{3C3A2119-5D76-7047-870C-FAA450311847}"/>
    <hyperlink ref="R205" r:id="rId166" xr:uid="{7D7DE8F0-F558-2D40-9F9D-2172C49160CC}"/>
    <hyperlink ref="R227" r:id="rId167" xr:uid="{73F17D38-4E53-3B4A-A1D6-7893BE952544}"/>
    <hyperlink ref="AF227" r:id="rId168" xr:uid="{B8958D51-A25A-9045-B235-412DB6941686}"/>
    <hyperlink ref="R17" r:id="rId169" xr:uid="{BAE97F15-5055-E347-B291-8A0F9643A11C}"/>
    <hyperlink ref="R145" r:id="rId170" xr:uid="{3D79843D-A3A9-5542-BA62-A81ED63E00DF}"/>
    <hyperlink ref="AF145" r:id="rId171" xr:uid="{B1B6B069-A32F-0F47-8695-E143F4947876}"/>
    <hyperlink ref="R146" r:id="rId172" xr:uid="{B3C1CC48-C7BF-FF45-8545-E0EB7AA56C94}"/>
    <hyperlink ref="AF146" r:id="rId173" xr:uid="{31BDF37B-C3F4-4044-A8E9-5EC3D01A0635}"/>
    <hyperlink ref="R147" r:id="rId174" xr:uid="{22163CDA-C528-834E-AE92-F9C55A7D6D41}"/>
    <hyperlink ref="AF147" r:id="rId175" xr:uid="{099EDFC0-8D7A-AE4F-8D2E-9B56CEB3FE0C}"/>
    <hyperlink ref="R230" r:id="rId176" xr:uid="{AF417116-3FEF-314C-A0D9-BF04FE42D9FD}"/>
    <hyperlink ref="R140" r:id="rId177" xr:uid="{9C248901-1CCB-AF49-B4C8-0083CA106A8F}"/>
    <hyperlink ref="AF140" r:id="rId178" xr:uid="{B93606CE-9FEF-154F-AEF8-447D558ADB60}"/>
    <hyperlink ref="R89" r:id="rId179" xr:uid="{E034C631-7215-6C4C-BBDF-9D29A709340E}"/>
    <hyperlink ref="AF89" r:id="rId180" xr:uid="{6067CAD0-05E0-6D47-BF11-25DFB24DF907}"/>
    <hyperlink ref="R156" r:id="rId181" xr:uid="{55ACC638-FB93-3D45-95FA-4A7F265F69AB}"/>
    <hyperlink ref="R157" r:id="rId182" xr:uid="{F405AD8C-9EA9-824E-B709-A4BB6F4DC700}"/>
    <hyperlink ref="R158" r:id="rId183" xr:uid="{CDC35899-6B01-6345-87F4-C5DD260C354B}"/>
    <hyperlink ref="R159" r:id="rId184" xr:uid="{D27F3212-ECF5-1F45-81D8-9ABB53CE174B}"/>
    <hyperlink ref="R72" r:id="rId185" xr:uid="{FF799304-B324-294A-9184-91F1EB65DD67}"/>
    <hyperlink ref="R138" r:id="rId186" xr:uid="{C0BCA214-7E46-FB44-BE6F-D4AA85443227}"/>
    <hyperlink ref="R211" r:id="rId187" xr:uid="{28555CCE-9660-134F-935B-77F4D2C1004E}"/>
  </hyperlinks>
  <pageMargins left="0.7" right="0.7" top="0.75" bottom="0.75" header="0.3" footer="0.3"/>
  <pageSetup orientation="portrait" r:id="rId188"/>
  <drawing r:id="rId189"/>
  <tableParts count="1">
    <tablePart r:id="rId1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Benito Martínez López</dc:creator>
  <cp:lastModifiedBy>Gustavo Benito Martínez López</cp:lastModifiedBy>
  <dcterms:created xsi:type="dcterms:W3CDTF">2026-10-19T19:49:43Z</dcterms:created>
  <dcterms:modified xsi:type="dcterms:W3CDTF">2026-10-19T19:49:59Z</dcterms:modified>
</cp:coreProperties>
</file>