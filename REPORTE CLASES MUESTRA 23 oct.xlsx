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iembre 2026" sheetId="1" r:id="rId5"/>
    <sheet state="visible" name="Reporte Septiembre" sheetId="2" r:id="rId6"/>
    <sheet state="visible" name="Octubre 2026" sheetId="3" r:id="rId7"/>
    <sheet state="visible" name="Reporte Octubre" sheetId="4" r:id="rId8"/>
    <sheet state="visible" name="Noviembre 2026" sheetId="5" r:id="rId9"/>
    <sheet state="visible" name="Reporte Noviembre" sheetId="6" r:id="rId10"/>
  </sheets>
  <definedNames/>
  <calcPr/>
</workbook>
</file>

<file path=xl/sharedStrings.xml><?xml version="1.0" encoding="utf-8"?>
<sst xmlns="http://schemas.openxmlformats.org/spreadsheetml/2006/main" count="1283" uniqueCount="368">
  <si>
    <t>KUGELMAN ACADEMY | CONTROL DE CLASES MUESTRA | SEPTIEMBRE 2026</t>
  </si>
  <si>
    <t>KUGELMAN | CONTROL DE CLASES MUESTRA | OCTUBRE 2026</t>
  </si>
  <si>
    <t>Fecha clase</t>
  </si>
  <si>
    <t>Alumno</t>
  </si>
  <si>
    <t>Contacto</t>
  </si>
  <si>
    <t>Categoría</t>
  </si>
  <si>
    <t>Edad</t>
  </si>
  <si>
    <t>Idioma</t>
  </si>
  <si>
    <t>Canal</t>
  </si>
  <si>
    <t>Hora</t>
  </si>
  <si>
    <t>Resultado</t>
  </si>
  <si>
    <t>Motivo no inscripción</t>
  </si>
  <si>
    <t>Observaciones</t>
  </si>
  <si>
    <t>2026-09-01</t>
  </si>
  <si>
    <t>Erick Samuel Rivera Rivera</t>
  </si>
  <si>
    <t>4441920798</t>
  </si>
  <si>
    <t>Kids</t>
  </si>
  <si>
    <t>Inglés</t>
  </si>
  <si>
    <t>Facebook</t>
  </si>
  <si>
    <t>5:00 pm</t>
  </si>
  <si>
    <t>Prospecto</t>
  </si>
  <si>
    <t>Inscrito</t>
  </si>
  <si>
    <t>Nivel</t>
  </si>
  <si>
    <t>Canal Contacto</t>
  </si>
  <si>
    <t>Melissa Rivera Rivera</t>
  </si>
  <si>
    <t>Claudia Perez</t>
  </si>
  <si>
    <t>7711518732</t>
  </si>
  <si>
    <t>College</t>
  </si>
  <si>
    <t>Mateo Romero</t>
  </si>
  <si>
    <t>771 525 2088</t>
  </si>
  <si>
    <t>6:00 pm</t>
  </si>
  <si>
    <t>Whatsaap</t>
  </si>
  <si>
    <t>Show</t>
  </si>
  <si>
    <t>Ubicación</t>
  </si>
  <si>
    <t>2026-09-02</t>
  </si>
  <si>
    <t>Ximena Gamboa</t>
  </si>
  <si>
    <t>7751142632</t>
  </si>
  <si>
    <t>Sin respuesta</t>
  </si>
  <si>
    <t>Pendiente de decisión</t>
  </si>
  <si>
    <t>Erika Flores Barrera</t>
  </si>
  <si>
    <t>Irma Luna Lira</t>
  </si>
  <si>
    <t>Dego Marquez Pedroza</t>
  </si>
  <si>
    <t>7711859473</t>
  </si>
  <si>
    <t>Junior</t>
  </si>
  <si>
    <t>4:00 pm</t>
  </si>
  <si>
    <t>10:00 am</t>
  </si>
  <si>
    <t>Laura Lizet Pedroza</t>
  </si>
  <si>
    <t>Carlos Torres Marín</t>
  </si>
  <si>
    <t>771 397 6155</t>
  </si>
  <si>
    <t>9:00 am</t>
  </si>
  <si>
    <t>Dylan Eduardo Martes Pedrosa</t>
  </si>
  <si>
    <t>Emily Camacho Bello</t>
  </si>
  <si>
    <t>7712931010</t>
  </si>
  <si>
    <t>Emiliano Bahena</t>
  </si>
  <si>
    <t>5524008650</t>
  </si>
  <si>
    <t>4:00pm</t>
  </si>
  <si>
    <t>Nidia Lizbeth</t>
  </si>
  <si>
    <t>7711566420</t>
  </si>
  <si>
    <t>Renata Bahena</t>
  </si>
  <si>
    <t>Parenthood</t>
  </si>
  <si>
    <t>Pía Bello Martínez</t>
  </si>
  <si>
    <t>2026-09-03</t>
  </si>
  <si>
    <t>Lia Jardines  Angeles</t>
  </si>
  <si>
    <t xml:space="preserve"> 771 181 5517</t>
  </si>
  <si>
    <t>No asistió</t>
  </si>
  <si>
    <t>EN ESPERA</t>
  </si>
  <si>
    <t>Aline Gutierrez</t>
  </si>
  <si>
    <t>7711231297</t>
  </si>
  <si>
    <t>Natalia Avila</t>
  </si>
  <si>
    <t>7714450790</t>
  </si>
  <si>
    <t>Instagram</t>
  </si>
  <si>
    <t>12:00 pm</t>
  </si>
  <si>
    <t>Beatriz Narváez</t>
  </si>
  <si>
    <t>7711367215</t>
  </si>
  <si>
    <t>Leonardo Avila</t>
  </si>
  <si>
    <t>3:00 pm</t>
  </si>
  <si>
    <t>Heiden Slim</t>
  </si>
  <si>
    <t>5543168832</t>
  </si>
  <si>
    <t>Ximena Aguirre</t>
  </si>
  <si>
    <t>771 194 5558</t>
  </si>
  <si>
    <t>Jorge Orozco</t>
  </si>
  <si>
    <t>771 109 5087</t>
  </si>
  <si>
    <t>Farid Mateo Jardines Angeles</t>
  </si>
  <si>
    <t>Ximena Sanchez Bautista</t>
  </si>
  <si>
    <t>7711914489</t>
  </si>
  <si>
    <t>Valentina Miranda Vazquez Balderas</t>
  </si>
  <si>
    <t>525585293517</t>
  </si>
  <si>
    <t>7:00 pm</t>
  </si>
  <si>
    <t>Inscripción pospuesta</t>
  </si>
  <si>
    <t>Andy</t>
  </si>
  <si>
    <t>Precio</t>
  </si>
  <si>
    <t>663 110 5777</t>
  </si>
  <si>
    <t>VIRTUAL</t>
  </si>
  <si>
    <t>Zoe Hernandez Garcia</t>
  </si>
  <si>
    <t>771 191 8111</t>
  </si>
  <si>
    <t>7:00 PM</t>
  </si>
  <si>
    <t>2026-09-04</t>
  </si>
  <si>
    <t>Camila García romero</t>
  </si>
  <si>
    <t>Sharon</t>
  </si>
  <si>
    <t>7711279246</t>
  </si>
  <si>
    <t>Motivos personales</t>
  </si>
  <si>
    <t>Emilia García romero</t>
  </si>
  <si>
    <t>JACQUELINE Hernandez Morales</t>
  </si>
  <si>
    <t>5548973202</t>
  </si>
  <si>
    <t>Recomendación</t>
  </si>
  <si>
    <t>Nayeli</t>
  </si>
  <si>
    <t>Jorge</t>
  </si>
  <si>
    <t>2026-09-05</t>
  </si>
  <si>
    <t>SAMANTHA BAUTISTA RAMIREZ</t>
  </si>
  <si>
    <t>5568052558</t>
  </si>
  <si>
    <t>Sitio</t>
  </si>
  <si>
    <t>11:00 am</t>
  </si>
  <si>
    <t>Vicenta Aragon</t>
  </si>
  <si>
    <t>7717427010</t>
  </si>
  <si>
    <t>2026-09-07</t>
  </si>
  <si>
    <t>Daniela Valeria Hernández Pineda</t>
  </si>
  <si>
    <t>5579509282</t>
  </si>
  <si>
    <t>Said Emmanuel Hernandez</t>
  </si>
  <si>
    <t>7713229658</t>
  </si>
  <si>
    <t>FACEBOOK</t>
  </si>
  <si>
    <t>Yatsiri Alexandra Sanchez Hernandez</t>
  </si>
  <si>
    <t>7713759048</t>
  </si>
  <si>
    <t>Herlinda Guadalupe Zapataq Molina</t>
  </si>
  <si>
    <t>5644941722</t>
  </si>
  <si>
    <t>Maria Fernanda Hernández Pineda</t>
  </si>
  <si>
    <t>Horarios</t>
  </si>
  <si>
    <t>Santiago mercado</t>
  </si>
  <si>
    <t>7712164572</t>
  </si>
  <si>
    <t>Axel Enciso Enciso</t>
  </si>
  <si>
    <t>5518484384</t>
  </si>
  <si>
    <t>Aida</t>
  </si>
  <si>
    <t>5517795341</t>
  </si>
  <si>
    <t>Francés</t>
  </si>
  <si>
    <t>2026-09-08</t>
  </si>
  <si>
    <t>Paola Fuentes Hernandez</t>
  </si>
  <si>
    <t>55 4654 8040</t>
  </si>
  <si>
    <t>Alexandra Rueda Cruz</t>
  </si>
  <si>
    <t>7711780143</t>
  </si>
  <si>
    <t>Juan Mohedano Olivares</t>
  </si>
  <si>
    <t>771 176 4720</t>
  </si>
  <si>
    <t>Lianne</t>
  </si>
  <si>
    <t>Maximo Bastian Rodriguez Carbajal</t>
  </si>
  <si>
    <t>7714983578</t>
  </si>
  <si>
    <t>Norberto Eligio Cordova López</t>
  </si>
  <si>
    <t>7711235436</t>
  </si>
  <si>
    <t>Apolo Leonardo Rodriguez Carbajal</t>
  </si>
  <si>
    <t>Ramón Francisco Rueda Cruz</t>
  </si>
  <si>
    <t>7713641316</t>
  </si>
  <si>
    <t>2026-09-09</t>
  </si>
  <si>
    <t>Zoemy Samara Santander Herrera</t>
  </si>
  <si>
    <t>7717508346</t>
  </si>
  <si>
    <t>Yara</t>
  </si>
  <si>
    <t>Citlali Perez Vargas</t>
  </si>
  <si>
    <t>Darlene Fatima Santander Herrera</t>
  </si>
  <si>
    <t>4423200655</t>
  </si>
  <si>
    <t>Roxana Hernandez Torres</t>
  </si>
  <si>
    <t>Eduardo Hernandez</t>
  </si>
  <si>
    <t>55 4356 4382</t>
  </si>
  <si>
    <t>7711056674</t>
  </si>
  <si>
    <t>Carlos Villalva</t>
  </si>
  <si>
    <t>Heliana García Vazquez</t>
  </si>
  <si>
    <t>7712727928</t>
  </si>
  <si>
    <t>7712541790</t>
  </si>
  <si>
    <t xml:space="preserve">FACEBOOK </t>
  </si>
  <si>
    <t>Sthivf Islas Gomez</t>
  </si>
  <si>
    <t>Mateo García Vazquez</t>
  </si>
  <si>
    <t>2026-09-10</t>
  </si>
  <si>
    <t>Fredy Adán Vega Hernández</t>
  </si>
  <si>
    <t>Valentina Villalba</t>
  </si>
  <si>
    <t>7712980301</t>
  </si>
  <si>
    <t>REVISAR FECHA</t>
  </si>
  <si>
    <t>Karen García</t>
  </si>
  <si>
    <t>Francisco Morales Dominguez</t>
  </si>
  <si>
    <t>7713595300</t>
  </si>
  <si>
    <t>7711975432</t>
  </si>
  <si>
    <t>Brisa Azul Salgado Anastasio</t>
  </si>
  <si>
    <t>7721251065</t>
  </si>
  <si>
    <t>Nikol Peña Estrada</t>
  </si>
  <si>
    <t>7712409020</t>
  </si>
  <si>
    <t>Maria Luisa Hernandez</t>
  </si>
  <si>
    <t>2026-09-11</t>
  </si>
  <si>
    <t>Juan Cruz Rodríguez</t>
  </si>
  <si>
    <t>7751259674</t>
  </si>
  <si>
    <t>2026-09-12</t>
  </si>
  <si>
    <t>Vanessa Islas</t>
  </si>
  <si>
    <t>771 793 4134</t>
  </si>
  <si>
    <t>Fernanda Trejo</t>
  </si>
  <si>
    <t>7717820054</t>
  </si>
  <si>
    <t>Leonardo Cordoba</t>
  </si>
  <si>
    <t>5591952232</t>
  </si>
  <si>
    <t>Carlos Mercado</t>
  </si>
  <si>
    <t>771 216 4572</t>
  </si>
  <si>
    <t>11:00 AM</t>
  </si>
  <si>
    <t>7 p.m.</t>
  </si>
  <si>
    <t>Regina Santos Felix</t>
  </si>
  <si>
    <t>6681480691</t>
  </si>
  <si>
    <t>Kim Yetzali</t>
  </si>
  <si>
    <t>7711578877</t>
  </si>
  <si>
    <t>09:00 am</t>
  </si>
  <si>
    <t>4 p.m.</t>
  </si>
  <si>
    <t>Victoria Romina Lemus Cota</t>
  </si>
  <si>
    <t>Luna Danae Ángeles Islas</t>
  </si>
  <si>
    <t>7711834181</t>
  </si>
  <si>
    <t>4:00 p.m.</t>
  </si>
  <si>
    <t>2026-09-14</t>
  </si>
  <si>
    <t>Rodrigo Garcia Ayotitla</t>
  </si>
  <si>
    <t>7711266490</t>
  </si>
  <si>
    <t>Frida Leines</t>
  </si>
  <si>
    <t>7711238947</t>
  </si>
  <si>
    <t>Dylan santiago lopez valverde</t>
  </si>
  <si>
    <t>Hania Itzel Hernandez Aldana</t>
  </si>
  <si>
    <t>4 pm</t>
  </si>
  <si>
    <t>2481050106</t>
  </si>
  <si>
    <t>4:00 PM</t>
  </si>
  <si>
    <t>Eduardo Alexis Vallejo Salazar</t>
  </si>
  <si>
    <t>Abigail Segura</t>
  </si>
  <si>
    <t>Intermedio</t>
  </si>
  <si>
    <t>7715552762</t>
  </si>
  <si>
    <t>9 a.m.</t>
  </si>
  <si>
    <t>Axel Santiago Vallejo Salazar</t>
  </si>
  <si>
    <t>2026-09-17</t>
  </si>
  <si>
    <t>Daniel Monzalvo</t>
  </si>
  <si>
    <t>7711899478</t>
  </si>
  <si>
    <t>Básico</t>
  </si>
  <si>
    <t>5 p.m.</t>
  </si>
  <si>
    <t>Guillermo Brandt</t>
  </si>
  <si>
    <t>Montserrat Hernández Anastasio</t>
  </si>
  <si>
    <t>7711686369</t>
  </si>
  <si>
    <t>Básico/Virtual</t>
  </si>
  <si>
    <t xml:space="preserve">7 p.m. </t>
  </si>
  <si>
    <t>Elisa Itzel Curiel Sanchez</t>
  </si>
  <si>
    <t>7716010433</t>
  </si>
  <si>
    <t>Valeria Abdi Arreola Sandoval</t>
  </si>
  <si>
    <t>56 2152 6673</t>
  </si>
  <si>
    <t>5:00 p.m.</t>
  </si>
  <si>
    <t>2026-09-18</t>
  </si>
  <si>
    <t>José Miguel Guicochea</t>
  </si>
  <si>
    <t>7298166232</t>
  </si>
  <si>
    <t>Mónica Guadalupe Ortega Arreola</t>
  </si>
  <si>
    <t>Marta cortes</t>
  </si>
  <si>
    <t>5527523637</t>
  </si>
  <si>
    <t>Montserrat Perdomo</t>
  </si>
  <si>
    <t>55 20711565</t>
  </si>
  <si>
    <t>Cita</t>
  </si>
  <si>
    <t>Maria Isabel vela Monteclaro</t>
  </si>
  <si>
    <t>5536608297</t>
  </si>
  <si>
    <t>Angel David Agua</t>
  </si>
  <si>
    <t>771 206 9640</t>
  </si>
  <si>
    <t>Aranza Sarahi Garcia Pacheco</t>
  </si>
  <si>
    <t>55 4588 5988</t>
  </si>
  <si>
    <t>Yara guzman</t>
  </si>
  <si>
    <t>Alexa Garcia Pacheco</t>
  </si>
  <si>
    <t>2026-09-19</t>
  </si>
  <si>
    <t>Mariana Vera</t>
  </si>
  <si>
    <t>7712453497</t>
  </si>
  <si>
    <t>Fernanda Mendoza García</t>
  </si>
  <si>
    <t>7711177816</t>
  </si>
  <si>
    <t>11:00 a.m.</t>
  </si>
  <si>
    <t>Jessica Sanchez Hernandez</t>
  </si>
  <si>
    <t>7712444410</t>
  </si>
  <si>
    <t>Tadeo Alamilla Téllez</t>
  </si>
  <si>
    <t>7713643936</t>
  </si>
  <si>
    <t>Abigail Sanchez Hernandez</t>
  </si>
  <si>
    <t>Marley Lizeth Ponce de León</t>
  </si>
  <si>
    <t>Principiante</t>
  </si>
  <si>
    <t>Ian Alejandro Flores Ruiseco</t>
  </si>
  <si>
    <t>7715006514</t>
  </si>
  <si>
    <t>Ana Victoria Meneses Maqueda</t>
  </si>
  <si>
    <t>771 568 9977</t>
  </si>
  <si>
    <t>2026-09-21</t>
  </si>
  <si>
    <t>David Sánchez Súchil</t>
  </si>
  <si>
    <t>55 6243 2943</t>
  </si>
  <si>
    <t>Mauricio de Jesús Meneses Maqueda</t>
  </si>
  <si>
    <t>David Medina</t>
  </si>
  <si>
    <t>7711004521</t>
  </si>
  <si>
    <t>7:00pm</t>
  </si>
  <si>
    <t>Blanca Almaraz Callado</t>
  </si>
  <si>
    <t>Alan Mateo Moreno</t>
  </si>
  <si>
    <t>5547869812</t>
  </si>
  <si>
    <t>Iliana Karen</t>
  </si>
  <si>
    <t>771 240 8835</t>
  </si>
  <si>
    <t>Adriana Montiel</t>
  </si>
  <si>
    <t>7711623551</t>
  </si>
  <si>
    <t xml:space="preserve">Lizeth Gonzalez Aquino </t>
  </si>
  <si>
    <t>Citlalli Anahi Torres Diaz</t>
  </si>
  <si>
    <t>Básico 1</t>
  </si>
  <si>
    <t>6:00 p.m.</t>
  </si>
  <si>
    <t xml:space="preserve">4:00pm </t>
  </si>
  <si>
    <t>María Roldán</t>
  </si>
  <si>
    <t>Sebastián Gonzales</t>
  </si>
  <si>
    <t>7711737178</t>
  </si>
  <si>
    <t>10:00 a.m.</t>
  </si>
  <si>
    <t>2026-09-22</t>
  </si>
  <si>
    <t>Vladimir Chopin</t>
  </si>
  <si>
    <t>Jose Luis Campa Ortiz</t>
  </si>
  <si>
    <t>7712026450</t>
  </si>
  <si>
    <t>5514933923</t>
  </si>
  <si>
    <t xml:space="preserve">9 a.m. </t>
  </si>
  <si>
    <t>Nidelson Hernandez</t>
  </si>
  <si>
    <t xml:space="preserve">Principiante </t>
  </si>
  <si>
    <t>9:00 a.m.</t>
  </si>
  <si>
    <t>Fernanda Hernandez Alvarado</t>
  </si>
  <si>
    <t>Karen León</t>
  </si>
  <si>
    <t>Jade Medina</t>
  </si>
  <si>
    <t>771 100 4521</t>
  </si>
  <si>
    <t>2026-09-24</t>
  </si>
  <si>
    <t>Alfredo Castillo</t>
  </si>
  <si>
    <t>7751312660</t>
  </si>
  <si>
    <t>Hannah Sofia Navarro Palacios</t>
  </si>
  <si>
    <t>7712886198</t>
  </si>
  <si>
    <t>Noa Delgado</t>
  </si>
  <si>
    <t>7711008502</t>
  </si>
  <si>
    <t>2026-09-26</t>
  </si>
  <si>
    <t>Daniela</t>
  </si>
  <si>
    <t>7721029628</t>
  </si>
  <si>
    <t>Araceli</t>
  </si>
  <si>
    <t>POSIBLE INSCRIPCIÓN SÁBADO</t>
  </si>
  <si>
    <t>Dulce Abigahil Hernandez López</t>
  </si>
  <si>
    <t>7711764050</t>
  </si>
  <si>
    <t>2026-09-28</t>
  </si>
  <si>
    <t>Grecia Martinez</t>
  </si>
  <si>
    <t>POSIBLE INSCRIPCIÓN LUNES</t>
  </si>
  <si>
    <t>Matias Gael Montiel Aviles</t>
  </si>
  <si>
    <t>5624679748</t>
  </si>
  <si>
    <t>Uziel Meneses Vite</t>
  </si>
  <si>
    <t>7718117135</t>
  </si>
  <si>
    <t>Jaqueline Gúzman Mendiola</t>
  </si>
  <si>
    <t>7792239384</t>
  </si>
  <si>
    <t>2026-09-29</t>
  </si>
  <si>
    <t>Revisar</t>
  </si>
  <si>
    <t>46301</t>
  </si>
  <si>
    <t>Paula Rodríguez</t>
  </si>
  <si>
    <t>5575179936</t>
  </si>
  <si>
    <t xml:space="preserve">9:00 am </t>
  </si>
  <si>
    <t>Joseline Ortega</t>
  </si>
  <si>
    <t>5640032163</t>
  </si>
  <si>
    <t>KUGELMAN ACADEMY| REPORTE DE CLASES MUESTRA | SEPTIEMBRE 2026</t>
  </si>
  <si>
    <t>Reporte independiente · se actualiza automáticamente desde la hoja de registros del mes</t>
  </si>
  <si>
    <t>Indicador</t>
  </si>
  <si>
    <t>Clases registradas</t>
  </si>
  <si>
    <t>Inscritos</t>
  </si>
  <si>
    <t>Show (no inscrito)</t>
  </si>
  <si>
    <t>KUGELMAN ACADEMY| REPORTE DE CLASES MUESTRA | OCTUBRE 2026</t>
  </si>
  <si>
    <t>Cita pendiente</t>
  </si>
  <si>
    <t>Fecha inicial</t>
  </si>
  <si>
    <t>Por revisar</t>
  </si>
  <si>
    <t>Fecha final</t>
  </si>
  <si>
    <t>Decisiones confirmadas</t>
  </si>
  <si>
    <t>Conversión de asistentes con decisión</t>
  </si>
  <si>
    <t>Asistencia a clase</t>
  </si>
  <si>
    <t>Resultado tras la clase</t>
  </si>
  <si>
    <t>Alumnos</t>
  </si>
  <si>
    <t>Se inscribió</t>
  </si>
  <si>
    <t>No se inscribió</t>
  </si>
  <si>
    <t>Motivo de no inscripción</t>
  </si>
  <si>
    <t>No. Prospectos</t>
  </si>
  <si>
    <t>Metodología</t>
  </si>
  <si>
    <t>No le interesó</t>
  </si>
  <si>
    <t>Prefiere otra opción</t>
  </si>
  <si>
    <t>Clases Efectivas</t>
  </si>
  <si>
    <t>No. Alumnos</t>
  </si>
  <si>
    <t>Certifications</t>
  </si>
  <si>
    <t>KUGELMAN | CONTROL DE CLASES MUESTRA | NOVIEMBRE 2026</t>
  </si>
  <si>
    <t xml:space="preserve">Emir </t>
  </si>
  <si>
    <t>771 144 2627</t>
  </si>
  <si>
    <t>Basico</t>
  </si>
  <si>
    <t>Yarentzy</t>
  </si>
  <si>
    <t>KUGELMAN ACADEMY| REPORTE DE CLASES MUESTRA | NOVIEMBRE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</si>
</sst>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0.0%"/>
  </numFmts>
  <fonts count="9">
    <font>
      <sz val="11.0"/>
      <color rgb="FF000000"/>
      <name val="Carlito"/>
      <scheme val="minor"/>
    </font>
    <font>
      <b/>
      <sz val="15.0"/>
      <color rgb="FFFFFFFF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b/>
      <sz val="16.0"/>
      <color rgb="FFFFFFFF"/>
      <name val="Carlito"/>
    </font>
    <font>
      <b/>
      <sz val="11.0"/>
      <color rgb="FF000000"/>
      <name val="Carlito"/>
    </font>
    <font>
      <sz val="11.0"/>
      <color theme="1"/>
      <name val="Carlito"/>
    </font>
    <font>
      <b/>
      <sz val="11.0"/>
      <color theme="0"/>
      <name val="Carlito"/>
    </font>
    <font>
      <b/>
      <color theme="1"/>
      <name val="Carlito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45818E"/>
        <bgColor rgb="FF45818E"/>
      </patternFill>
    </fill>
    <fill>
      <patternFill patternType="solid">
        <fgColor rgb="FF674EA7"/>
        <bgColor rgb="FF674EA7"/>
      </patternFill>
    </fill>
    <fill>
      <patternFill patternType="solid">
        <fgColor rgb="FFA64D79"/>
        <bgColor rgb="FFA64D79"/>
      </patternFill>
    </fill>
    <fill>
      <patternFill patternType="solid">
        <fgColor rgb="FF173454"/>
        <bgColor rgb="FF173454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shrinkToFit="0" wrapText="1"/>
    </xf>
    <xf borderId="0" fillId="0" fontId="3" numFmtId="0" xfId="0" applyFont="1"/>
    <xf borderId="0" fillId="4" fontId="1" numFmtId="0" xfId="0" applyFill="1" applyFont="1"/>
    <xf borderId="0" fillId="3" fontId="2" numFmtId="0" xfId="0" applyAlignment="1" applyFill="1" applyFont="1">
      <alignment readingOrder="0" shrinkToFit="0" wrapText="1"/>
    </xf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right" readingOrder="0"/>
    </xf>
    <xf borderId="0" fillId="0" fontId="3" numFmtId="0" xfId="0" applyAlignment="1" applyFont="1">
      <alignment horizontal="left" readingOrder="0"/>
    </xf>
    <xf borderId="0" fillId="5" fontId="3" numFmtId="164" xfId="0" applyFill="1" applyFont="1" applyNumberFormat="1"/>
    <xf borderId="0" fillId="5" fontId="3" numFmtId="0" xfId="0" applyFill="1" applyFont="1"/>
    <xf borderId="0" fillId="6" fontId="3" numFmtId="0" xfId="0" applyFill="1" applyFont="1"/>
    <xf borderId="0" fillId="0" fontId="3" numFmtId="164" xfId="0" applyAlignment="1" applyFont="1" applyNumberFormat="1">
      <alignment horizontal="left" readingOrder="0"/>
    </xf>
    <xf borderId="0" fillId="3" fontId="4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2" fontId="2" numFmtId="0" xfId="0" applyFill="1" applyFont="1"/>
    <xf borderId="0" fillId="0" fontId="3" numFmtId="164" xfId="0" applyAlignment="1" applyFont="1" applyNumberFormat="1">
      <alignment readingOrder="0"/>
    </xf>
    <xf borderId="0" fillId="8" fontId="5" numFmtId="0" xfId="0" applyFill="1" applyFont="1"/>
    <xf borderId="0" fillId="0" fontId="6" numFmtId="165" xfId="0" applyFont="1" applyNumberFormat="1"/>
    <xf borderId="0" fillId="9" fontId="2" numFmtId="0" xfId="0" applyFill="1" applyFont="1"/>
    <xf borderId="0" fillId="10" fontId="2" numFmtId="0" xfId="0" applyFill="1" applyFont="1"/>
    <xf borderId="0" fillId="11" fontId="2" numFmtId="0" xfId="0" applyFill="1" applyFont="1"/>
    <xf borderId="0" fillId="12" fontId="7" numFmtId="0" xfId="0" applyAlignment="1" applyFill="1" applyFont="1">
      <alignment readingOrder="0"/>
    </xf>
    <xf borderId="0" fillId="13" fontId="2" numFmtId="0" xfId="0" applyFill="1" applyFont="1"/>
    <xf borderId="0" fillId="12" fontId="2" numFmtId="0" xfId="0" applyAlignment="1" applyFill="1" applyFont="1">
      <alignment readingOrder="0"/>
    </xf>
    <xf borderId="0" fillId="0" fontId="6" numFmtId="0" xfId="0" applyAlignment="1" applyFont="1">
      <alignment shrinkToFit="0" wrapText="1"/>
    </xf>
    <xf borderId="0" fillId="14" fontId="8" numFmtId="0" xfId="0" applyAlignment="1" applyFill="1" applyFont="1">
      <alignment readingOrder="0"/>
    </xf>
    <xf borderId="0" fillId="8" fontId="8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D8F0DE"/>
          <bgColor rgb="FFD8F0DE"/>
        </patternFill>
      </fill>
      <border/>
    </dxf>
    <dxf>
      <font/>
      <fill>
        <patternFill patternType="solid">
          <fgColor rgb="FFE5E7EB"/>
          <bgColor rgb="FFE5E7EB"/>
        </patternFill>
      </fill>
      <border/>
    </dxf>
    <dxf>
      <font/>
      <fill>
        <patternFill patternType="solid">
          <fgColor rgb="FFFBE1E2"/>
          <bgColor rgb="FFFBE1E2"/>
        </patternFill>
      </fill>
      <border/>
    </dxf>
    <dxf>
      <font/>
      <fill>
        <patternFill patternType="solid">
          <fgColor rgb="FFFFF1D2"/>
          <bgColor rgb="FFFFF1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Inscripción tras clase muestra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AA84F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'Reporte Septiembre'!$A$18:$A$19</c:f>
            </c:strRef>
          </c:cat>
          <c:val>
            <c:numRef>
              <c:f>'Reporte Septiembre'!$B$18:$B$19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Razones de no inscripción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No. Prospectos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6AA84F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8E7CC3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A64D79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E69138"/>
              </a:solidFill>
              <a:ln cmpd="sng">
                <a:noFill/>
              </a:ln>
            </c:spPr>
          </c:dPt>
          <c:cat>
            <c:strRef>
              <c:f>'Reporte Septiembre'!$A$23:$A$32</c:f>
            </c:strRef>
          </c:cat>
          <c:val>
            <c:numRef>
              <c:f>'Reporte Septiembre'!$B$23:$B$32</c:f>
              <c:numCache/>
            </c:numRef>
          </c:val>
        </c:ser>
        <c:axId val="374435797"/>
        <c:axId val="1773629890"/>
      </c:barChart>
      <c:catAx>
        <c:axId val="374435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629890"/>
      </c:catAx>
      <c:valAx>
        <c:axId val="1773629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43579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Inscripción tras clase muestra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AA84F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'Reporte Octubre'!$A$19:$A$20</c:f>
            </c:strRef>
          </c:cat>
          <c:val>
            <c:numRef>
              <c:f>'Reporte Octubre'!$B$19:$B$20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Razones de no inscripción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No. Prospectos</c:v>
          </c:tx>
          <c:spPr>
            <a:solidFill>
              <a:srgbClr val="F6B26B"/>
            </a:solidFill>
            <a:ln cmpd="sng">
              <a:noFill/>
            </a:ln>
          </c:spPr>
          <c:invertIfNegative val="0"/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D9EE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8E7CC3"/>
              </a:solidFill>
              <a:ln cmpd="sng">
                <a:noFill/>
              </a:ln>
            </c:spPr>
          </c:dPt>
          <c:cat>
            <c:strRef>
              <c:f>'Reporte Octubre'!$A$24:$A$33</c:f>
            </c:strRef>
          </c:cat>
          <c:val>
            <c:numRef>
              <c:f>'Reporte Octubre'!$B$24:$B$33</c:f>
              <c:numCache/>
            </c:numRef>
          </c:val>
        </c:ser>
        <c:axId val="5006292"/>
        <c:axId val="70317856"/>
      </c:barChart>
      <c:catAx>
        <c:axId val="5006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17856"/>
      </c:catAx>
      <c:valAx>
        <c:axId val="703178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629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Inscripción tras clase muestra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AA84F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'Reporte Noviembre'!$A$19:$A$20</c:f>
            </c:strRef>
          </c:cat>
          <c:val>
            <c:numRef>
              <c:f>'Reporte Noviembre'!$B$19:$B$20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Razones de no inscripción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No. Prospectos</c:v>
          </c:tx>
          <c:spPr>
            <a:solidFill>
              <a:srgbClr val="F6B26B"/>
            </a:solidFill>
            <a:ln cmpd="sng">
              <a:noFill/>
            </a:ln>
          </c:spPr>
          <c:invertIfNegative val="0"/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D9EE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8E7CC3"/>
              </a:solidFill>
              <a:ln cmpd="sng">
                <a:noFill/>
              </a:ln>
            </c:spPr>
          </c:dPt>
          <c:cat>
            <c:strRef>
              <c:f>'Reporte Noviembre'!$A$24:$A$33</c:f>
            </c:strRef>
          </c:cat>
          <c:val>
            <c:numRef>
              <c:f>'Reporte Noviembre'!$B$24:$B$33</c:f>
              <c:numCache/>
            </c:numRef>
          </c:val>
        </c:ser>
        <c:axId val="596339417"/>
        <c:axId val="1778114243"/>
      </c:barChart>
      <c:catAx>
        <c:axId val="596339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114243"/>
      </c:catAx>
      <c:valAx>
        <c:axId val="1778114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33941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</xdr:row>
      <xdr:rowOff>0</xdr:rowOff>
    </xdr:from>
    <xdr:ext cx="7591425" cy="31623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20</xdr:row>
      <xdr:rowOff>0</xdr:rowOff>
    </xdr:from>
    <xdr:ext cx="7591425" cy="34004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</xdr:row>
      <xdr:rowOff>0</xdr:rowOff>
    </xdr:from>
    <xdr:ext cx="7591425" cy="31623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21</xdr:row>
      <xdr:rowOff>0</xdr:rowOff>
    </xdr:from>
    <xdr:ext cx="7591425" cy="34004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</xdr:row>
      <xdr:rowOff>0</xdr:rowOff>
    </xdr:from>
    <xdr:ext cx="7591425" cy="31623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21</xdr:row>
      <xdr:rowOff>0</xdr:rowOff>
    </xdr:from>
    <xdr:ext cx="7591425" cy="34004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0"/>
    <col customWidth="1" min="2" max="2" width="30.0"/>
    <col customWidth="1" min="3" max="3" width="20.0"/>
    <col customWidth="1" min="4" max="4" width="18.0"/>
    <col customWidth="1" min="5" max="5" width="12.0"/>
    <col customWidth="1" min="6" max="7" width="17.0"/>
    <col customWidth="1" min="8" max="8" width="15.0"/>
    <col customWidth="1" min="9" max="9" width="19.0"/>
    <col customWidth="1" min="10" max="10" width="30.0"/>
    <col customWidth="1" min="11" max="11" width="34.0"/>
    <col customWidth="1" min="12" max="24" width="8.63"/>
  </cols>
  <sheetData>
    <row r="1" ht="24.75" customHeight="1">
      <c r="A1" s="1" t="s">
        <v>0</v>
      </c>
    </row>
    <row r="2" ht="24.75" customHeight="1"/>
    <row r="4" ht="33.7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>
      <c r="A5" s="3" t="s">
        <v>13</v>
      </c>
      <c r="B5" s="3" t="s">
        <v>14</v>
      </c>
      <c r="C5" s="3" t="s">
        <v>15</v>
      </c>
      <c r="D5" s="3" t="s">
        <v>16</v>
      </c>
      <c r="E5" s="3">
        <v>7.0</v>
      </c>
      <c r="F5" s="3" t="s">
        <v>17</v>
      </c>
      <c r="G5" s="3" t="s">
        <v>18</v>
      </c>
      <c r="H5" s="3" t="s">
        <v>19</v>
      </c>
      <c r="I5" s="3" t="s">
        <v>21</v>
      </c>
      <c r="J5" s="3"/>
      <c r="K5" s="3" t="s">
        <v>18</v>
      </c>
    </row>
    <row r="6">
      <c r="A6" s="3" t="s">
        <v>13</v>
      </c>
      <c r="B6" s="3" t="s">
        <v>24</v>
      </c>
      <c r="C6" s="3" t="s">
        <v>15</v>
      </c>
      <c r="D6" s="3" t="s">
        <v>16</v>
      </c>
      <c r="E6" s="3">
        <v>7.0</v>
      </c>
      <c r="F6" s="3" t="s">
        <v>17</v>
      </c>
      <c r="G6" s="3" t="s">
        <v>18</v>
      </c>
      <c r="H6" s="3" t="s">
        <v>19</v>
      </c>
      <c r="I6" s="3" t="s">
        <v>21</v>
      </c>
      <c r="J6" s="3"/>
      <c r="K6" s="3" t="s">
        <v>18</v>
      </c>
    </row>
    <row r="7">
      <c r="A7" s="3" t="s">
        <v>13</v>
      </c>
      <c r="B7" s="3" t="s">
        <v>28</v>
      </c>
      <c r="C7" s="3" t="s">
        <v>29</v>
      </c>
      <c r="D7" s="3" t="s">
        <v>16</v>
      </c>
      <c r="E7" s="3">
        <v>11.0</v>
      </c>
      <c r="F7" s="3" t="s">
        <v>17</v>
      </c>
      <c r="G7" s="3" t="s">
        <v>31</v>
      </c>
      <c r="H7" s="3" t="s">
        <v>19</v>
      </c>
      <c r="I7" s="3" t="s">
        <v>32</v>
      </c>
      <c r="J7" s="7" t="s">
        <v>33</v>
      </c>
    </row>
    <row r="8">
      <c r="A8" s="3" t="s">
        <v>34</v>
      </c>
      <c r="B8" s="3" t="s">
        <v>35</v>
      </c>
      <c r="C8" s="3" t="s">
        <v>36</v>
      </c>
      <c r="D8" s="3" t="s">
        <v>27</v>
      </c>
      <c r="E8" s="3">
        <v>18.0</v>
      </c>
      <c r="F8" s="3" t="s">
        <v>17</v>
      </c>
      <c r="G8" s="3" t="s">
        <v>18</v>
      </c>
      <c r="H8" s="3" t="s">
        <v>19</v>
      </c>
      <c r="I8" s="3" t="s">
        <v>32</v>
      </c>
      <c r="J8" s="7" t="s">
        <v>38</v>
      </c>
      <c r="K8" s="3" t="s">
        <v>39</v>
      </c>
    </row>
    <row r="9">
      <c r="A9" s="3" t="s">
        <v>34</v>
      </c>
      <c r="B9" s="3" t="s">
        <v>41</v>
      </c>
      <c r="D9" s="3" t="s">
        <v>43</v>
      </c>
      <c r="E9" s="3">
        <v>16.0</v>
      </c>
      <c r="F9" s="3" t="s">
        <v>17</v>
      </c>
      <c r="G9" s="3" t="s">
        <v>18</v>
      </c>
      <c r="H9" s="3" t="s">
        <v>44</v>
      </c>
      <c r="I9" s="3" t="s">
        <v>21</v>
      </c>
      <c r="J9" s="3"/>
    </row>
    <row r="10">
      <c r="A10" s="3" t="s">
        <v>34</v>
      </c>
      <c r="B10" s="3" t="s">
        <v>46</v>
      </c>
      <c r="D10" s="3" t="s">
        <v>27</v>
      </c>
      <c r="E10" s="3">
        <v>35.0</v>
      </c>
      <c r="F10" s="3" t="s">
        <v>17</v>
      </c>
      <c r="G10" s="3" t="s">
        <v>18</v>
      </c>
      <c r="H10" s="3" t="s">
        <v>44</v>
      </c>
      <c r="I10" s="3" t="s">
        <v>21</v>
      </c>
      <c r="J10" s="3"/>
    </row>
    <row r="11">
      <c r="A11" s="3" t="s">
        <v>34</v>
      </c>
      <c r="B11" s="3" t="s">
        <v>50</v>
      </c>
      <c r="D11" s="3" t="s">
        <v>43</v>
      </c>
      <c r="E11" s="3">
        <v>12.0</v>
      </c>
      <c r="F11" s="3" t="s">
        <v>17</v>
      </c>
      <c r="G11" s="3" t="s">
        <v>18</v>
      </c>
      <c r="H11" s="3" t="s">
        <v>44</v>
      </c>
      <c r="I11" s="3" t="s">
        <v>21</v>
      </c>
      <c r="J11" s="3"/>
    </row>
    <row r="12">
      <c r="A12" s="3" t="s">
        <v>34</v>
      </c>
      <c r="B12" s="3" t="s">
        <v>53</v>
      </c>
      <c r="C12" s="3" t="s">
        <v>54</v>
      </c>
      <c r="D12" s="3" t="s">
        <v>16</v>
      </c>
      <c r="E12" s="3">
        <v>8.0</v>
      </c>
      <c r="F12" s="3" t="s">
        <v>17</v>
      </c>
      <c r="G12" s="3" t="s">
        <v>18</v>
      </c>
      <c r="H12" s="3" t="s">
        <v>30</v>
      </c>
      <c r="I12" s="3" t="s">
        <v>21</v>
      </c>
      <c r="J12" s="3"/>
    </row>
    <row r="13">
      <c r="A13" s="3" t="s">
        <v>34</v>
      </c>
      <c r="B13" s="3" t="s">
        <v>58</v>
      </c>
      <c r="C13" s="3" t="s">
        <v>54</v>
      </c>
      <c r="D13" s="3" t="s">
        <v>59</v>
      </c>
      <c r="E13" s="3">
        <v>6.0</v>
      </c>
      <c r="F13" s="3" t="s">
        <v>17</v>
      </c>
      <c r="G13" s="3" t="s">
        <v>18</v>
      </c>
      <c r="H13" s="3" t="s">
        <v>30</v>
      </c>
      <c r="I13" s="3" t="s">
        <v>21</v>
      </c>
      <c r="J13" s="3"/>
    </row>
    <row r="14">
      <c r="A14" s="3" t="s">
        <v>61</v>
      </c>
      <c r="B14" s="3" t="s">
        <v>62</v>
      </c>
      <c r="C14" s="3" t="s">
        <v>63</v>
      </c>
      <c r="D14" s="3" t="s">
        <v>16</v>
      </c>
      <c r="E14" s="3">
        <v>8.0</v>
      </c>
      <c r="F14" s="3" t="s">
        <v>17</v>
      </c>
      <c r="G14" s="3" t="s">
        <v>18</v>
      </c>
      <c r="H14" s="3" t="s">
        <v>19</v>
      </c>
      <c r="I14" s="3" t="s">
        <v>64</v>
      </c>
      <c r="J14" s="3"/>
      <c r="K14" s="3" t="s">
        <v>65</v>
      </c>
    </row>
    <row r="15">
      <c r="A15" s="3" t="s">
        <v>61</v>
      </c>
      <c r="B15" s="3" t="s">
        <v>68</v>
      </c>
      <c r="C15" s="3" t="s">
        <v>69</v>
      </c>
      <c r="D15" s="3" t="s">
        <v>16</v>
      </c>
      <c r="E15" s="3">
        <v>9.0</v>
      </c>
      <c r="F15" s="3" t="s">
        <v>17</v>
      </c>
      <c r="G15" s="3" t="s">
        <v>18</v>
      </c>
      <c r="H15" s="3" t="s">
        <v>19</v>
      </c>
      <c r="I15" s="3" t="s">
        <v>64</v>
      </c>
      <c r="J15" s="3"/>
      <c r="K15" s="3" t="s">
        <v>65</v>
      </c>
    </row>
    <row r="16">
      <c r="A16" s="3" t="s">
        <v>61</v>
      </c>
      <c r="B16" s="3" t="s">
        <v>74</v>
      </c>
      <c r="C16" s="3" t="s">
        <v>69</v>
      </c>
      <c r="D16" s="3" t="s">
        <v>59</v>
      </c>
      <c r="E16" s="3">
        <v>5.0</v>
      </c>
      <c r="F16" s="3" t="s">
        <v>17</v>
      </c>
      <c r="G16" s="3" t="s">
        <v>18</v>
      </c>
      <c r="H16" s="3" t="s">
        <v>19</v>
      </c>
      <c r="I16" s="3" t="s">
        <v>64</v>
      </c>
      <c r="J16" s="3"/>
      <c r="K16" s="3" t="s">
        <v>65</v>
      </c>
    </row>
    <row r="17">
      <c r="A17" s="3" t="s">
        <v>61</v>
      </c>
      <c r="B17" s="3" t="s">
        <v>78</v>
      </c>
      <c r="C17" s="3" t="s">
        <v>79</v>
      </c>
      <c r="D17" s="3" t="s">
        <v>16</v>
      </c>
      <c r="E17" s="3">
        <v>10.0</v>
      </c>
      <c r="F17" s="3" t="s">
        <v>17</v>
      </c>
      <c r="G17" s="3" t="s">
        <v>18</v>
      </c>
      <c r="H17" s="3" t="s">
        <v>19</v>
      </c>
      <c r="I17" s="7" t="s">
        <v>21</v>
      </c>
      <c r="J17" s="3"/>
    </row>
    <row r="18">
      <c r="A18" s="3" t="s">
        <v>61</v>
      </c>
      <c r="B18" s="3" t="s">
        <v>82</v>
      </c>
      <c r="C18" s="3" t="s">
        <v>63</v>
      </c>
      <c r="D18" s="3" t="s">
        <v>43</v>
      </c>
      <c r="E18" s="3">
        <v>12.0</v>
      </c>
      <c r="F18" s="3" t="s">
        <v>17</v>
      </c>
      <c r="G18" s="3" t="s">
        <v>18</v>
      </c>
      <c r="H18" s="3" t="s">
        <v>30</v>
      </c>
      <c r="I18" s="3" t="s">
        <v>64</v>
      </c>
      <c r="J18" s="3"/>
      <c r="K18" s="3" t="s">
        <v>65</v>
      </c>
    </row>
    <row r="19">
      <c r="A19" s="3" t="s">
        <v>61</v>
      </c>
      <c r="B19" s="3" t="s">
        <v>85</v>
      </c>
      <c r="C19" s="3" t="s">
        <v>86</v>
      </c>
      <c r="D19" s="3" t="s">
        <v>43</v>
      </c>
      <c r="E19" s="3">
        <v>14.0</v>
      </c>
      <c r="F19" s="3" t="s">
        <v>17</v>
      </c>
      <c r="G19" s="3" t="s">
        <v>18</v>
      </c>
      <c r="H19" s="3" t="s">
        <v>87</v>
      </c>
      <c r="I19" s="3" t="s">
        <v>32</v>
      </c>
      <c r="J19" s="7" t="s">
        <v>90</v>
      </c>
      <c r="K19" s="3" t="s">
        <v>92</v>
      </c>
    </row>
    <row r="20">
      <c r="A20" s="3" t="s">
        <v>61</v>
      </c>
      <c r="B20" s="3" t="s">
        <v>93</v>
      </c>
      <c r="C20" s="3" t="s">
        <v>94</v>
      </c>
      <c r="D20" s="3" t="s">
        <v>43</v>
      </c>
      <c r="E20" s="3">
        <v>15.0</v>
      </c>
      <c r="F20" s="3" t="s">
        <v>17</v>
      </c>
      <c r="G20" s="3" t="s">
        <v>18</v>
      </c>
      <c r="H20" s="3" t="s">
        <v>95</v>
      </c>
      <c r="I20" s="3" t="s">
        <v>32</v>
      </c>
      <c r="J20" s="7" t="s">
        <v>37</v>
      </c>
      <c r="K20" s="3" t="s">
        <v>92</v>
      </c>
    </row>
    <row r="21" ht="15.75" customHeight="1">
      <c r="A21" s="3" t="s">
        <v>96</v>
      </c>
      <c r="B21" s="3" t="s">
        <v>98</v>
      </c>
      <c r="C21" s="3" t="s">
        <v>54</v>
      </c>
      <c r="D21" s="3" t="s">
        <v>27</v>
      </c>
      <c r="E21" s="3">
        <v>39.0</v>
      </c>
      <c r="F21" s="3" t="s">
        <v>17</v>
      </c>
      <c r="G21" s="3" t="s">
        <v>70</v>
      </c>
      <c r="H21" s="3" t="s">
        <v>45</v>
      </c>
      <c r="I21" s="3" t="s">
        <v>32</v>
      </c>
      <c r="J21" s="7" t="s">
        <v>100</v>
      </c>
    </row>
    <row r="22" ht="15.75" customHeight="1">
      <c r="A22" s="3" t="s">
        <v>96</v>
      </c>
      <c r="B22" s="3" t="s">
        <v>102</v>
      </c>
      <c r="C22" s="3" t="s">
        <v>103</v>
      </c>
      <c r="D22" s="3" t="s">
        <v>27</v>
      </c>
      <c r="E22" s="3">
        <v>44.0</v>
      </c>
      <c r="F22" s="3" t="s">
        <v>17</v>
      </c>
      <c r="G22" s="3" t="s">
        <v>104</v>
      </c>
      <c r="H22" s="3" t="s">
        <v>45</v>
      </c>
      <c r="I22" s="3" t="s">
        <v>21</v>
      </c>
      <c r="J22" s="3"/>
    </row>
    <row r="23" ht="15.75" customHeight="1">
      <c r="A23" s="3" t="s">
        <v>96</v>
      </c>
      <c r="B23" s="3" t="s">
        <v>105</v>
      </c>
      <c r="C23" s="3" t="s">
        <v>69</v>
      </c>
      <c r="D23" s="3" t="s">
        <v>27</v>
      </c>
      <c r="E23" s="3">
        <v>41.0</v>
      </c>
      <c r="F23" s="3" t="s">
        <v>17</v>
      </c>
      <c r="G23" s="3" t="s">
        <v>18</v>
      </c>
      <c r="H23" s="3" t="s">
        <v>45</v>
      </c>
      <c r="I23" s="3" t="s">
        <v>64</v>
      </c>
      <c r="J23" s="3"/>
    </row>
    <row r="24" ht="15.75" customHeight="1">
      <c r="A24" s="3" t="s">
        <v>107</v>
      </c>
      <c r="B24" s="3" t="s">
        <v>108</v>
      </c>
      <c r="C24" s="3" t="s">
        <v>109</v>
      </c>
      <c r="D24" s="3" t="s">
        <v>16</v>
      </c>
      <c r="E24" s="3">
        <v>7.0</v>
      </c>
      <c r="F24" s="3" t="s">
        <v>17</v>
      </c>
      <c r="G24" s="3" t="s">
        <v>110</v>
      </c>
      <c r="H24" s="3" t="s">
        <v>111</v>
      </c>
      <c r="I24" s="3" t="s">
        <v>21</v>
      </c>
      <c r="J24" s="3"/>
    </row>
    <row r="25" ht="15.75" customHeight="1">
      <c r="A25" s="3" t="s">
        <v>114</v>
      </c>
      <c r="B25" s="3" t="s">
        <v>115</v>
      </c>
      <c r="C25" s="3" t="s">
        <v>116</v>
      </c>
      <c r="D25" s="3" t="s">
        <v>16</v>
      </c>
      <c r="E25" s="3">
        <v>11.0</v>
      </c>
      <c r="F25" s="3" t="s">
        <v>17</v>
      </c>
      <c r="G25" s="3" t="s">
        <v>18</v>
      </c>
      <c r="H25" s="3" t="s">
        <v>49</v>
      </c>
      <c r="I25" s="3" t="s">
        <v>64</v>
      </c>
      <c r="J25" s="3"/>
      <c r="K25" s="3" t="s">
        <v>119</v>
      </c>
    </row>
    <row r="26" ht="15.75" customHeight="1">
      <c r="A26" s="3" t="s">
        <v>114</v>
      </c>
      <c r="B26" s="3" t="s">
        <v>120</v>
      </c>
      <c r="C26" s="3" t="s">
        <v>121</v>
      </c>
      <c r="D26" s="3" t="s">
        <v>43</v>
      </c>
      <c r="E26" s="3">
        <v>12.0</v>
      </c>
      <c r="F26" s="3" t="s">
        <v>17</v>
      </c>
      <c r="G26" s="3" t="s">
        <v>18</v>
      </c>
      <c r="H26" s="3" t="s">
        <v>44</v>
      </c>
      <c r="I26" s="3" t="s">
        <v>64</v>
      </c>
      <c r="J26" s="3"/>
    </row>
    <row r="27" ht="15.75" customHeight="1">
      <c r="A27" s="3" t="s">
        <v>114</v>
      </c>
      <c r="B27" s="3" t="s">
        <v>124</v>
      </c>
      <c r="C27" s="3" t="s">
        <v>116</v>
      </c>
      <c r="D27" s="3" t="s">
        <v>16</v>
      </c>
      <c r="E27" s="3">
        <v>7.0</v>
      </c>
      <c r="F27" s="3" t="s">
        <v>17</v>
      </c>
      <c r="G27" s="3" t="s">
        <v>18</v>
      </c>
      <c r="H27" s="3" t="s">
        <v>44</v>
      </c>
      <c r="I27" s="3" t="s">
        <v>64</v>
      </c>
      <c r="J27" s="3"/>
    </row>
    <row r="28" ht="15.75" customHeight="1">
      <c r="A28" s="3" t="s">
        <v>114</v>
      </c>
      <c r="B28" s="3" t="s">
        <v>128</v>
      </c>
      <c r="C28" s="3" t="s">
        <v>129</v>
      </c>
      <c r="D28" s="3" t="s">
        <v>27</v>
      </c>
      <c r="E28" s="3">
        <v>20.0</v>
      </c>
      <c r="F28" s="3" t="s">
        <v>17</v>
      </c>
      <c r="G28" s="3" t="s">
        <v>18</v>
      </c>
      <c r="H28" s="3" t="s">
        <v>95</v>
      </c>
      <c r="I28" s="3" t="s">
        <v>21</v>
      </c>
      <c r="J28" s="3"/>
    </row>
    <row r="29" ht="15.75" customHeight="1">
      <c r="A29" s="3" t="s">
        <v>133</v>
      </c>
      <c r="B29" s="3" t="s">
        <v>134</v>
      </c>
      <c r="C29" s="3" t="s">
        <v>135</v>
      </c>
      <c r="D29" s="3" t="s">
        <v>27</v>
      </c>
      <c r="E29" s="3">
        <v>30.0</v>
      </c>
      <c r="F29" s="3" t="s">
        <v>17</v>
      </c>
      <c r="G29" s="3" t="s">
        <v>31</v>
      </c>
      <c r="H29" s="3" t="s">
        <v>71</v>
      </c>
      <c r="I29" s="3" t="s">
        <v>64</v>
      </c>
      <c r="J29" s="3"/>
    </row>
    <row r="30" ht="15.75" customHeight="1">
      <c r="A30" s="3" t="s">
        <v>133</v>
      </c>
      <c r="B30" s="3" t="s">
        <v>138</v>
      </c>
      <c r="C30" s="3" t="s">
        <v>139</v>
      </c>
      <c r="D30" s="3" t="s">
        <v>27</v>
      </c>
      <c r="E30" s="3">
        <v>29.0</v>
      </c>
      <c r="F30" s="3" t="s">
        <v>17</v>
      </c>
      <c r="G30" s="3" t="s">
        <v>18</v>
      </c>
      <c r="H30" s="3" t="s">
        <v>71</v>
      </c>
      <c r="I30" s="3" t="s">
        <v>21</v>
      </c>
      <c r="J30" s="3"/>
    </row>
    <row r="31" ht="15.75" customHeight="1">
      <c r="A31" s="3" t="s">
        <v>133</v>
      </c>
      <c r="B31" s="3" t="s">
        <v>141</v>
      </c>
      <c r="C31" s="3" t="s">
        <v>142</v>
      </c>
      <c r="D31" s="3" t="s">
        <v>59</v>
      </c>
      <c r="E31" s="3">
        <v>4.0</v>
      </c>
      <c r="F31" s="3" t="s">
        <v>132</v>
      </c>
      <c r="G31" s="3" t="s">
        <v>31</v>
      </c>
      <c r="H31" s="3" t="s">
        <v>30</v>
      </c>
      <c r="I31" s="3" t="s">
        <v>32</v>
      </c>
      <c r="J31" s="7" t="s">
        <v>37</v>
      </c>
    </row>
    <row r="32" ht="15.75" customHeight="1">
      <c r="A32" s="3" t="s">
        <v>133</v>
      </c>
      <c r="B32" s="3" t="s">
        <v>145</v>
      </c>
      <c r="C32" s="3" t="s">
        <v>142</v>
      </c>
      <c r="D32" s="3" t="s">
        <v>59</v>
      </c>
      <c r="E32" s="3">
        <v>5.0</v>
      </c>
      <c r="F32" s="3" t="s">
        <v>132</v>
      </c>
      <c r="G32" s="3" t="s">
        <v>31</v>
      </c>
      <c r="H32" s="3" t="s">
        <v>30</v>
      </c>
      <c r="I32" s="3" t="s">
        <v>32</v>
      </c>
      <c r="J32" s="7" t="s">
        <v>37</v>
      </c>
    </row>
    <row r="33" ht="15.75" customHeight="1">
      <c r="A33" s="3" t="s">
        <v>148</v>
      </c>
      <c r="B33" s="3" t="s">
        <v>149</v>
      </c>
      <c r="C33" s="3" t="s">
        <v>150</v>
      </c>
      <c r="D33" s="3" t="s">
        <v>59</v>
      </c>
      <c r="E33" s="3">
        <v>6.0</v>
      </c>
      <c r="F33" s="3" t="s">
        <v>17</v>
      </c>
      <c r="G33" s="3" t="s">
        <v>18</v>
      </c>
      <c r="H33" s="3" t="s">
        <v>44</v>
      </c>
      <c r="I33" s="3" t="s">
        <v>21</v>
      </c>
      <c r="J33" s="3"/>
    </row>
    <row r="34" ht="15.75" customHeight="1">
      <c r="A34" s="3" t="s">
        <v>148</v>
      </c>
      <c r="B34" s="3" t="s">
        <v>153</v>
      </c>
      <c r="C34" s="3" t="s">
        <v>150</v>
      </c>
      <c r="D34" s="3" t="s">
        <v>16</v>
      </c>
      <c r="E34" s="3">
        <v>9.0</v>
      </c>
      <c r="F34" s="3" t="s">
        <v>17</v>
      </c>
      <c r="G34" s="3" t="s">
        <v>18</v>
      </c>
      <c r="H34" s="3" t="s">
        <v>44</v>
      </c>
      <c r="I34" s="3" t="s">
        <v>21</v>
      </c>
      <c r="J34" s="3"/>
    </row>
    <row r="35" ht="15.75" customHeight="1">
      <c r="A35" s="3" t="s">
        <v>148</v>
      </c>
      <c r="B35" s="3" t="s">
        <v>155</v>
      </c>
      <c r="C35" s="3" t="s">
        <v>157</v>
      </c>
      <c r="D35" s="3" t="s">
        <v>43</v>
      </c>
      <c r="E35" s="3">
        <v>14.0</v>
      </c>
      <c r="F35" s="3" t="s">
        <v>17</v>
      </c>
      <c r="G35" s="3" t="s">
        <v>70</v>
      </c>
      <c r="H35" s="3" t="s">
        <v>44</v>
      </c>
      <c r="I35" s="3" t="s">
        <v>32</v>
      </c>
      <c r="J35" s="7" t="s">
        <v>90</v>
      </c>
    </row>
    <row r="36" ht="15.75" customHeight="1">
      <c r="A36" s="3" t="s">
        <v>148</v>
      </c>
      <c r="B36" s="3" t="s">
        <v>160</v>
      </c>
      <c r="C36" s="3" t="s">
        <v>162</v>
      </c>
      <c r="D36" s="3" t="s">
        <v>43</v>
      </c>
      <c r="E36" s="3">
        <v>13.0</v>
      </c>
      <c r="F36" s="3" t="s">
        <v>17</v>
      </c>
      <c r="G36" s="3" t="s">
        <v>18</v>
      </c>
      <c r="H36" s="3" t="s">
        <v>44</v>
      </c>
      <c r="I36" s="3" t="s">
        <v>21</v>
      </c>
      <c r="J36" s="3"/>
      <c r="K36" s="3" t="s">
        <v>163</v>
      </c>
    </row>
    <row r="37" ht="15.75" customHeight="1">
      <c r="A37" s="3" t="s">
        <v>148</v>
      </c>
      <c r="B37" s="3" t="s">
        <v>165</v>
      </c>
      <c r="C37" s="3" t="s">
        <v>162</v>
      </c>
      <c r="D37" s="3" t="s">
        <v>43</v>
      </c>
      <c r="E37" s="3">
        <v>14.0</v>
      </c>
      <c r="F37" s="3" t="s">
        <v>17</v>
      </c>
      <c r="G37" s="3" t="s">
        <v>18</v>
      </c>
      <c r="H37" s="3" t="s">
        <v>44</v>
      </c>
      <c r="I37" s="3" t="s">
        <v>21</v>
      </c>
      <c r="J37" s="3"/>
      <c r="K37" s="3" t="s">
        <v>163</v>
      </c>
    </row>
    <row r="38" ht="15.75" customHeight="1">
      <c r="A38" s="3" t="s">
        <v>166</v>
      </c>
      <c r="B38" s="3" t="s">
        <v>167</v>
      </c>
      <c r="C38" s="3" t="s">
        <v>169</v>
      </c>
      <c r="D38" s="3" t="s">
        <v>27</v>
      </c>
      <c r="E38" s="3">
        <v>29.0</v>
      </c>
      <c r="F38" s="3" t="s">
        <v>17</v>
      </c>
      <c r="G38" s="3" t="s">
        <v>18</v>
      </c>
      <c r="H38" s="3" t="s">
        <v>71</v>
      </c>
      <c r="I38" s="3" t="s">
        <v>32</v>
      </c>
      <c r="J38" s="7" t="s">
        <v>125</v>
      </c>
    </row>
    <row r="39" ht="15.75" customHeight="1">
      <c r="A39" s="3" t="s">
        <v>170</v>
      </c>
      <c r="B39" s="3" t="s">
        <v>172</v>
      </c>
      <c r="C39" s="3" t="s">
        <v>174</v>
      </c>
      <c r="D39" s="3" t="s">
        <v>27</v>
      </c>
      <c r="E39" s="3">
        <v>23.0</v>
      </c>
      <c r="F39" s="3" t="s">
        <v>17</v>
      </c>
      <c r="G39" s="3" t="s">
        <v>18</v>
      </c>
      <c r="H39" s="3" t="s">
        <v>30</v>
      </c>
      <c r="I39" s="3" t="s">
        <v>32</v>
      </c>
      <c r="J39" s="7" t="s">
        <v>33</v>
      </c>
    </row>
    <row r="40" ht="15.75" customHeight="1">
      <c r="A40" s="3" t="s">
        <v>170</v>
      </c>
      <c r="B40" s="3" t="s">
        <v>177</v>
      </c>
      <c r="C40" s="3" t="s">
        <v>178</v>
      </c>
      <c r="D40" s="3" t="s">
        <v>43</v>
      </c>
      <c r="E40" s="3">
        <v>13.0</v>
      </c>
      <c r="F40" s="3" t="s">
        <v>17</v>
      </c>
      <c r="G40" s="3" t="s">
        <v>18</v>
      </c>
      <c r="H40" s="3" t="s">
        <v>30</v>
      </c>
      <c r="I40" s="3" t="s">
        <v>21</v>
      </c>
      <c r="J40" s="3"/>
    </row>
    <row r="41" ht="15.75" customHeight="1">
      <c r="A41" s="3" t="s">
        <v>170</v>
      </c>
      <c r="B41" s="3" t="s">
        <v>179</v>
      </c>
      <c r="C41" s="3" t="s">
        <v>157</v>
      </c>
      <c r="D41" s="3" t="s">
        <v>27</v>
      </c>
      <c r="E41" s="3">
        <v>48.0</v>
      </c>
      <c r="F41" s="3" t="s">
        <v>17</v>
      </c>
      <c r="G41" s="3" t="s">
        <v>18</v>
      </c>
      <c r="H41" s="3" t="s">
        <v>45</v>
      </c>
      <c r="I41" s="3" t="s">
        <v>64</v>
      </c>
      <c r="J41" s="3"/>
    </row>
    <row r="42" ht="15.75" customHeight="1">
      <c r="A42" s="3" t="s">
        <v>180</v>
      </c>
      <c r="B42" s="3" t="s">
        <v>181</v>
      </c>
      <c r="C42" s="3" t="s">
        <v>182</v>
      </c>
      <c r="D42" s="3" t="s">
        <v>27</v>
      </c>
      <c r="E42" s="3">
        <v>53.0</v>
      </c>
      <c r="F42" s="3" t="s">
        <v>17</v>
      </c>
      <c r="G42" s="3" t="s">
        <v>18</v>
      </c>
      <c r="H42" s="3" t="s">
        <v>45</v>
      </c>
      <c r="I42" s="3" t="s">
        <v>32</v>
      </c>
      <c r="J42" s="7" t="s">
        <v>37</v>
      </c>
    </row>
    <row r="43" ht="15.75" customHeight="1">
      <c r="A43" s="3" t="s">
        <v>183</v>
      </c>
      <c r="B43" s="3" t="s">
        <v>184</v>
      </c>
      <c r="C43" s="3" t="s">
        <v>185</v>
      </c>
      <c r="D43" s="3" t="s">
        <v>43</v>
      </c>
      <c r="E43" s="3">
        <v>13.0</v>
      </c>
      <c r="F43" s="3" t="s">
        <v>17</v>
      </c>
      <c r="G43" s="3" t="s">
        <v>18</v>
      </c>
      <c r="H43" s="3" t="s">
        <v>111</v>
      </c>
      <c r="I43" s="3" t="s">
        <v>32</v>
      </c>
      <c r="J43" s="7" t="s">
        <v>37</v>
      </c>
    </row>
    <row r="44" ht="15.75" customHeight="1">
      <c r="A44" s="3" t="s">
        <v>183</v>
      </c>
      <c r="B44" s="3" t="s">
        <v>188</v>
      </c>
      <c r="C44" s="3" t="s">
        <v>189</v>
      </c>
      <c r="D44" s="3" t="s">
        <v>16</v>
      </c>
      <c r="E44" s="3">
        <v>11.0</v>
      </c>
      <c r="F44" s="3" t="s">
        <v>17</v>
      </c>
      <c r="G44" s="3" t="s">
        <v>18</v>
      </c>
      <c r="H44" s="3" t="s">
        <v>192</v>
      </c>
      <c r="I44" s="3" t="s">
        <v>64</v>
      </c>
      <c r="J44" s="3"/>
    </row>
    <row r="45" ht="15.75" customHeight="1">
      <c r="A45" s="3" t="s">
        <v>183</v>
      </c>
      <c r="B45" s="3" t="s">
        <v>194</v>
      </c>
      <c r="C45" s="3" t="s">
        <v>195</v>
      </c>
      <c r="D45" s="3" t="s">
        <v>16</v>
      </c>
      <c r="E45" s="3">
        <v>12.0</v>
      </c>
      <c r="F45" s="3" t="s">
        <v>17</v>
      </c>
      <c r="G45" s="3" t="s">
        <v>18</v>
      </c>
      <c r="H45" s="3" t="s">
        <v>198</v>
      </c>
      <c r="I45" s="3" t="s">
        <v>32</v>
      </c>
      <c r="J45" s="7" t="s">
        <v>33</v>
      </c>
    </row>
    <row r="46" ht="15.75" customHeight="1">
      <c r="A46" s="3" t="s">
        <v>183</v>
      </c>
      <c r="B46" s="3" t="s">
        <v>200</v>
      </c>
      <c r="C46" s="3" t="s">
        <v>195</v>
      </c>
      <c r="D46" s="3" t="s">
        <v>16</v>
      </c>
      <c r="E46" s="3">
        <v>11.0</v>
      </c>
      <c r="F46" s="3" t="s">
        <v>17</v>
      </c>
      <c r="G46" s="3" t="s">
        <v>18</v>
      </c>
      <c r="H46" s="3" t="s">
        <v>49</v>
      </c>
      <c r="I46" s="3" t="s">
        <v>32</v>
      </c>
      <c r="J46" s="7" t="s">
        <v>90</v>
      </c>
    </row>
    <row r="47" ht="15.75" customHeight="1">
      <c r="A47" s="3" t="s">
        <v>204</v>
      </c>
      <c r="B47" s="3" t="s">
        <v>205</v>
      </c>
      <c r="C47" s="3" t="s">
        <v>206</v>
      </c>
      <c r="D47" s="3" t="s">
        <v>16</v>
      </c>
      <c r="E47" s="3">
        <v>10.0</v>
      </c>
      <c r="F47" s="3" t="s">
        <v>17</v>
      </c>
      <c r="G47" s="3" t="s">
        <v>18</v>
      </c>
      <c r="H47" s="3" t="s">
        <v>30</v>
      </c>
      <c r="I47" s="3" t="s">
        <v>32</v>
      </c>
      <c r="J47" s="7" t="s">
        <v>37</v>
      </c>
    </row>
    <row r="48" ht="15.75" customHeight="1">
      <c r="A48" s="3" t="s">
        <v>204</v>
      </c>
      <c r="B48" s="3" t="s">
        <v>207</v>
      </c>
      <c r="C48" s="3" t="s">
        <v>208</v>
      </c>
      <c r="D48" s="3" t="s">
        <v>27</v>
      </c>
      <c r="E48" s="3">
        <v>24.0</v>
      </c>
      <c r="F48" s="3" t="s">
        <v>17</v>
      </c>
      <c r="G48" s="3" t="s">
        <v>70</v>
      </c>
      <c r="H48" s="3" t="s">
        <v>87</v>
      </c>
      <c r="I48" s="3" t="s">
        <v>32</v>
      </c>
      <c r="J48" s="7" t="s">
        <v>38</v>
      </c>
    </row>
    <row r="49" ht="15.75" customHeight="1">
      <c r="A49" s="3" t="s">
        <v>204</v>
      </c>
      <c r="B49" s="3" t="s">
        <v>210</v>
      </c>
      <c r="C49" s="3" t="s">
        <v>212</v>
      </c>
      <c r="D49" s="3" t="s">
        <v>43</v>
      </c>
      <c r="E49" s="3">
        <v>12.0</v>
      </c>
      <c r="F49" s="3" t="s">
        <v>17</v>
      </c>
      <c r="G49" s="3" t="s">
        <v>31</v>
      </c>
      <c r="H49" s="3" t="s">
        <v>213</v>
      </c>
      <c r="I49" s="3" t="s">
        <v>32</v>
      </c>
      <c r="J49" s="7" t="s">
        <v>33</v>
      </c>
    </row>
    <row r="50" ht="15.75" customHeight="1">
      <c r="A50" s="3" t="s">
        <v>204</v>
      </c>
      <c r="B50" s="3" t="s">
        <v>215</v>
      </c>
      <c r="C50" s="3" t="s">
        <v>217</v>
      </c>
      <c r="D50" s="3" t="s">
        <v>27</v>
      </c>
      <c r="E50" s="3">
        <v>32.0</v>
      </c>
      <c r="F50" s="3" t="s">
        <v>17</v>
      </c>
      <c r="G50" s="3" t="s">
        <v>70</v>
      </c>
      <c r="H50" s="3" t="s">
        <v>87</v>
      </c>
      <c r="I50" s="3" t="s">
        <v>32</v>
      </c>
      <c r="J50" s="7" t="s">
        <v>37</v>
      </c>
    </row>
    <row r="51" ht="15.75" customHeight="1">
      <c r="A51" s="3" t="s">
        <v>220</v>
      </c>
      <c r="B51" s="3" t="s">
        <v>221</v>
      </c>
      <c r="C51" s="3" t="s">
        <v>222</v>
      </c>
      <c r="D51" s="3" t="s">
        <v>27</v>
      </c>
      <c r="E51" s="3">
        <v>30.0</v>
      </c>
      <c r="F51" s="3" t="s">
        <v>17</v>
      </c>
      <c r="G51" s="3" t="s">
        <v>18</v>
      </c>
      <c r="H51" s="3" t="s">
        <v>71</v>
      </c>
      <c r="I51" s="3" t="s">
        <v>21</v>
      </c>
      <c r="J51" s="3"/>
    </row>
    <row r="52" ht="15.75" customHeight="1">
      <c r="A52" s="3" t="s">
        <v>220</v>
      </c>
      <c r="B52" s="3" t="s">
        <v>225</v>
      </c>
      <c r="C52" s="3" t="s">
        <v>227</v>
      </c>
      <c r="D52" s="3" t="s">
        <v>27</v>
      </c>
      <c r="E52" s="3">
        <v>38.0</v>
      </c>
      <c r="F52" s="3" t="s">
        <v>17</v>
      </c>
      <c r="G52" s="3" t="s">
        <v>18</v>
      </c>
      <c r="H52" s="3" t="s">
        <v>71</v>
      </c>
      <c r="I52" s="3" t="s">
        <v>32</v>
      </c>
      <c r="J52" s="7" t="s">
        <v>125</v>
      </c>
    </row>
    <row r="53" ht="15.75" customHeight="1">
      <c r="A53" s="3" t="s">
        <v>220</v>
      </c>
      <c r="B53" s="3" t="s">
        <v>230</v>
      </c>
      <c r="C53" s="3" t="s">
        <v>231</v>
      </c>
      <c r="D53" s="3" t="s">
        <v>43</v>
      </c>
      <c r="E53" s="3">
        <v>13.0</v>
      </c>
      <c r="F53" s="3" t="s">
        <v>17</v>
      </c>
      <c r="G53" s="3" t="s">
        <v>18</v>
      </c>
      <c r="H53" s="3" t="s">
        <v>44</v>
      </c>
      <c r="I53" s="3" t="s">
        <v>21</v>
      </c>
      <c r="J53" s="3"/>
    </row>
    <row r="54" ht="15.75" customHeight="1">
      <c r="A54" s="3" t="s">
        <v>235</v>
      </c>
      <c r="B54" s="3" t="s">
        <v>236</v>
      </c>
      <c r="C54" s="3" t="s">
        <v>237</v>
      </c>
      <c r="D54" s="3" t="s">
        <v>27</v>
      </c>
      <c r="E54" s="3">
        <v>39.0</v>
      </c>
      <c r="F54" s="3" t="s">
        <v>17</v>
      </c>
      <c r="G54" s="3" t="s">
        <v>18</v>
      </c>
      <c r="H54" s="3" t="s">
        <v>45</v>
      </c>
      <c r="I54" s="3" t="s">
        <v>64</v>
      </c>
      <c r="J54" s="3"/>
    </row>
    <row r="55" ht="15.75" customHeight="1">
      <c r="A55" s="3" t="s">
        <v>235</v>
      </c>
      <c r="B55" s="3" t="s">
        <v>239</v>
      </c>
      <c r="C55" s="3" t="s">
        <v>240</v>
      </c>
      <c r="D55" s="3" t="s">
        <v>27</v>
      </c>
      <c r="E55" s="3">
        <v>40.0</v>
      </c>
      <c r="F55" s="3" t="s">
        <v>17</v>
      </c>
      <c r="G55" s="3" t="s">
        <v>18</v>
      </c>
      <c r="H55" s="3" t="s">
        <v>45</v>
      </c>
      <c r="I55" s="3" t="s">
        <v>32</v>
      </c>
      <c r="J55" s="7" t="s">
        <v>37</v>
      </c>
    </row>
    <row r="56" ht="15.75" customHeight="1">
      <c r="A56" s="3" t="s">
        <v>235</v>
      </c>
      <c r="B56" s="3" t="s">
        <v>250</v>
      </c>
      <c r="C56" s="3" t="s">
        <v>131</v>
      </c>
      <c r="D56" s="3" t="s">
        <v>27</v>
      </c>
      <c r="E56" s="3">
        <v>18.0</v>
      </c>
      <c r="F56" s="3" t="s">
        <v>17</v>
      </c>
      <c r="G56" s="3" t="s">
        <v>18</v>
      </c>
      <c r="H56" s="3" t="s">
        <v>45</v>
      </c>
      <c r="I56" s="3" t="s">
        <v>21</v>
      </c>
      <c r="J56" s="3"/>
    </row>
    <row r="57" ht="15.75" customHeight="1">
      <c r="A57" s="3" t="s">
        <v>252</v>
      </c>
      <c r="B57" s="3" t="s">
        <v>253</v>
      </c>
      <c r="C57" s="3" t="s">
        <v>254</v>
      </c>
      <c r="D57" s="3" t="s">
        <v>27</v>
      </c>
      <c r="E57" s="3">
        <v>18.0</v>
      </c>
      <c r="F57" s="3" t="s">
        <v>17</v>
      </c>
      <c r="G57" s="3" t="s">
        <v>70</v>
      </c>
      <c r="H57" s="3" t="s">
        <v>49</v>
      </c>
      <c r="I57" s="3" t="s">
        <v>21</v>
      </c>
      <c r="J57" s="3"/>
    </row>
    <row r="58" ht="15.75" customHeight="1">
      <c r="A58" s="3" t="s">
        <v>252</v>
      </c>
      <c r="B58" s="3" t="s">
        <v>258</v>
      </c>
      <c r="C58" s="3" t="s">
        <v>259</v>
      </c>
      <c r="D58" s="3" t="s">
        <v>43</v>
      </c>
      <c r="E58" s="3">
        <v>17.0</v>
      </c>
      <c r="F58" s="3" t="s">
        <v>17</v>
      </c>
      <c r="G58" s="3" t="s">
        <v>70</v>
      </c>
      <c r="H58" s="3" t="s">
        <v>49</v>
      </c>
      <c r="I58" s="3" t="s">
        <v>21</v>
      </c>
      <c r="J58" s="3"/>
    </row>
    <row r="59" ht="15.75" customHeight="1">
      <c r="A59" s="3" t="s">
        <v>252</v>
      </c>
      <c r="B59" s="3" t="s">
        <v>262</v>
      </c>
      <c r="C59" s="3" t="s">
        <v>259</v>
      </c>
      <c r="D59" s="3" t="s">
        <v>27</v>
      </c>
      <c r="E59" s="3">
        <v>23.0</v>
      </c>
      <c r="F59" s="3" t="s">
        <v>17</v>
      </c>
      <c r="G59" s="3" t="s">
        <v>70</v>
      </c>
      <c r="H59" s="3" t="s">
        <v>49</v>
      </c>
      <c r="I59" s="3" t="s">
        <v>32</v>
      </c>
      <c r="J59" s="7" t="s">
        <v>100</v>
      </c>
    </row>
    <row r="60" ht="15.75" customHeight="1">
      <c r="A60" s="3" t="s">
        <v>252</v>
      </c>
      <c r="B60" s="3" t="s">
        <v>265</v>
      </c>
      <c r="C60" s="3" t="s">
        <v>266</v>
      </c>
      <c r="D60" s="3" t="s">
        <v>43</v>
      </c>
      <c r="E60" s="3">
        <v>13.0</v>
      </c>
      <c r="F60" s="3" t="s">
        <v>17</v>
      </c>
      <c r="G60" s="3" t="s">
        <v>70</v>
      </c>
      <c r="H60" s="3" t="s">
        <v>111</v>
      </c>
      <c r="I60" s="3" t="s">
        <v>32</v>
      </c>
      <c r="J60" s="7" t="s">
        <v>38</v>
      </c>
    </row>
    <row r="61" ht="15.75" customHeight="1">
      <c r="A61" s="3" t="s">
        <v>269</v>
      </c>
      <c r="B61" s="3" t="s">
        <v>270</v>
      </c>
      <c r="C61" s="3" t="s">
        <v>271</v>
      </c>
      <c r="D61" s="3" t="s">
        <v>59</v>
      </c>
      <c r="E61" s="3">
        <v>5.0</v>
      </c>
      <c r="F61" s="3" t="s">
        <v>17</v>
      </c>
      <c r="G61" s="3" t="s">
        <v>18</v>
      </c>
      <c r="H61" s="3" t="s">
        <v>49</v>
      </c>
      <c r="I61" s="3" t="s">
        <v>32</v>
      </c>
      <c r="J61" s="7" t="s">
        <v>33</v>
      </c>
    </row>
    <row r="62" ht="15.75" customHeight="1">
      <c r="A62" s="3" t="s">
        <v>269</v>
      </c>
      <c r="B62" s="3" t="s">
        <v>273</v>
      </c>
      <c r="C62" s="3" t="s">
        <v>274</v>
      </c>
      <c r="D62" s="3" t="s">
        <v>27</v>
      </c>
      <c r="E62" s="3">
        <v>33.0</v>
      </c>
      <c r="F62" s="3" t="s">
        <v>17</v>
      </c>
      <c r="G62" s="3" t="s">
        <v>18</v>
      </c>
      <c r="H62" s="3" t="s">
        <v>275</v>
      </c>
      <c r="I62" s="3" t="s">
        <v>32</v>
      </c>
      <c r="J62" s="7" t="s">
        <v>37</v>
      </c>
    </row>
    <row r="63" ht="15.75" customHeight="1">
      <c r="A63" s="3" t="s">
        <v>269</v>
      </c>
      <c r="B63" s="3" t="s">
        <v>277</v>
      </c>
      <c r="C63" s="3" t="s">
        <v>278</v>
      </c>
      <c r="D63" s="3" t="s">
        <v>16</v>
      </c>
      <c r="E63" s="3">
        <v>9.0</v>
      </c>
      <c r="F63" s="3" t="s">
        <v>17</v>
      </c>
      <c r="G63" s="3" t="s">
        <v>31</v>
      </c>
      <c r="H63" s="3" t="s">
        <v>44</v>
      </c>
      <c r="I63" s="3" t="s">
        <v>32</v>
      </c>
      <c r="J63" s="7" t="s">
        <v>125</v>
      </c>
    </row>
    <row r="64" ht="15.75" customHeight="1">
      <c r="A64" s="3" t="s">
        <v>269</v>
      </c>
      <c r="B64" s="3" t="s">
        <v>281</v>
      </c>
      <c r="C64" s="3" t="s">
        <v>282</v>
      </c>
      <c r="D64" s="3" t="s">
        <v>27</v>
      </c>
      <c r="E64" s="3">
        <v>22.0</v>
      </c>
      <c r="F64" s="3" t="s">
        <v>17</v>
      </c>
      <c r="G64" s="3" t="s">
        <v>70</v>
      </c>
      <c r="H64" s="3" t="s">
        <v>19</v>
      </c>
      <c r="I64" s="3" t="s">
        <v>64</v>
      </c>
      <c r="J64" s="3"/>
    </row>
    <row r="65" ht="15.75" customHeight="1">
      <c r="A65" s="3" t="s">
        <v>269</v>
      </c>
      <c r="B65" s="3" t="s">
        <v>284</v>
      </c>
      <c r="D65" s="3" t="s">
        <v>43</v>
      </c>
      <c r="E65" s="3">
        <v>14.0</v>
      </c>
      <c r="F65" s="3" t="s">
        <v>17</v>
      </c>
      <c r="G65" s="3" t="s">
        <v>18</v>
      </c>
      <c r="H65" s="3" t="s">
        <v>287</v>
      </c>
      <c r="I65" s="3" t="s">
        <v>21</v>
      </c>
      <c r="J65" s="3"/>
    </row>
    <row r="66" ht="15.75" customHeight="1">
      <c r="A66" s="3" t="s">
        <v>269</v>
      </c>
      <c r="B66" s="3" t="s">
        <v>289</v>
      </c>
      <c r="C66" s="3" t="s">
        <v>290</v>
      </c>
      <c r="D66" s="3" t="s">
        <v>43</v>
      </c>
      <c r="E66" s="3">
        <v>15.0</v>
      </c>
      <c r="F66" s="3" t="s">
        <v>17</v>
      </c>
      <c r="G66" s="3" t="s">
        <v>18</v>
      </c>
      <c r="H66" s="3" t="s">
        <v>287</v>
      </c>
      <c r="I66" s="3" t="s">
        <v>64</v>
      </c>
      <c r="J66" s="3"/>
    </row>
    <row r="67" ht="15.75" customHeight="1">
      <c r="A67" s="3" t="s">
        <v>292</v>
      </c>
      <c r="B67" s="3" t="s">
        <v>294</v>
      </c>
      <c r="C67" s="3" t="s">
        <v>296</v>
      </c>
      <c r="D67" s="3" t="s">
        <v>27</v>
      </c>
      <c r="E67" s="3">
        <v>59.0</v>
      </c>
      <c r="F67" s="3" t="s">
        <v>17</v>
      </c>
      <c r="G67" s="3" t="s">
        <v>18</v>
      </c>
      <c r="H67" s="3" t="s">
        <v>49</v>
      </c>
      <c r="I67" s="3" t="s">
        <v>21</v>
      </c>
      <c r="J67" s="3"/>
    </row>
    <row r="68" ht="15.75" customHeight="1">
      <c r="A68" s="3" t="s">
        <v>292</v>
      </c>
      <c r="B68" s="3" t="s">
        <v>160</v>
      </c>
      <c r="C68" s="3" t="s">
        <v>162</v>
      </c>
      <c r="D68" s="3" t="s">
        <v>16</v>
      </c>
      <c r="E68" s="3">
        <v>11.0</v>
      </c>
      <c r="F68" s="3" t="s">
        <v>132</v>
      </c>
      <c r="G68" s="3" t="s">
        <v>18</v>
      </c>
      <c r="H68" s="3" t="s">
        <v>30</v>
      </c>
      <c r="I68" s="3" t="s">
        <v>21</v>
      </c>
      <c r="J68" s="3"/>
    </row>
    <row r="69" ht="15.75" customHeight="1">
      <c r="A69" s="3" t="s">
        <v>292</v>
      </c>
      <c r="B69" s="3" t="s">
        <v>165</v>
      </c>
      <c r="C69" s="3" t="s">
        <v>162</v>
      </c>
      <c r="D69" s="3" t="s">
        <v>43</v>
      </c>
      <c r="E69" s="3">
        <v>14.0</v>
      </c>
      <c r="F69" s="3" t="s">
        <v>132</v>
      </c>
      <c r="G69" s="3" t="s">
        <v>18</v>
      </c>
      <c r="H69" s="3" t="s">
        <v>30</v>
      </c>
      <c r="I69" s="3" t="s">
        <v>21</v>
      </c>
      <c r="J69" s="3"/>
    </row>
    <row r="70" ht="15.75" customHeight="1">
      <c r="A70" s="3" t="s">
        <v>292</v>
      </c>
      <c r="B70" s="3" t="s">
        <v>172</v>
      </c>
      <c r="C70" s="3" t="s">
        <v>174</v>
      </c>
      <c r="D70" s="3" t="s">
        <v>27</v>
      </c>
      <c r="E70" s="3">
        <v>23.0</v>
      </c>
      <c r="F70" s="3" t="s">
        <v>132</v>
      </c>
      <c r="G70" s="3" t="s">
        <v>18</v>
      </c>
      <c r="H70" s="3" t="s">
        <v>30</v>
      </c>
      <c r="I70" s="3" t="s">
        <v>64</v>
      </c>
      <c r="J70" s="3"/>
    </row>
    <row r="71" ht="15.75" customHeight="1">
      <c r="A71" s="3" t="s">
        <v>292</v>
      </c>
      <c r="B71" s="3" t="s">
        <v>303</v>
      </c>
      <c r="C71" s="3" t="s">
        <v>304</v>
      </c>
      <c r="D71" s="3" t="s">
        <v>16</v>
      </c>
      <c r="E71" s="3">
        <v>9.0</v>
      </c>
      <c r="F71" s="3" t="s">
        <v>132</v>
      </c>
      <c r="G71" s="3" t="s">
        <v>18</v>
      </c>
      <c r="H71" s="3" t="s">
        <v>30</v>
      </c>
      <c r="I71" s="3" t="s">
        <v>21</v>
      </c>
      <c r="J71" s="3"/>
    </row>
    <row r="72" ht="15.75" customHeight="1">
      <c r="A72" s="3" t="s">
        <v>305</v>
      </c>
      <c r="B72" s="3" t="s">
        <v>306</v>
      </c>
      <c r="C72" s="3" t="s">
        <v>307</v>
      </c>
      <c r="D72" s="3" t="s">
        <v>16</v>
      </c>
      <c r="E72" s="3">
        <v>10.0</v>
      </c>
      <c r="F72" s="3" t="s">
        <v>17</v>
      </c>
      <c r="G72" s="3" t="s">
        <v>18</v>
      </c>
      <c r="H72" s="3" t="s">
        <v>44</v>
      </c>
      <c r="I72" s="3" t="s">
        <v>32</v>
      </c>
      <c r="J72" s="7" t="s">
        <v>125</v>
      </c>
    </row>
    <row r="73" ht="15.75" customHeight="1">
      <c r="A73" s="3" t="s">
        <v>305</v>
      </c>
      <c r="B73" s="3" t="s">
        <v>308</v>
      </c>
      <c r="C73" s="3" t="s">
        <v>309</v>
      </c>
      <c r="D73" s="3" t="s">
        <v>16</v>
      </c>
      <c r="E73" s="3">
        <v>11.0</v>
      </c>
      <c r="F73" s="3" t="s">
        <v>17</v>
      </c>
      <c r="G73" s="3" t="s">
        <v>70</v>
      </c>
      <c r="H73" s="3" t="s">
        <v>44</v>
      </c>
      <c r="I73" s="3" t="s">
        <v>64</v>
      </c>
      <c r="J73" s="3"/>
    </row>
    <row r="74" ht="15.75" customHeight="1">
      <c r="A74" s="3" t="s">
        <v>305</v>
      </c>
      <c r="B74" s="3" t="s">
        <v>310</v>
      </c>
      <c r="C74" s="3" t="s">
        <v>311</v>
      </c>
      <c r="D74" s="3" t="s">
        <v>16</v>
      </c>
      <c r="E74" s="3">
        <v>10.0</v>
      </c>
      <c r="F74" s="3" t="s">
        <v>17</v>
      </c>
      <c r="G74" s="3" t="s">
        <v>18</v>
      </c>
      <c r="H74" s="3" t="s">
        <v>19</v>
      </c>
      <c r="I74" s="3" t="s">
        <v>32</v>
      </c>
      <c r="J74" s="7" t="s">
        <v>33</v>
      </c>
    </row>
    <row r="75" ht="15.75" customHeight="1">
      <c r="A75" s="3" t="s">
        <v>312</v>
      </c>
      <c r="B75" s="3" t="s">
        <v>313</v>
      </c>
      <c r="C75" s="3" t="s">
        <v>314</v>
      </c>
      <c r="D75" s="3" t="s">
        <v>27</v>
      </c>
      <c r="E75" s="3">
        <v>25.0</v>
      </c>
      <c r="F75" s="3" t="s">
        <v>17</v>
      </c>
      <c r="G75" s="3" t="s">
        <v>18</v>
      </c>
      <c r="H75" s="3" t="s">
        <v>49</v>
      </c>
      <c r="I75" s="3" t="s">
        <v>32</v>
      </c>
      <c r="J75" s="7" t="s">
        <v>125</v>
      </c>
    </row>
    <row r="76" ht="15.75" customHeight="1">
      <c r="A76" s="3" t="s">
        <v>312</v>
      </c>
      <c r="B76" s="3" t="s">
        <v>315</v>
      </c>
      <c r="C76" s="3" t="s">
        <v>131</v>
      </c>
      <c r="D76" s="3" t="s">
        <v>27</v>
      </c>
      <c r="E76" s="3">
        <v>55.0</v>
      </c>
      <c r="F76" s="3" t="s">
        <v>17</v>
      </c>
      <c r="G76" s="3" t="s">
        <v>104</v>
      </c>
      <c r="H76" s="3" t="s">
        <v>49</v>
      </c>
      <c r="I76" s="3" t="s">
        <v>21</v>
      </c>
      <c r="J76" s="3"/>
      <c r="K76" s="3" t="s">
        <v>316</v>
      </c>
    </row>
    <row r="77" ht="15.75" customHeight="1">
      <c r="A77" s="3" t="s">
        <v>312</v>
      </c>
      <c r="B77" s="3" t="s">
        <v>140</v>
      </c>
      <c r="C77" s="3" t="s">
        <v>131</v>
      </c>
      <c r="D77" s="3" t="s">
        <v>43</v>
      </c>
      <c r="E77" s="3">
        <v>15.0</v>
      </c>
      <c r="F77" s="3" t="s">
        <v>17</v>
      </c>
      <c r="G77" s="3" t="s">
        <v>104</v>
      </c>
      <c r="H77" s="3" t="s">
        <v>49</v>
      </c>
      <c r="I77" s="3" t="s">
        <v>21</v>
      </c>
      <c r="J77" s="3"/>
      <c r="K77" s="3" t="s">
        <v>316</v>
      </c>
    </row>
    <row r="78" ht="15.75" customHeight="1">
      <c r="A78" s="3" t="s">
        <v>312</v>
      </c>
      <c r="B78" s="3" t="s">
        <v>317</v>
      </c>
      <c r="C78" s="3" t="s">
        <v>318</v>
      </c>
      <c r="D78" s="3" t="s">
        <v>43</v>
      </c>
      <c r="E78" s="3">
        <v>17.0</v>
      </c>
      <c r="F78" s="3" t="s">
        <v>17</v>
      </c>
      <c r="G78" s="3" t="s">
        <v>18</v>
      </c>
      <c r="H78" s="3" t="s">
        <v>111</v>
      </c>
      <c r="I78" s="3" t="s">
        <v>32</v>
      </c>
      <c r="J78" s="7" t="s">
        <v>38</v>
      </c>
    </row>
    <row r="79" ht="15.75" customHeight="1">
      <c r="A79" s="3" t="s">
        <v>319</v>
      </c>
      <c r="B79" s="3" t="s">
        <v>320</v>
      </c>
      <c r="D79" s="3" t="s">
        <v>16</v>
      </c>
      <c r="E79" s="3">
        <v>8.0</v>
      </c>
      <c r="F79" s="3" t="s">
        <v>17</v>
      </c>
      <c r="G79" s="3" t="s">
        <v>110</v>
      </c>
      <c r="H79" s="3" t="s">
        <v>30</v>
      </c>
      <c r="I79" s="3" t="s">
        <v>21</v>
      </c>
      <c r="J79" s="3"/>
      <c r="K79" s="3" t="s">
        <v>321</v>
      </c>
    </row>
    <row r="80" ht="15.75" customHeight="1">
      <c r="A80" s="3" t="s">
        <v>319</v>
      </c>
      <c r="B80" s="3" t="s">
        <v>322</v>
      </c>
      <c r="C80" s="3" t="s">
        <v>323</v>
      </c>
      <c r="D80" s="3" t="s">
        <v>59</v>
      </c>
      <c r="E80" s="3">
        <v>5.0</v>
      </c>
      <c r="F80" s="3" t="s">
        <v>17</v>
      </c>
      <c r="G80" s="3" t="s">
        <v>18</v>
      </c>
      <c r="H80" s="3" t="s">
        <v>44</v>
      </c>
      <c r="I80" s="3" t="s">
        <v>21</v>
      </c>
      <c r="J80" s="3"/>
    </row>
    <row r="81" ht="15.75" customHeight="1">
      <c r="A81" s="3" t="s">
        <v>319</v>
      </c>
      <c r="B81" s="3" t="s">
        <v>324</v>
      </c>
      <c r="C81" s="3" t="s">
        <v>325</v>
      </c>
      <c r="D81" s="3" t="s">
        <v>27</v>
      </c>
      <c r="E81" s="3">
        <v>19.0</v>
      </c>
      <c r="F81" s="3" t="s">
        <v>17</v>
      </c>
      <c r="G81" s="3" t="s">
        <v>18</v>
      </c>
      <c r="H81" s="3" t="s">
        <v>44</v>
      </c>
      <c r="I81" s="3" t="s">
        <v>64</v>
      </c>
      <c r="J81" s="3"/>
    </row>
    <row r="82" ht="15.75" customHeight="1">
      <c r="A82" s="3" t="s">
        <v>319</v>
      </c>
      <c r="B82" s="3" t="s">
        <v>326</v>
      </c>
      <c r="C82" s="3" t="s">
        <v>327</v>
      </c>
      <c r="D82" s="3" t="s">
        <v>27</v>
      </c>
      <c r="E82" s="3">
        <v>18.0</v>
      </c>
      <c r="F82" s="3" t="s">
        <v>17</v>
      </c>
      <c r="G82" s="3" t="s">
        <v>18</v>
      </c>
      <c r="H82" s="3" t="s">
        <v>44</v>
      </c>
      <c r="I82" s="3" t="s">
        <v>32</v>
      </c>
      <c r="J82" s="7" t="s">
        <v>125</v>
      </c>
    </row>
    <row r="83" ht="15.75" customHeight="1">
      <c r="A83" s="3" t="s">
        <v>328</v>
      </c>
      <c r="B83" s="3" t="s">
        <v>83</v>
      </c>
      <c r="C83" s="3" t="s">
        <v>84</v>
      </c>
      <c r="D83" s="3" t="s">
        <v>27</v>
      </c>
      <c r="E83" s="3">
        <v>35.0</v>
      </c>
      <c r="F83" s="3" t="s">
        <v>17</v>
      </c>
      <c r="G83" s="3" t="s">
        <v>18</v>
      </c>
      <c r="H83" s="3" t="s">
        <v>71</v>
      </c>
      <c r="I83" s="3" t="s">
        <v>329</v>
      </c>
      <c r="J83" s="3"/>
      <c r="K83" s="3" t="s">
        <v>330</v>
      </c>
    </row>
    <row r="84" ht="15.75" customHeight="1">
      <c r="A84" s="3" t="s">
        <v>328</v>
      </c>
      <c r="B84" s="3" t="s">
        <v>303</v>
      </c>
      <c r="C84" s="3" t="s">
        <v>274</v>
      </c>
      <c r="D84" s="3" t="s">
        <v>16</v>
      </c>
      <c r="E84" s="3">
        <v>9.0</v>
      </c>
      <c r="F84" s="3" t="s">
        <v>17</v>
      </c>
      <c r="G84" s="3" t="s">
        <v>18</v>
      </c>
      <c r="H84" s="3" t="s">
        <v>19</v>
      </c>
      <c r="I84" s="3" t="s">
        <v>64</v>
      </c>
      <c r="J84" s="3"/>
    </row>
    <row r="85" ht="15.75" customHeight="1">
      <c r="A85" s="3" t="s">
        <v>328</v>
      </c>
      <c r="B85" s="3" t="s">
        <v>331</v>
      </c>
      <c r="C85" s="3" t="s">
        <v>332</v>
      </c>
      <c r="D85" s="3" t="s">
        <v>27</v>
      </c>
      <c r="E85" s="3">
        <v>60.0</v>
      </c>
      <c r="F85" s="3" t="s">
        <v>17</v>
      </c>
      <c r="G85" s="3" t="s">
        <v>18</v>
      </c>
      <c r="H85" s="3" t="s">
        <v>333</v>
      </c>
      <c r="I85" s="3" t="s">
        <v>21</v>
      </c>
      <c r="J85" s="7"/>
    </row>
    <row r="86" ht="15.75" customHeight="1">
      <c r="A86" s="3" t="s">
        <v>328</v>
      </c>
      <c r="B86" s="3" t="s">
        <v>334</v>
      </c>
      <c r="C86" s="3" t="s">
        <v>335</v>
      </c>
      <c r="D86" s="3" t="s">
        <v>27</v>
      </c>
      <c r="E86" s="3">
        <v>18.0</v>
      </c>
      <c r="F86" s="3" t="s">
        <v>17</v>
      </c>
      <c r="G86" s="3" t="s">
        <v>18</v>
      </c>
      <c r="H86" s="3" t="s">
        <v>71</v>
      </c>
      <c r="I86" s="3" t="s">
        <v>64</v>
      </c>
      <c r="J86" s="3"/>
    </row>
    <row r="87" ht="15.75" customHeight="1">
      <c r="I87" s="3"/>
      <c r="J87" s="3"/>
    </row>
    <row r="88" ht="15.75" customHeight="1">
      <c r="I88" s="3"/>
      <c r="J88" s="3"/>
    </row>
    <row r="89" ht="15.75" customHeight="1">
      <c r="I89" s="3"/>
      <c r="J89" s="3"/>
    </row>
    <row r="90" ht="15.75" customHeight="1">
      <c r="I90" s="3"/>
      <c r="J90" s="3"/>
    </row>
    <row r="91" ht="15.75" customHeight="1">
      <c r="I91" s="3"/>
      <c r="J91" s="3"/>
    </row>
    <row r="92" ht="15.75" customHeight="1">
      <c r="I92" s="3"/>
      <c r="J92" s="3"/>
    </row>
    <row r="93" ht="15.75" customHeight="1">
      <c r="I93" s="3"/>
      <c r="J93" s="3"/>
    </row>
    <row r="94" ht="15.75" customHeight="1">
      <c r="I94" s="3"/>
      <c r="J94" s="3"/>
    </row>
    <row r="95" ht="15.75" customHeight="1">
      <c r="I95" s="3"/>
      <c r="J95" s="3"/>
    </row>
    <row r="96" ht="15.75" customHeight="1">
      <c r="I96" s="3"/>
      <c r="J96" s="3"/>
    </row>
    <row r="97" ht="15.75" customHeight="1">
      <c r="I97" s="3"/>
      <c r="J97" s="3"/>
    </row>
    <row r="98" ht="15.75" customHeight="1">
      <c r="I98" s="3"/>
      <c r="J98" s="3"/>
    </row>
    <row r="99" ht="15.75" customHeight="1">
      <c r="I99" s="3"/>
      <c r="J99" s="3"/>
    </row>
    <row r="100" ht="15.75" customHeight="1">
      <c r="I100" s="3"/>
      <c r="J100" s="3"/>
    </row>
    <row r="101" ht="15.75" customHeight="1">
      <c r="I101" s="3"/>
      <c r="J101" s="3"/>
    </row>
    <row r="102" ht="15.75" customHeight="1">
      <c r="I102" s="3"/>
      <c r="J102" s="3"/>
    </row>
    <row r="103" ht="15.75" customHeight="1">
      <c r="I103" s="3"/>
      <c r="J103" s="3"/>
    </row>
    <row r="104" ht="15.75" customHeight="1">
      <c r="I104" s="3"/>
      <c r="J104" s="3"/>
    </row>
    <row r="105" ht="15.75" customHeight="1">
      <c r="I105" s="3"/>
      <c r="J105" s="3"/>
    </row>
    <row r="106" ht="15.75" customHeight="1">
      <c r="I106" s="3"/>
      <c r="J106" s="3"/>
    </row>
    <row r="107" ht="15.75" customHeight="1">
      <c r="I107" s="3"/>
      <c r="J107" s="3"/>
    </row>
    <row r="108" ht="15.75" customHeight="1">
      <c r="I108" s="3"/>
      <c r="J108" s="3"/>
    </row>
    <row r="109" ht="15.75" customHeight="1">
      <c r="I109" s="3"/>
      <c r="J109" s="3"/>
    </row>
    <row r="110" ht="15.75" customHeight="1">
      <c r="I110" s="3"/>
      <c r="J110" s="3"/>
    </row>
    <row r="111" ht="15.75" customHeight="1">
      <c r="I111" s="3"/>
      <c r="J111" s="3"/>
    </row>
    <row r="112" ht="15.75" customHeight="1">
      <c r="I112" s="3"/>
      <c r="J112" s="3"/>
    </row>
    <row r="113" ht="15.75" customHeight="1">
      <c r="I113" s="3"/>
      <c r="J113" s="3"/>
    </row>
    <row r="114" ht="15.75" customHeight="1">
      <c r="I114" s="3"/>
      <c r="J114" s="3"/>
    </row>
    <row r="115" ht="15.75" customHeight="1">
      <c r="I115" s="3"/>
      <c r="J115" s="3"/>
    </row>
    <row r="116" ht="15.75" customHeight="1">
      <c r="I116" s="3"/>
      <c r="J116" s="3"/>
    </row>
    <row r="117" ht="15.75" customHeight="1">
      <c r="I117" s="3"/>
      <c r="J117" s="3"/>
    </row>
    <row r="118" ht="15.75" customHeight="1">
      <c r="I118" s="3"/>
      <c r="J118" s="3"/>
    </row>
    <row r="119" ht="15.75" customHeight="1">
      <c r="I119" s="3"/>
      <c r="J119" s="3"/>
    </row>
    <row r="120" ht="15.75" customHeight="1">
      <c r="I120" s="3"/>
      <c r="J120" s="3"/>
    </row>
    <row r="121" ht="15.75" customHeight="1">
      <c r="I121" s="3"/>
      <c r="J121" s="3"/>
    </row>
    <row r="122" ht="15.75" customHeight="1">
      <c r="I122" s="3"/>
      <c r="J122" s="3"/>
    </row>
    <row r="123" ht="15.75" customHeight="1">
      <c r="I123" s="3"/>
      <c r="J123" s="3"/>
    </row>
    <row r="124" ht="15.75" customHeight="1">
      <c r="I124" s="3"/>
      <c r="J124" s="3"/>
    </row>
    <row r="125" ht="15.75" customHeight="1">
      <c r="I125" s="3"/>
      <c r="J125" s="3"/>
    </row>
    <row r="126" ht="15.75" customHeight="1">
      <c r="I126" s="3"/>
      <c r="J126" s="3"/>
    </row>
    <row r="127" ht="15.75" customHeight="1">
      <c r="I127" s="3"/>
      <c r="J127" s="3"/>
    </row>
    <row r="128" ht="15.75" customHeight="1">
      <c r="I128" s="3"/>
      <c r="J128" s="3"/>
    </row>
    <row r="129" ht="15.75" customHeight="1">
      <c r="I129" s="3"/>
      <c r="J129" s="3"/>
    </row>
    <row r="130" ht="15.75" customHeight="1">
      <c r="I130" s="3"/>
      <c r="J130" s="3"/>
    </row>
    <row r="131" ht="15.75" customHeight="1">
      <c r="I131" s="3"/>
      <c r="J131" s="3"/>
    </row>
    <row r="132" ht="15.75" customHeight="1">
      <c r="I132" s="3"/>
      <c r="J132" s="3"/>
    </row>
    <row r="133" ht="15.75" customHeight="1">
      <c r="I133" s="3"/>
      <c r="J133" s="3"/>
    </row>
    <row r="134" ht="15.75" customHeight="1">
      <c r="I134" s="3"/>
      <c r="J134" s="3"/>
    </row>
    <row r="135" ht="15.75" customHeight="1">
      <c r="I135" s="3"/>
      <c r="J135" s="3"/>
    </row>
    <row r="136" ht="15.75" customHeight="1">
      <c r="I136" s="3"/>
      <c r="J136" s="3"/>
    </row>
    <row r="137" ht="15.75" customHeight="1">
      <c r="I137" s="3"/>
      <c r="J137" s="3"/>
    </row>
    <row r="138" ht="15.75" customHeight="1">
      <c r="I138" s="3"/>
      <c r="J138" s="3"/>
    </row>
    <row r="139" ht="15.75" customHeight="1">
      <c r="I139" s="3"/>
      <c r="J139" s="3"/>
    </row>
    <row r="140" ht="15.75" customHeight="1">
      <c r="I140" s="3"/>
      <c r="J140" s="3"/>
    </row>
    <row r="141" ht="15.75" customHeight="1">
      <c r="I141" s="3"/>
      <c r="J141" s="3"/>
    </row>
    <row r="142" ht="15.75" customHeight="1">
      <c r="I142" s="3"/>
      <c r="J142" s="3"/>
    </row>
    <row r="143" ht="15.75" customHeight="1">
      <c r="I143" s="3"/>
      <c r="J143" s="3"/>
    </row>
    <row r="144" ht="15.75" customHeight="1">
      <c r="I144" s="3"/>
      <c r="J144" s="3"/>
    </row>
    <row r="145" ht="15.75" customHeight="1">
      <c r="I145" s="3"/>
      <c r="J145" s="3"/>
    </row>
    <row r="146" ht="15.75" customHeight="1">
      <c r="I146" s="3"/>
      <c r="J146" s="3"/>
    </row>
    <row r="147" ht="15.75" customHeight="1">
      <c r="I147" s="3"/>
      <c r="J147" s="3"/>
    </row>
    <row r="148" ht="15.75" customHeight="1">
      <c r="I148" s="3"/>
      <c r="J148" s="3"/>
    </row>
    <row r="149" ht="15.75" customHeight="1">
      <c r="I149" s="3"/>
      <c r="J149" s="3"/>
    </row>
    <row r="150" ht="15.75" customHeight="1">
      <c r="I150" s="3"/>
      <c r="J150" s="3"/>
    </row>
    <row r="151" ht="15.75" customHeight="1">
      <c r="I151" s="3"/>
      <c r="J151" s="3"/>
    </row>
    <row r="152" ht="15.75" customHeight="1">
      <c r="I152" s="3"/>
      <c r="J152" s="3"/>
    </row>
    <row r="153" ht="15.75" customHeight="1">
      <c r="I153" s="3"/>
      <c r="J153" s="3"/>
    </row>
    <row r="154" ht="15.75" customHeight="1">
      <c r="I154" s="3"/>
      <c r="J154" s="3"/>
    </row>
    <row r="155" ht="15.75" customHeight="1">
      <c r="I155" s="3"/>
      <c r="J155" s="3"/>
    </row>
    <row r="156" ht="15.75" customHeight="1">
      <c r="I156" s="3"/>
      <c r="J156" s="3"/>
    </row>
    <row r="157" ht="15.75" customHeight="1">
      <c r="I157" s="3"/>
      <c r="J157" s="3"/>
    </row>
    <row r="158" ht="15.75" customHeight="1">
      <c r="I158" s="3"/>
      <c r="J158" s="3"/>
    </row>
    <row r="159" ht="15.75" customHeight="1">
      <c r="I159" s="3"/>
      <c r="J159" s="3"/>
    </row>
    <row r="160" ht="15.75" customHeight="1">
      <c r="I160" s="3"/>
      <c r="J160" s="3"/>
    </row>
    <row r="161" ht="15.75" customHeight="1">
      <c r="I161" s="3"/>
      <c r="J161" s="3"/>
    </row>
    <row r="162" ht="15.75" customHeight="1">
      <c r="I162" s="3"/>
      <c r="J162" s="3"/>
    </row>
    <row r="163" ht="15.75" customHeight="1">
      <c r="I163" s="3"/>
      <c r="J163" s="3"/>
    </row>
    <row r="164" ht="15.75" customHeight="1">
      <c r="I164" s="3"/>
      <c r="J164" s="3"/>
    </row>
    <row r="165" ht="15.75" customHeight="1">
      <c r="I165" s="3"/>
      <c r="J165" s="3"/>
    </row>
    <row r="166" ht="15.75" customHeight="1">
      <c r="I166" s="3"/>
      <c r="J166" s="3"/>
    </row>
    <row r="167" ht="15.75" customHeight="1">
      <c r="I167" s="3"/>
      <c r="J167" s="3"/>
    </row>
    <row r="168" ht="15.75" customHeight="1">
      <c r="I168" s="3"/>
      <c r="J168" s="3"/>
    </row>
    <row r="169" ht="15.75" customHeight="1">
      <c r="I169" s="3"/>
      <c r="J169" s="3"/>
    </row>
    <row r="170" ht="15.75" customHeight="1">
      <c r="I170" s="3"/>
      <c r="J170" s="3"/>
    </row>
    <row r="171" ht="15.75" customHeight="1">
      <c r="I171" s="3"/>
      <c r="J171" s="3"/>
    </row>
    <row r="172" ht="15.75" customHeight="1">
      <c r="I172" s="3"/>
      <c r="J172" s="3"/>
    </row>
    <row r="173" ht="15.75" customHeight="1">
      <c r="I173" s="3"/>
      <c r="J173" s="3"/>
    </row>
    <row r="174" ht="15.75" customHeight="1">
      <c r="I174" s="3"/>
      <c r="J174" s="3"/>
    </row>
    <row r="175" ht="15.75" customHeight="1">
      <c r="I175" s="3"/>
      <c r="J175" s="3"/>
    </row>
    <row r="176" ht="15.75" customHeight="1">
      <c r="I176" s="3"/>
      <c r="J176" s="3"/>
    </row>
    <row r="177" ht="15.75" customHeight="1">
      <c r="I177" s="3"/>
      <c r="J177" s="3"/>
    </row>
    <row r="178" ht="15.75" customHeight="1">
      <c r="I178" s="3"/>
      <c r="J178" s="3"/>
    </row>
    <row r="179" ht="15.75" customHeight="1">
      <c r="I179" s="3"/>
      <c r="J179" s="3"/>
    </row>
    <row r="180" ht="15.75" customHeight="1">
      <c r="I180" s="3"/>
      <c r="J180" s="3"/>
    </row>
    <row r="181" ht="15.75" customHeight="1">
      <c r="I181" s="3"/>
      <c r="J181" s="3"/>
    </row>
    <row r="182" ht="15.75" customHeight="1">
      <c r="I182" s="3"/>
      <c r="J182" s="3"/>
    </row>
    <row r="183" ht="15.75" customHeight="1">
      <c r="I183" s="3"/>
      <c r="J183" s="3"/>
    </row>
    <row r="184" ht="15.75" customHeight="1">
      <c r="I184" s="3"/>
      <c r="J184" s="3"/>
    </row>
    <row r="185" ht="15.75" customHeight="1">
      <c r="I185" s="3"/>
      <c r="J185" s="3"/>
    </row>
    <row r="186" ht="15.75" customHeight="1">
      <c r="I186" s="3"/>
      <c r="J186" s="3"/>
    </row>
    <row r="187" ht="15.75" customHeight="1">
      <c r="I187" s="3"/>
      <c r="J187" s="3"/>
    </row>
    <row r="188" ht="15.75" customHeight="1">
      <c r="I188" s="3"/>
      <c r="J188" s="3"/>
    </row>
    <row r="189" ht="15.75" customHeight="1">
      <c r="I189" s="3"/>
      <c r="J189" s="3"/>
    </row>
    <row r="190" ht="15.75" customHeight="1">
      <c r="I190" s="3"/>
      <c r="J190" s="3"/>
    </row>
    <row r="191" ht="15.75" customHeight="1">
      <c r="I191" s="3"/>
      <c r="J191" s="3"/>
    </row>
    <row r="192" ht="15.75" customHeight="1">
      <c r="I192" s="3"/>
      <c r="J192" s="3"/>
    </row>
    <row r="193" ht="15.75" customHeight="1">
      <c r="I193" s="3"/>
      <c r="J193" s="3"/>
    </row>
    <row r="194" ht="15.75" customHeight="1">
      <c r="I194" s="3"/>
      <c r="J194" s="3"/>
    </row>
    <row r="195" ht="15.75" customHeight="1">
      <c r="I195" s="3"/>
      <c r="J195" s="3"/>
    </row>
    <row r="196" ht="15.75" customHeight="1">
      <c r="I196" s="3"/>
      <c r="J196" s="3"/>
    </row>
    <row r="197" ht="15.75" customHeight="1">
      <c r="I197" s="3"/>
      <c r="J197" s="3"/>
    </row>
    <row r="198" ht="15.75" customHeight="1">
      <c r="I198" s="3"/>
      <c r="J198" s="3"/>
    </row>
    <row r="199" ht="15.75" customHeight="1">
      <c r="I199" s="3"/>
      <c r="J199" s="3"/>
    </row>
    <row r="200" ht="15.75" customHeight="1">
      <c r="I200" s="3"/>
      <c r="J200" s="3"/>
    </row>
    <row r="201" ht="15.75" customHeight="1">
      <c r="I201" s="3"/>
      <c r="J201" s="3"/>
    </row>
    <row r="202" ht="15.75" customHeight="1">
      <c r="I202" s="3"/>
      <c r="J202" s="3"/>
    </row>
    <row r="203" ht="15.75" customHeight="1">
      <c r="I203" s="3"/>
      <c r="J203" s="3"/>
    </row>
    <row r="204" ht="15.75" customHeight="1">
      <c r="I204" s="3"/>
      <c r="J204" s="3"/>
    </row>
    <row r="205" ht="15.75" customHeight="1">
      <c r="I205" s="3"/>
      <c r="J205" s="3"/>
    </row>
    <row r="206" ht="15.75" customHeight="1">
      <c r="I206" s="3"/>
      <c r="J206" s="3"/>
    </row>
    <row r="207" ht="15.75" customHeight="1">
      <c r="I207" s="3"/>
      <c r="J207" s="3"/>
    </row>
    <row r="208" ht="15.75" customHeight="1">
      <c r="I208" s="3"/>
      <c r="J208" s="3"/>
    </row>
    <row r="209" ht="15.75" customHeight="1">
      <c r="I209" s="3"/>
      <c r="J209" s="3"/>
    </row>
    <row r="210" ht="15.75" customHeight="1">
      <c r="I210" s="3"/>
      <c r="J210" s="3"/>
    </row>
    <row r="211" ht="15.75" customHeight="1">
      <c r="I211" s="3"/>
      <c r="J211" s="3"/>
    </row>
    <row r="212" ht="15.75" customHeight="1">
      <c r="I212" s="3"/>
      <c r="J212" s="3"/>
    </row>
    <row r="213" ht="15.75" customHeight="1">
      <c r="I213" s="3"/>
      <c r="J213" s="3"/>
    </row>
    <row r="214" ht="15.75" customHeight="1">
      <c r="I214" s="3"/>
      <c r="J214" s="3"/>
    </row>
    <row r="215" ht="15.75" customHeight="1">
      <c r="I215" s="3"/>
      <c r="J215" s="3"/>
    </row>
    <row r="216" ht="15.75" customHeight="1">
      <c r="I216" s="3"/>
      <c r="J216" s="3"/>
    </row>
    <row r="217" ht="15.75" customHeight="1">
      <c r="I217" s="3"/>
      <c r="J217" s="3"/>
    </row>
    <row r="218" ht="15.75" customHeight="1">
      <c r="I218" s="3"/>
      <c r="J218" s="3"/>
    </row>
    <row r="219" ht="15.75" customHeight="1">
      <c r="I219" s="3"/>
      <c r="J219" s="3"/>
    </row>
    <row r="220" ht="15.75" customHeight="1">
      <c r="I220" s="3"/>
      <c r="J220" s="3"/>
    </row>
    <row r="221" ht="15.75" customHeight="1">
      <c r="I221" s="3"/>
      <c r="J221" s="3"/>
    </row>
    <row r="222" ht="15.75" customHeight="1">
      <c r="I222" s="3"/>
      <c r="J222" s="3"/>
    </row>
    <row r="223" ht="15.75" customHeight="1">
      <c r="I223" s="3"/>
      <c r="J223" s="3"/>
    </row>
    <row r="224" ht="15.75" customHeight="1">
      <c r="I224" s="3"/>
      <c r="J224" s="3"/>
    </row>
    <row r="225" ht="15.75" customHeight="1">
      <c r="I225" s="3"/>
      <c r="J225" s="3"/>
    </row>
    <row r="226" ht="15.75" customHeight="1">
      <c r="I226" s="3"/>
      <c r="J226" s="3"/>
    </row>
    <row r="227" ht="15.75" customHeight="1">
      <c r="I227" s="3"/>
      <c r="J227" s="3"/>
    </row>
    <row r="228" ht="15.75" customHeight="1">
      <c r="I228" s="3"/>
      <c r="J228" s="3"/>
    </row>
    <row r="229" ht="15.75" customHeight="1">
      <c r="I229" s="3"/>
      <c r="J229" s="3"/>
    </row>
    <row r="230" ht="15.75" customHeight="1">
      <c r="I230" s="3"/>
      <c r="J230" s="3"/>
    </row>
    <row r="231" ht="15.75" customHeight="1">
      <c r="I231" s="3"/>
      <c r="J231" s="3"/>
    </row>
    <row r="232" ht="15.75" customHeight="1">
      <c r="I232" s="3"/>
      <c r="J232" s="3"/>
    </row>
    <row r="233" ht="15.75" customHeight="1">
      <c r="I233" s="3"/>
      <c r="J233" s="3"/>
    </row>
    <row r="234" ht="15.75" customHeight="1">
      <c r="I234" s="3"/>
      <c r="J234" s="3"/>
    </row>
    <row r="235" ht="15.75" customHeight="1">
      <c r="I235" s="3"/>
      <c r="J235" s="3"/>
    </row>
    <row r="236" ht="15.75" customHeight="1">
      <c r="I236" s="3"/>
      <c r="J236" s="3"/>
    </row>
    <row r="237" ht="15.75" customHeight="1">
      <c r="I237" s="3"/>
      <c r="J237" s="3"/>
    </row>
    <row r="238" ht="15.75" customHeight="1">
      <c r="I238" s="3"/>
      <c r="J238" s="3"/>
    </row>
    <row r="239" ht="15.75" customHeight="1">
      <c r="I239" s="3"/>
      <c r="J239" s="3"/>
    </row>
    <row r="240" ht="15.75" customHeight="1">
      <c r="I240" s="3"/>
      <c r="J240" s="3"/>
    </row>
    <row r="241" ht="15.75" customHeight="1">
      <c r="I241" s="3"/>
      <c r="J241" s="3"/>
    </row>
    <row r="242" ht="15.75" customHeight="1">
      <c r="I242" s="3"/>
      <c r="J242" s="3"/>
    </row>
    <row r="243" ht="15.75" customHeight="1">
      <c r="I243" s="3"/>
      <c r="J243" s="3"/>
    </row>
    <row r="244" ht="15.75" customHeight="1">
      <c r="I244" s="3"/>
      <c r="J244" s="3"/>
    </row>
    <row r="245" ht="15.75" customHeight="1">
      <c r="I245" s="3"/>
      <c r="J245" s="3"/>
    </row>
    <row r="246" ht="15.75" customHeight="1">
      <c r="I246" s="3"/>
      <c r="J246" s="3"/>
    </row>
    <row r="247" ht="15.75" customHeight="1">
      <c r="I247" s="3"/>
      <c r="J247" s="3"/>
    </row>
    <row r="248" ht="15.75" customHeight="1">
      <c r="I248" s="3"/>
      <c r="J248" s="3"/>
    </row>
    <row r="249" ht="15.75" customHeight="1">
      <c r="I249" s="3"/>
      <c r="J249" s="3"/>
    </row>
    <row r="250" ht="15.75" customHeight="1">
      <c r="I250" s="3"/>
      <c r="J250" s="3"/>
    </row>
    <row r="251" ht="15.75" customHeight="1">
      <c r="I251" s="3"/>
      <c r="J251" s="3"/>
    </row>
    <row r="252" ht="15.75" customHeight="1">
      <c r="I252" s="3"/>
      <c r="J252" s="3"/>
    </row>
    <row r="253" ht="15.75" customHeight="1">
      <c r="I253" s="3"/>
      <c r="J253" s="3"/>
    </row>
    <row r="254" ht="15.75" customHeight="1">
      <c r="I254" s="3"/>
      <c r="J254" s="3"/>
    </row>
    <row r="255" ht="15.75" customHeight="1">
      <c r="I255" s="3"/>
      <c r="J255" s="3"/>
    </row>
    <row r="256" ht="15.75" customHeight="1">
      <c r="I256" s="3"/>
      <c r="J256" s="3"/>
    </row>
    <row r="257" ht="15.75" customHeight="1">
      <c r="I257" s="3"/>
      <c r="J257" s="3"/>
    </row>
    <row r="258" ht="15.75" customHeight="1">
      <c r="I258" s="3"/>
      <c r="J258" s="3"/>
    </row>
    <row r="259" ht="15.75" customHeight="1">
      <c r="I259" s="3"/>
      <c r="J259" s="3"/>
    </row>
    <row r="260" ht="15.75" customHeight="1">
      <c r="I260" s="3"/>
      <c r="J260" s="3"/>
    </row>
    <row r="261" ht="15.75" customHeight="1">
      <c r="I261" s="3"/>
      <c r="J261" s="3"/>
    </row>
    <row r="262" ht="15.75" customHeight="1">
      <c r="I262" s="3"/>
      <c r="J262" s="3"/>
    </row>
    <row r="263" ht="15.75" customHeight="1">
      <c r="I263" s="3"/>
      <c r="J263" s="3"/>
    </row>
    <row r="264" ht="15.75" customHeight="1">
      <c r="I264" s="3"/>
      <c r="J264" s="3"/>
    </row>
    <row r="265" ht="15.75" customHeight="1">
      <c r="I265" s="3"/>
      <c r="J265" s="3"/>
    </row>
    <row r="266" ht="15.75" customHeight="1">
      <c r="I266" s="3"/>
      <c r="J266" s="3"/>
    </row>
    <row r="267" ht="15.75" customHeight="1">
      <c r="I267" s="3"/>
      <c r="J267" s="3"/>
    </row>
    <row r="268" ht="15.75" customHeight="1">
      <c r="I268" s="3"/>
      <c r="J268" s="3"/>
    </row>
    <row r="269" ht="15.75" customHeight="1">
      <c r="I269" s="3"/>
      <c r="J269" s="3"/>
    </row>
    <row r="270" ht="15.75" customHeight="1">
      <c r="I270" s="3"/>
      <c r="J270" s="3"/>
    </row>
    <row r="271" ht="15.75" customHeight="1">
      <c r="I271" s="3"/>
      <c r="J271" s="3"/>
    </row>
    <row r="272" ht="15.75" customHeight="1">
      <c r="I272" s="3"/>
      <c r="J272" s="3"/>
    </row>
    <row r="273" ht="15.75" customHeight="1">
      <c r="I273" s="3"/>
      <c r="J273" s="3"/>
    </row>
    <row r="274" ht="15.75" customHeight="1">
      <c r="I274" s="3"/>
      <c r="J274" s="3"/>
    </row>
    <row r="275" ht="15.75" customHeight="1">
      <c r="I275" s="3"/>
      <c r="J275" s="3"/>
    </row>
    <row r="276" ht="15.75" customHeight="1">
      <c r="I276" s="3"/>
      <c r="J276" s="3"/>
    </row>
    <row r="277" ht="15.75" customHeight="1">
      <c r="I277" s="3"/>
      <c r="J277" s="3"/>
    </row>
    <row r="278" ht="15.75" customHeight="1">
      <c r="I278" s="3"/>
      <c r="J278" s="3"/>
    </row>
    <row r="279" ht="15.75" customHeight="1">
      <c r="I279" s="3"/>
      <c r="J279" s="3"/>
    </row>
    <row r="280" ht="15.75" customHeight="1">
      <c r="I280" s="3"/>
      <c r="J280" s="3"/>
    </row>
    <row r="281" ht="15.75" customHeight="1">
      <c r="I281" s="3"/>
      <c r="J281" s="3"/>
    </row>
    <row r="282" ht="15.75" customHeight="1">
      <c r="I282" s="3"/>
      <c r="J282" s="3"/>
    </row>
    <row r="283" ht="15.75" customHeight="1">
      <c r="I283" s="3"/>
      <c r="J283" s="3"/>
    </row>
    <row r="284" ht="15.75" customHeight="1">
      <c r="I284" s="3"/>
      <c r="J284" s="3"/>
    </row>
    <row r="285" ht="15.75" customHeight="1">
      <c r="I285" s="3"/>
      <c r="J285" s="3"/>
    </row>
    <row r="286" ht="15.75" customHeight="1">
      <c r="I286" s="3"/>
      <c r="J286" s="3"/>
    </row>
    <row r="287" ht="15.75" customHeight="1">
      <c r="I287" s="3"/>
      <c r="J287" s="3"/>
    </row>
    <row r="288" ht="15.75" customHeight="1">
      <c r="I288" s="3"/>
      <c r="J288" s="3"/>
    </row>
    <row r="289" ht="15.75" customHeight="1">
      <c r="I289" s="3"/>
      <c r="J289" s="3"/>
    </row>
    <row r="290" ht="15.75" customHeight="1">
      <c r="I290" s="3"/>
      <c r="J290" s="3"/>
    </row>
    <row r="291" ht="15.75" customHeight="1">
      <c r="I291" s="3"/>
      <c r="J291" s="3"/>
    </row>
    <row r="292" ht="15.75" customHeight="1">
      <c r="I292" s="3"/>
      <c r="J292" s="3"/>
    </row>
    <row r="293" ht="15.75" customHeight="1">
      <c r="I293" s="3"/>
      <c r="J293" s="3"/>
    </row>
    <row r="294" ht="15.75" customHeight="1">
      <c r="I294" s="3"/>
      <c r="J294" s="3"/>
    </row>
    <row r="295" ht="15.75" customHeight="1">
      <c r="I295" s="3"/>
      <c r="J295" s="3"/>
    </row>
    <row r="296" ht="15.75" customHeight="1">
      <c r="I296" s="3"/>
      <c r="J296" s="3"/>
    </row>
    <row r="297" ht="15.75" customHeight="1">
      <c r="I297" s="3"/>
      <c r="J297" s="3"/>
    </row>
    <row r="298" ht="15.75" customHeight="1">
      <c r="I298" s="3"/>
      <c r="J298" s="3"/>
    </row>
    <row r="299" ht="15.75" customHeight="1">
      <c r="I299" s="3"/>
      <c r="J299" s="3"/>
    </row>
    <row r="300" ht="15.75" customHeight="1">
      <c r="I300" s="3"/>
      <c r="J300" s="3"/>
    </row>
    <row r="301" ht="15.75" customHeight="1">
      <c r="I301" s="3"/>
      <c r="J301" s="3"/>
    </row>
    <row r="302" ht="15.75" customHeight="1">
      <c r="I302" s="3"/>
      <c r="J302" s="3"/>
    </row>
    <row r="303" ht="15.75" customHeight="1">
      <c r="I303" s="3"/>
      <c r="J303" s="3"/>
    </row>
    <row r="304" ht="15.75" customHeight="1">
      <c r="I304" s="3"/>
      <c r="J304" s="3"/>
    </row>
    <row r="305" ht="15.75" customHeight="1">
      <c r="I305" s="3"/>
      <c r="J305" s="3"/>
    </row>
    <row r="306" ht="15.75" customHeight="1">
      <c r="I306" s="3"/>
      <c r="J306" s="3"/>
    </row>
    <row r="307" ht="15.75" customHeight="1">
      <c r="I307" s="3"/>
      <c r="J307" s="3"/>
    </row>
    <row r="308" ht="15.75" customHeight="1">
      <c r="I308" s="3"/>
      <c r="J308" s="3"/>
    </row>
    <row r="309" ht="15.75" customHeight="1">
      <c r="I309" s="3"/>
      <c r="J309" s="3"/>
    </row>
    <row r="310" ht="15.75" customHeight="1">
      <c r="I310" s="3"/>
      <c r="J310" s="3"/>
    </row>
    <row r="311" ht="15.75" customHeight="1">
      <c r="I311" s="3"/>
      <c r="J311" s="3"/>
    </row>
    <row r="312" ht="15.75" customHeight="1">
      <c r="I312" s="3"/>
      <c r="J312" s="3"/>
    </row>
    <row r="313" ht="15.75" customHeight="1">
      <c r="I313" s="3"/>
      <c r="J313" s="3"/>
    </row>
    <row r="314" ht="15.75" customHeight="1">
      <c r="I314" s="3"/>
      <c r="J314" s="3"/>
    </row>
    <row r="315" ht="15.75" customHeight="1">
      <c r="I315" s="3"/>
      <c r="J315" s="3"/>
    </row>
    <row r="316" ht="15.75" customHeight="1">
      <c r="I316" s="3"/>
      <c r="J316" s="3"/>
    </row>
    <row r="317" ht="15.75" customHeight="1">
      <c r="I317" s="3"/>
      <c r="J317" s="3"/>
    </row>
    <row r="318" ht="15.75" customHeight="1">
      <c r="I318" s="3"/>
      <c r="J318" s="3"/>
    </row>
    <row r="319" ht="15.75" customHeight="1">
      <c r="I319" s="3"/>
      <c r="J319" s="3"/>
    </row>
    <row r="320" ht="15.75" customHeight="1">
      <c r="I320" s="3"/>
      <c r="J320" s="3"/>
    </row>
    <row r="321" ht="15.75" customHeight="1">
      <c r="I321" s="3"/>
      <c r="J321" s="3"/>
    </row>
    <row r="322" ht="15.75" customHeight="1">
      <c r="I322" s="3"/>
      <c r="J322" s="3"/>
    </row>
    <row r="323" ht="15.75" customHeight="1">
      <c r="I323" s="3"/>
      <c r="J323" s="3"/>
    </row>
    <row r="324" ht="15.75" customHeight="1">
      <c r="I324" s="3"/>
      <c r="J324" s="3"/>
    </row>
    <row r="325" ht="15.75" customHeight="1">
      <c r="I325" s="3"/>
      <c r="J325" s="3"/>
    </row>
    <row r="326" ht="15.75" customHeight="1">
      <c r="I326" s="3"/>
      <c r="J326" s="3"/>
    </row>
    <row r="327" ht="15.75" customHeight="1">
      <c r="I327" s="3"/>
      <c r="J327" s="3"/>
    </row>
    <row r="328" ht="15.75" customHeight="1">
      <c r="I328" s="3"/>
      <c r="J328" s="3"/>
    </row>
    <row r="329" ht="15.75" customHeight="1">
      <c r="I329" s="3"/>
      <c r="J329" s="3"/>
    </row>
    <row r="330" ht="15.75" customHeight="1">
      <c r="I330" s="3"/>
      <c r="J330" s="3"/>
    </row>
    <row r="331" ht="15.75" customHeight="1">
      <c r="I331" s="3"/>
      <c r="J331" s="3"/>
    </row>
    <row r="332" ht="15.75" customHeight="1">
      <c r="I332" s="3"/>
      <c r="J332" s="3"/>
    </row>
    <row r="333" ht="15.75" customHeight="1">
      <c r="I333" s="3"/>
      <c r="J333" s="3"/>
    </row>
    <row r="334" ht="15.75" customHeight="1">
      <c r="I334" s="3"/>
      <c r="J334" s="3"/>
    </row>
    <row r="335" ht="15.75" customHeight="1">
      <c r="I335" s="3"/>
      <c r="J335" s="3"/>
    </row>
    <row r="336" ht="15.75" customHeight="1">
      <c r="I336" s="3"/>
      <c r="J336" s="3"/>
    </row>
    <row r="337" ht="15.75" customHeight="1">
      <c r="I337" s="3"/>
      <c r="J337" s="3"/>
    </row>
    <row r="338" ht="15.75" customHeight="1">
      <c r="I338" s="3"/>
      <c r="J338" s="3"/>
    </row>
    <row r="339" ht="15.75" customHeight="1">
      <c r="I339" s="3"/>
      <c r="J339" s="3"/>
    </row>
    <row r="340" ht="15.75" customHeight="1">
      <c r="I340" s="3"/>
      <c r="J340" s="3"/>
    </row>
    <row r="341" ht="15.75" customHeight="1">
      <c r="I341" s="3"/>
      <c r="J341" s="3"/>
    </row>
    <row r="342" ht="15.75" customHeight="1">
      <c r="I342" s="3"/>
      <c r="J342" s="3"/>
    </row>
    <row r="343" ht="15.75" customHeight="1">
      <c r="I343" s="3"/>
      <c r="J343" s="3"/>
    </row>
    <row r="344" ht="15.75" customHeight="1">
      <c r="I344" s="3"/>
      <c r="J344" s="3"/>
    </row>
    <row r="345" ht="15.75" customHeight="1">
      <c r="I345" s="3"/>
      <c r="J345" s="3"/>
    </row>
    <row r="346" ht="15.75" customHeight="1">
      <c r="I346" s="3"/>
      <c r="J346" s="3"/>
    </row>
    <row r="347" ht="15.75" customHeight="1">
      <c r="I347" s="3"/>
      <c r="J347" s="3"/>
    </row>
    <row r="348" ht="15.75" customHeight="1">
      <c r="I348" s="3"/>
      <c r="J348" s="3"/>
    </row>
    <row r="349" ht="15.75" customHeight="1">
      <c r="I349" s="3"/>
      <c r="J349" s="3"/>
    </row>
    <row r="350" ht="15.75" customHeight="1">
      <c r="I350" s="3"/>
      <c r="J350" s="3"/>
    </row>
    <row r="351" ht="15.75" customHeight="1">
      <c r="I351" s="3"/>
      <c r="J351" s="3"/>
    </row>
    <row r="352" ht="15.75" customHeight="1">
      <c r="I352" s="3"/>
      <c r="J352" s="3"/>
    </row>
    <row r="353" ht="15.75" customHeight="1">
      <c r="I353" s="3"/>
      <c r="J353" s="3"/>
    </row>
    <row r="354" ht="15.75" customHeight="1">
      <c r="I354" s="3"/>
      <c r="J354" s="3"/>
    </row>
    <row r="355" ht="15.75" customHeight="1">
      <c r="I355" s="3"/>
      <c r="J355" s="3"/>
    </row>
    <row r="356" ht="15.75" customHeight="1">
      <c r="I356" s="3"/>
      <c r="J356" s="3"/>
    </row>
    <row r="357" ht="15.75" customHeight="1">
      <c r="I357" s="3"/>
      <c r="J357" s="3"/>
    </row>
    <row r="358" ht="15.75" customHeight="1">
      <c r="I358" s="3"/>
      <c r="J358" s="3"/>
    </row>
    <row r="359" ht="15.75" customHeight="1">
      <c r="I359" s="3"/>
      <c r="J359" s="3"/>
    </row>
    <row r="360" ht="15.75" customHeight="1">
      <c r="I360" s="3"/>
      <c r="J360" s="3"/>
    </row>
    <row r="361" ht="15.75" customHeight="1">
      <c r="I361" s="3"/>
      <c r="J361" s="3"/>
    </row>
    <row r="362" ht="15.75" customHeight="1">
      <c r="I362" s="3"/>
      <c r="J362" s="3"/>
    </row>
    <row r="363" ht="15.75" customHeight="1">
      <c r="I363" s="3"/>
      <c r="J363" s="3"/>
    </row>
    <row r="364" ht="15.75" customHeight="1">
      <c r="I364" s="3"/>
      <c r="J364" s="3"/>
    </row>
    <row r="365" ht="15.75" customHeight="1">
      <c r="I365" s="3"/>
      <c r="J365" s="3"/>
    </row>
    <row r="366" ht="15.75" customHeight="1">
      <c r="I366" s="3"/>
      <c r="J366" s="3"/>
    </row>
    <row r="367" ht="15.75" customHeight="1">
      <c r="I367" s="3"/>
      <c r="J367" s="3"/>
    </row>
    <row r="368" ht="15.75" customHeight="1">
      <c r="I368" s="3"/>
      <c r="J368" s="3"/>
    </row>
    <row r="369" ht="15.75" customHeight="1">
      <c r="I369" s="3"/>
      <c r="J369" s="3"/>
    </row>
    <row r="370" ht="15.75" customHeight="1">
      <c r="I370" s="3"/>
      <c r="J370" s="3"/>
    </row>
    <row r="371" ht="15.75" customHeight="1">
      <c r="I371" s="3"/>
      <c r="J371" s="3"/>
    </row>
    <row r="372" ht="15.75" customHeight="1">
      <c r="I372" s="3"/>
      <c r="J372" s="3"/>
    </row>
    <row r="373" ht="15.75" customHeight="1">
      <c r="I373" s="3"/>
      <c r="J373" s="3"/>
    </row>
    <row r="374" ht="15.75" customHeight="1">
      <c r="I374" s="3"/>
      <c r="J374" s="3"/>
    </row>
    <row r="375" ht="15.75" customHeight="1">
      <c r="I375" s="3"/>
      <c r="J375" s="3"/>
    </row>
    <row r="376" ht="15.75" customHeight="1">
      <c r="I376" s="3"/>
      <c r="J376" s="3"/>
    </row>
    <row r="377" ht="15.75" customHeight="1">
      <c r="I377" s="3"/>
      <c r="J377" s="3"/>
    </row>
    <row r="378" ht="15.75" customHeight="1">
      <c r="I378" s="3"/>
      <c r="J378" s="3"/>
    </row>
    <row r="379" ht="15.75" customHeight="1">
      <c r="I379" s="3"/>
      <c r="J379" s="3"/>
    </row>
    <row r="380" ht="15.75" customHeight="1">
      <c r="I380" s="3"/>
      <c r="J380" s="3"/>
    </row>
    <row r="381" ht="15.75" customHeight="1">
      <c r="I381" s="3"/>
      <c r="J381" s="3"/>
    </row>
    <row r="382" ht="15.75" customHeight="1">
      <c r="I382" s="3"/>
      <c r="J382" s="3"/>
    </row>
    <row r="383" ht="15.75" customHeight="1">
      <c r="I383" s="3"/>
      <c r="J383" s="3"/>
    </row>
    <row r="384" ht="15.75" customHeight="1">
      <c r="I384" s="3"/>
      <c r="J384" s="3"/>
    </row>
    <row r="385" ht="15.75" customHeight="1">
      <c r="I385" s="3"/>
      <c r="J385" s="3"/>
    </row>
    <row r="386" ht="15.75" customHeight="1">
      <c r="I386" s="3"/>
      <c r="J386" s="3"/>
    </row>
    <row r="387" ht="15.75" customHeight="1">
      <c r="I387" s="3"/>
      <c r="J387" s="3"/>
    </row>
    <row r="388" ht="15.75" customHeight="1">
      <c r="I388" s="3"/>
      <c r="J388" s="3"/>
    </row>
    <row r="389" ht="15.75" customHeight="1">
      <c r="I389" s="3"/>
      <c r="J389" s="3"/>
    </row>
    <row r="390" ht="15.75" customHeight="1">
      <c r="I390" s="3"/>
      <c r="J390" s="3"/>
    </row>
    <row r="391" ht="15.75" customHeight="1">
      <c r="I391" s="3"/>
      <c r="J391" s="3"/>
    </row>
    <row r="392" ht="15.75" customHeight="1">
      <c r="I392" s="3"/>
      <c r="J392" s="3"/>
    </row>
    <row r="393" ht="15.75" customHeight="1">
      <c r="I393" s="3"/>
      <c r="J393" s="3"/>
    </row>
    <row r="394" ht="15.75" customHeight="1">
      <c r="I394" s="3"/>
      <c r="J394" s="3"/>
    </row>
    <row r="395" ht="15.75" customHeight="1">
      <c r="I395" s="3"/>
      <c r="J395" s="3"/>
    </row>
    <row r="396" ht="15.75" customHeight="1">
      <c r="I396" s="3"/>
      <c r="J396" s="3"/>
    </row>
    <row r="397" ht="15.75" customHeight="1">
      <c r="I397" s="3"/>
      <c r="J397" s="3"/>
    </row>
    <row r="398" ht="15.75" customHeight="1">
      <c r="I398" s="3"/>
      <c r="J398" s="3"/>
    </row>
    <row r="399" ht="15.75" customHeight="1">
      <c r="I399" s="3"/>
      <c r="J399" s="3"/>
    </row>
    <row r="400" ht="15.75" customHeight="1">
      <c r="I400" s="3"/>
      <c r="J400" s="3"/>
    </row>
    <row r="401" ht="15.75" customHeight="1">
      <c r="I401" s="3"/>
      <c r="J401" s="3"/>
    </row>
    <row r="402" ht="15.75" customHeight="1">
      <c r="I402" s="3"/>
      <c r="J402" s="3"/>
    </row>
    <row r="403" ht="15.75" customHeight="1">
      <c r="I403" s="3"/>
      <c r="J403" s="3"/>
    </row>
    <row r="404" ht="15.75" customHeight="1">
      <c r="I404" s="3"/>
      <c r="J404" s="3"/>
    </row>
    <row r="405" ht="15.75" customHeight="1">
      <c r="I405" s="3"/>
      <c r="J405" s="3"/>
    </row>
    <row r="406" ht="15.75" customHeight="1">
      <c r="I406" s="3"/>
      <c r="J406" s="3"/>
    </row>
    <row r="407" ht="15.75" customHeight="1">
      <c r="I407" s="3"/>
      <c r="J407" s="3"/>
    </row>
    <row r="408" ht="15.75" customHeight="1">
      <c r="I408" s="3"/>
      <c r="J408" s="3"/>
    </row>
    <row r="409" ht="15.75" customHeight="1">
      <c r="I409" s="3"/>
      <c r="J409" s="3"/>
    </row>
    <row r="410" ht="15.75" customHeight="1">
      <c r="I410" s="3"/>
      <c r="J410" s="3"/>
    </row>
    <row r="411" ht="15.75" customHeight="1">
      <c r="I411" s="3"/>
      <c r="J411" s="3"/>
    </row>
    <row r="412" ht="15.75" customHeight="1">
      <c r="I412" s="3"/>
      <c r="J412" s="3"/>
    </row>
    <row r="413" ht="15.75" customHeight="1">
      <c r="I413" s="3"/>
      <c r="J413" s="3"/>
    </row>
    <row r="414" ht="15.75" customHeight="1">
      <c r="I414" s="3"/>
      <c r="J414" s="3"/>
    </row>
    <row r="415" ht="15.75" customHeight="1">
      <c r="I415" s="3"/>
      <c r="J415" s="3"/>
    </row>
    <row r="416" ht="15.75" customHeight="1">
      <c r="I416" s="3"/>
      <c r="J416" s="3"/>
    </row>
    <row r="417" ht="15.75" customHeight="1">
      <c r="I417" s="3"/>
      <c r="J417" s="3"/>
    </row>
    <row r="418" ht="15.75" customHeight="1">
      <c r="I418" s="3"/>
      <c r="J418" s="3"/>
    </row>
    <row r="419" ht="15.75" customHeight="1">
      <c r="I419" s="3"/>
      <c r="J419" s="3"/>
    </row>
    <row r="420" ht="15.75" customHeight="1">
      <c r="I420" s="3"/>
      <c r="J420" s="3"/>
    </row>
    <row r="421" ht="15.75" customHeight="1">
      <c r="I421" s="3"/>
      <c r="J421" s="3"/>
    </row>
    <row r="422" ht="15.75" customHeight="1">
      <c r="I422" s="3"/>
      <c r="J422" s="3"/>
    </row>
    <row r="423" ht="15.75" customHeight="1">
      <c r="I423" s="3"/>
      <c r="J423" s="3"/>
    </row>
    <row r="424" ht="15.75" customHeight="1">
      <c r="I424" s="3"/>
      <c r="J424" s="3"/>
    </row>
    <row r="425" ht="15.75" customHeight="1">
      <c r="I425" s="3"/>
      <c r="J425" s="3"/>
    </row>
    <row r="426" ht="15.75" customHeight="1">
      <c r="I426" s="3"/>
      <c r="J426" s="3"/>
    </row>
    <row r="427" ht="15.75" customHeight="1">
      <c r="I427" s="3"/>
      <c r="J427" s="3"/>
    </row>
    <row r="428" ht="15.75" customHeight="1">
      <c r="I428" s="3"/>
      <c r="J428" s="3"/>
    </row>
    <row r="429" ht="15.75" customHeight="1">
      <c r="I429" s="3"/>
      <c r="J429" s="3"/>
    </row>
    <row r="430" ht="15.75" customHeight="1">
      <c r="I430" s="3"/>
      <c r="J430" s="3"/>
    </row>
    <row r="431" ht="15.75" customHeight="1">
      <c r="I431" s="3"/>
      <c r="J431" s="3"/>
    </row>
    <row r="432" ht="15.75" customHeight="1">
      <c r="I432" s="3"/>
      <c r="J432" s="3"/>
    </row>
    <row r="433" ht="15.75" customHeight="1">
      <c r="I433" s="3"/>
      <c r="J433" s="3"/>
    </row>
    <row r="434" ht="15.75" customHeight="1">
      <c r="I434" s="3"/>
      <c r="J434" s="3"/>
    </row>
    <row r="435" ht="15.75" customHeight="1">
      <c r="I435" s="3"/>
      <c r="J435" s="3"/>
    </row>
    <row r="436" ht="15.75" customHeight="1">
      <c r="I436" s="3"/>
      <c r="J436" s="3"/>
    </row>
    <row r="437" ht="15.75" customHeight="1">
      <c r="I437" s="3"/>
      <c r="J437" s="3"/>
    </row>
    <row r="438" ht="15.75" customHeight="1">
      <c r="I438" s="3"/>
      <c r="J438" s="3"/>
    </row>
    <row r="439" ht="15.75" customHeight="1">
      <c r="I439" s="3"/>
      <c r="J439" s="3"/>
    </row>
    <row r="440" ht="15.75" customHeight="1">
      <c r="I440" s="3"/>
      <c r="J440" s="3"/>
    </row>
    <row r="441" ht="15.75" customHeight="1">
      <c r="I441" s="3"/>
      <c r="J441" s="3"/>
    </row>
    <row r="442" ht="15.75" customHeight="1">
      <c r="I442" s="3"/>
      <c r="J442" s="3"/>
    </row>
    <row r="443" ht="15.75" customHeight="1">
      <c r="I443" s="3"/>
      <c r="J443" s="3"/>
    </row>
    <row r="444" ht="15.75" customHeight="1">
      <c r="I444" s="3"/>
      <c r="J444" s="3"/>
    </row>
    <row r="445" ht="15.75" customHeight="1">
      <c r="I445" s="3"/>
      <c r="J445" s="3"/>
    </row>
    <row r="446" ht="15.75" customHeight="1">
      <c r="I446" s="3"/>
      <c r="J446" s="3"/>
    </row>
    <row r="447" ht="15.75" customHeight="1">
      <c r="I447" s="3"/>
      <c r="J447" s="3"/>
    </row>
    <row r="448" ht="15.75" customHeight="1">
      <c r="I448" s="3"/>
      <c r="J448" s="3"/>
    </row>
    <row r="449" ht="15.75" customHeight="1">
      <c r="I449" s="3"/>
      <c r="J449" s="3"/>
    </row>
    <row r="450" ht="15.75" customHeight="1">
      <c r="I450" s="3"/>
      <c r="J450" s="3"/>
    </row>
    <row r="451" ht="15.75" customHeight="1">
      <c r="I451" s="3"/>
      <c r="J451" s="3"/>
    </row>
    <row r="452" ht="15.75" customHeight="1">
      <c r="I452" s="3"/>
      <c r="J452" s="3"/>
    </row>
    <row r="453" ht="15.75" customHeight="1">
      <c r="I453" s="3"/>
      <c r="J453" s="3"/>
    </row>
    <row r="454" ht="15.75" customHeight="1">
      <c r="I454" s="3"/>
      <c r="J454" s="3"/>
    </row>
    <row r="455" ht="15.75" customHeight="1">
      <c r="I455" s="3"/>
      <c r="J455" s="3"/>
    </row>
    <row r="456" ht="15.75" customHeight="1">
      <c r="I456" s="3"/>
      <c r="J456" s="3"/>
    </row>
    <row r="457" ht="15.75" customHeight="1">
      <c r="I457" s="3"/>
      <c r="J457" s="3"/>
    </row>
    <row r="458" ht="15.75" customHeight="1">
      <c r="I458" s="3"/>
      <c r="J458" s="3"/>
    </row>
    <row r="459" ht="15.75" customHeight="1">
      <c r="I459" s="3"/>
      <c r="J459" s="3"/>
    </row>
    <row r="460" ht="15.75" customHeight="1">
      <c r="I460" s="3"/>
      <c r="J460" s="3"/>
    </row>
    <row r="461" ht="15.75" customHeight="1">
      <c r="I461" s="3"/>
      <c r="J461" s="3"/>
    </row>
    <row r="462" ht="15.75" customHeight="1">
      <c r="I462" s="3"/>
      <c r="J462" s="3"/>
    </row>
    <row r="463" ht="15.75" customHeight="1">
      <c r="I463" s="3"/>
      <c r="J463" s="3"/>
    </row>
    <row r="464" ht="15.75" customHeight="1">
      <c r="I464" s="3"/>
      <c r="J464" s="3"/>
    </row>
    <row r="465" ht="15.75" customHeight="1">
      <c r="I465" s="3"/>
      <c r="J465" s="3"/>
    </row>
    <row r="466" ht="15.75" customHeight="1">
      <c r="I466" s="3"/>
      <c r="J466" s="3"/>
    </row>
    <row r="467" ht="15.75" customHeight="1">
      <c r="I467" s="3"/>
      <c r="J467" s="3"/>
    </row>
    <row r="468" ht="15.75" customHeight="1">
      <c r="I468" s="3"/>
      <c r="J468" s="3"/>
    </row>
    <row r="469" ht="15.75" customHeight="1">
      <c r="I469" s="3"/>
      <c r="J469" s="3"/>
    </row>
    <row r="470" ht="15.75" customHeight="1">
      <c r="I470" s="3"/>
      <c r="J470" s="3"/>
    </row>
    <row r="471" ht="15.75" customHeight="1">
      <c r="I471" s="3"/>
      <c r="J471" s="3"/>
    </row>
    <row r="472" ht="15.75" customHeight="1">
      <c r="I472" s="3"/>
      <c r="J472" s="3"/>
    </row>
    <row r="473" ht="15.75" customHeight="1">
      <c r="I473" s="3"/>
      <c r="J473" s="3"/>
    </row>
    <row r="474" ht="15.75" customHeight="1">
      <c r="I474" s="3"/>
      <c r="J474" s="3"/>
    </row>
    <row r="475" ht="15.75" customHeight="1">
      <c r="I475" s="3"/>
      <c r="J475" s="3"/>
    </row>
    <row r="476" ht="15.75" customHeight="1">
      <c r="I476" s="3"/>
      <c r="J476" s="3"/>
    </row>
    <row r="477" ht="15.75" customHeight="1">
      <c r="I477" s="3"/>
      <c r="J477" s="3"/>
    </row>
    <row r="478" ht="15.75" customHeight="1">
      <c r="I478" s="3"/>
      <c r="J478" s="3"/>
    </row>
    <row r="479" ht="15.75" customHeight="1">
      <c r="I479" s="3"/>
      <c r="J479" s="3"/>
    </row>
    <row r="480" ht="15.75" customHeight="1">
      <c r="I480" s="3"/>
      <c r="J480" s="3"/>
    </row>
    <row r="481" ht="15.75" customHeight="1">
      <c r="I481" s="3"/>
      <c r="J481" s="3"/>
    </row>
    <row r="482" ht="15.75" customHeight="1">
      <c r="I482" s="3"/>
      <c r="J482" s="3"/>
    </row>
    <row r="483" ht="15.75" customHeight="1">
      <c r="I483" s="3"/>
      <c r="J483" s="3"/>
    </row>
    <row r="484" ht="15.75" customHeight="1">
      <c r="I484" s="3"/>
      <c r="J484" s="3"/>
    </row>
    <row r="485" ht="15.75" customHeight="1">
      <c r="I485" s="3"/>
      <c r="J485" s="3"/>
    </row>
    <row r="486" ht="15.75" customHeight="1">
      <c r="I486" s="3"/>
      <c r="J486" s="3"/>
    </row>
    <row r="487" ht="15.75" customHeight="1">
      <c r="I487" s="3"/>
      <c r="J487" s="3"/>
    </row>
    <row r="488" ht="15.75" customHeight="1">
      <c r="I488" s="3"/>
      <c r="J488" s="3"/>
    </row>
    <row r="489" ht="15.75" customHeight="1">
      <c r="I489" s="3"/>
      <c r="J489" s="3"/>
    </row>
    <row r="490" ht="15.75" customHeight="1">
      <c r="I490" s="3"/>
      <c r="J490" s="3"/>
    </row>
    <row r="491" ht="15.75" customHeight="1">
      <c r="I491" s="3"/>
      <c r="J491" s="3"/>
    </row>
    <row r="492" ht="15.75" customHeight="1">
      <c r="I492" s="3"/>
      <c r="J492" s="3"/>
    </row>
    <row r="493" ht="15.75" customHeight="1">
      <c r="I493" s="3"/>
      <c r="J493" s="3"/>
    </row>
    <row r="494" ht="15.75" customHeight="1">
      <c r="I494" s="3"/>
      <c r="J494" s="3"/>
    </row>
    <row r="495" ht="15.75" customHeight="1">
      <c r="I495" s="3"/>
      <c r="J495" s="3"/>
    </row>
    <row r="496" ht="15.75" customHeight="1">
      <c r="I496" s="3"/>
      <c r="J496" s="3"/>
    </row>
    <row r="497" ht="15.75" customHeight="1">
      <c r="I497" s="3"/>
      <c r="J497" s="3"/>
    </row>
    <row r="498" ht="15.75" customHeight="1">
      <c r="I498" s="3"/>
      <c r="J498" s="3"/>
    </row>
    <row r="499" ht="15.75" customHeight="1">
      <c r="I499" s="3"/>
      <c r="J499" s="3"/>
    </row>
    <row r="500" ht="15.75" customHeight="1">
      <c r="I500" s="3"/>
      <c r="J500" s="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2"/>
  </mergeCells>
  <conditionalFormatting sqref="I5:I1000">
    <cfRule type="expression" dxfId="0" priority="1">
      <formula>I5="Inscrito"</formula>
    </cfRule>
  </conditionalFormatting>
  <conditionalFormatting sqref="I5:I1000">
    <cfRule type="expression" dxfId="1" priority="2">
      <formula>I5="Show"</formula>
    </cfRule>
  </conditionalFormatting>
  <conditionalFormatting sqref="I5:I1000">
    <cfRule type="expression" dxfId="2" priority="3">
      <formula>I5="No asistió"</formula>
    </cfRule>
  </conditionalFormatting>
  <conditionalFormatting sqref="I5:I1000">
    <cfRule type="expression" dxfId="3" priority="4">
      <formula>I5="Cita"</formula>
    </cfRule>
  </conditionalFormatting>
  <dataValidations>
    <dataValidation type="list" allowBlank="1" sqref="I5:I500">
      <formula1>"Inscrito,Show,No asistió,Cita,Revisar"</formula1>
    </dataValidation>
    <dataValidation type="list" allowBlank="1" sqref="J5:J500">
      <formula1>"Precio,Horarios,Ubicación,Metodología,No le interesó,Prefiere otra opción,Motivos personales,Sin respuesta,Pendiente de decisión,Inscripción pospuesta"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0.0"/>
    <col customWidth="1" min="2" max="2" width="19.0"/>
    <col customWidth="1" min="3" max="10" width="13.0"/>
    <col customWidth="1" min="11" max="26" width="8.63"/>
  </cols>
  <sheetData>
    <row r="1" ht="25.5" customHeight="1">
      <c r="A1" s="14" t="s">
        <v>336</v>
      </c>
    </row>
    <row r="2" ht="25.5" customHeight="1"/>
    <row r="3">
      <c r="A3" s="3" t="s">
        <v>337</v>
      </c>
    </row>
    <row r="5" ht="28.5" customHeight="1">
      <c r="A5" s="15" t="s">
        <v>338</v>
      </c>
      <c r="B5" s="16" t="s">
        <v>10</v>
      </c>
    </row>
    <row r="6">
      <c r="A6" s="3" t="s">
        <v>339</v>
      </c>
      <c r="B6" s="3">
        <f>COUNTA('Septiembre 2026'!B5:B500)</f>
        <v>82</v>
      </c>
    </row>
    <row r="7">
      <c r="A7" s="3" t="s">
        <v>340</v>
      </c>
      <c r="B7" s="3">
        <f>COUNTIF('Septiembre 2026'!I5:I500,"Inscrito")</f>
        <v>32</v>
      </c>
    </row>
    <row r="8">
      <c r="A8" s="3" t="s">
        <v>341</v>
      </c>
      <c r="B8" s="3">
        <f>COUNTIF('Septiembre 2026'!I5:I500,"Show")</f>
        <v>30</v>
      </c>
    </row>
    <row r="9">
      <c r="A9" s="3" t="s">
        <v>64</v>
      </c>
      <c r="B9" s="3">
        <f>COUNTIF('Septiembre 2026'!I5:I500,"No asistió")</f>
        <v>19</v>
      </c>
    </row>
    <row r="10">
      <c r="A10" s="3" t="s">
        <v>343</v>
      </c>
      <c r="B10" s="3">
        <f>COUNTIF('Septiembre 2026'!I5:I500,"Cita")</f>
        <v>0</v>
      </c>
    </row>
    <row r="11">
      <c r="A11" s="3" t="s">
        <v>345</v>
      </c>
      <c r="B11" s="3">
        <f>COUNTIF('Septiembre 2026'!I5:I500,"Revisar")</f>
        <v>1</v>
      </c>
    </row>
    <row r="12">
      <c r="A12" s="3" t="s">
        <v>347</v>
      </c>
      <c r="B12" s="3">
        <f>B7+B8</f>
        <v>62</v>
      </c>
    </row>
    <row r="13">
      <c r="A13" s="3" t="s">
        <v>348</v>
      </c>
      <c r="B13" s="19">
        <f>IFERROR(B7/B12,0)</f>
        <v>0.5161290323</v>
      </c>
    </row>
    <row r="14">
      <c r="A14" s="3" t="s">
        <v>349</v>
      </c>
      <c r="B14" s="19">
        <f>IFERROR(B12/(B12+B9),0)</f>
        <v>0.7654320988</v>
      </c>
    </row>
    <row r="17">
      <c r="A17" s="20" t="s">
        <v>350</v>
      </c>
      <c r="B17" s="21" t="s">
        <v>351</v>
      </c>
    </row>
    <row r="18">
      <c r="A18" s="3" t="s">
        <v>352</v>
      </c>
      <c r="B18" s="3">
        <f t="shared" ref="B18:B19" si="1">B7</f>
        <v>32</v>
      </c>
    </row>
    <row r="19">
      <c r="A19" s="3" t="s">
        <v>353</v>
      </c>
      <c r="B19" s="3">
        <f t="shared" si="1"/>
        <v>30</v>
      </c>
    </row>
    <row r="21" ht="15.75" customHeight="1"/>
    <row r="22" ht="15.75" customHeight="1">
      <c r="A22" s="22" t="s">
        <v>354</v>
      </c>
      <c r="B22" s="23" t="s">
        <v>355</v>
      </c>
    </row>
    <row r="23" ht="15.75" customHeight="1">
      <c r="A23" s="3" t="s">
        <v>90</v>
      </c>
      <c r="B23" s="3">
        <f>COUNTIFS('Septiembre 2026'!I5:I500,"Show",'Septiembre 2026'!J5:J500,A23)</f>
        <v>3</v>
      </c>
    </row>
    <row r="24" ht="15.75" customHeight="1">
      <c r="A24" s="3" t="s">
        <v>125</v>
      </c>
      <c r="B24" s="3">
        <f>COUNTIFS('Septiembre 2026'!I5:I500,"Show",'Septiembre 2026'!J5:J500,A24)</f>
        <v>6</v>
      </c>
    </row>
    <row r="25" ht="15.75" customHeight="1">
      <c r="A25" s="3" t="s">
        <v>33</v>
      </c>
      <c r="B25" s="3">
        <f>COUNTIFS('Septiembre 2026'!I5:I500,"Show",'Septiembre 2026'!J5:J500,A25)</f>
        <v>6</v>
      </c>
    </row>
    <row r="26" ht="15.75" customHeight="1">
      <c r="A26" s="3" t="s">
        <v>356</v>
      </c>
      <c r="B26" s="3">
        <f>COUNTIFS('Septiembre 2026'!I5:I500,"Show",'Septiembre 2026'!J5:J500,A26)</f>
        <v>0</v>
      </c>
    </row>
    <row r="27" ht="15.75" customHeight="1">
      <c r="A27" s="3" t="s">
        <v>357</v>
      </c>
      <c r="B27" s="3">
        <f>COUNTIFS('Septiembre 2026'!I5:I500,"Show",'Septiembre 2026'!J5:J500,A27)</f>
        <v>0</v>
      </c>
    </row>
    <row r="28" ht="15.75" customHeight="1">
      <c r="A28" s="3" t="s">
        <v>358</v>
      </c>
      <c r="B28" s="3">
        <f>COUNTIFS('Septiembre 2026'!I5:I500,"Show",'Septiembre 2026'!J5:J500,A28)</f>
        <v>0</v>
      </c>
    </row>
    <row r="29" ht="15.75" customHeight="1">
      <c r="A29" s="3" t="s">
        <v>100</v>
      </c>
      <c r="B29" s="3">
        <f>COUNTIFS('Septiembre 2026'!I5:I500,"Show",'Septiembre 2026'!J5:J500,A29)</f>
        <v>2</v>
      </c>
    </row>
    <row r="30" ht="15.75" customHeight="1">
      <c r="A30" s="3" t="s">
        <v>37</v>
      </c>
      <c r="B30" s="3">
        <f>COUNTIFS('Septiembre 2026'!I5:I500,"Show",'Septiembre 2026'!J5:J500,A30)</f>
        <v>9</v>
      </c>
    </row>
    <row r="31" ht="15.75" customHeight="1">
      <c r="A31" s="7" t="s">
        <v>38</v>
      </c>
      <c r="B31" s="3">
        <f>COUNTIFS('Septiembre 2026'!I5:I500,"Show",'Septiembre 2026'!J5:J500,A31)</f>
        <v>4</v>
      </c>
    </row>
    <row r="32" ht="15.75" customHeight="1">
      <c r="A32" s="7" t="s">
        <v>88</v>
      </c>
      <c r="B32" s="3">
        <f>COUNTIFS('Septiembre 2026'!I5:I500,"Show",'Septiembre 2026'!J5:J500,A32)</f>
        <v>0</v>
      </c>
    </row>
    <row r="33" ht="15.75" customHeight="1"/>
    <row r="34" ht="15.75" customHeight="1"/>
    <row r="35" ht="15.75" customHeight="1">
      <c r="A35" s="2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2"/>
    <mergeCell ref="A3:J3"/>
    <mergeCell ref="A35:J3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0"/>
    <col customWidth="1" min="2" max="2" width="30.0"/>
    <col customWidth="1" min="3" max="3" width="20.0"/>
    <col customWidth="1" min="4" max="4" width="18.0"/>
    <col customWidth="1" min="5" max="5" width="12.0"/>
    <col customWidth="1" min="6" max="8" width="17.0"/>
    <col customWidth="1" min="9" max="9" width="15.0"/>
    <col customWidth="1" min="10" max="10" width="19.0"/>
    <col customWidth="1" min="11" max="11" width="30.0"/>
    <col customWidth="1" min="12" max="24" width="8.63"/>
  </cols>
  <sheetData>
    <row r="1" ht="24.75" customHeight="1">
      <c r="A1" s="4" t="s">
        <v>1</v>
      </c>
    </row>
    <row r="2" ht="24.75" customHeight="1"/>
    <row r="4" ht="33.75" customHeight="1">
      <c r="A4" s="2" t="s">
        <v>2</v>
      </c>
      <c r="B4" s="5" t="s">
        <v>20</v>
      </c>
      <c r="C4" s="2" t="s">
        <v>4</v>
      </c>
      <c r="D4" s="2" t="s">
        <v>5</v>
      </c>
      <c r="E4" s="2" t="s">
        <v>6</v>
      </c>
      <c r="F4" s="2" t="s">
        <v>7</v>
      </c>
      <c r="G4" s="5" t="s">
        <v>22</v>
      </c>
      <c r="H4" s="5" t="s">
        <v>23</v>
      </c>
      <c r="I4" s="2" t="s">
        <v>9</v>
      </c>
      <c r="J4" s="2" t="s">
        <v>10</v>
      </c>
      <c r="K4" s="2" t="s">
        <v>11</v>
      </c>
    </row>
    <row r="5">
      <c r="A5" s="6">
        <v>46296.0</v>
      </c>
      <c r="B5" s="3" t="s">
        <v>25</v>
      </c>
      <c r="C5" s="3" t="s">
        <v>26</v>
      </c>
      <c r="D5" s="3" t="s">
        <v>27</v>
      </c>
      <c r="E5" s="3">
        <v>29.0</v>
      </c>
      <c r="F5" s="3" t="s">
        <v>17</v>
      </c>
      <c r="H5" s="3" t="s">
        <v>18</v>
      </c>
      <c r="I5" s="3" t="s">
        <v>30</v>
      </c>
      <c r="J5" s="3" t="s">
        <v>32</v>
      </c>
      <c r="K5" s="7" t="s">
        <v>37</v>
      </c>
    </row>
    <row r="6">
      <c r="A6" s="6">
        <v>46297.0</v>
      </c>
      <c r="B6" s="3" t="s">
        <v>40</v>
      </c>
      <c r="C6" s="3" t="s">
        <v>42</v>
      </c>
      <c r="D6" s="3" t="s">
        <v>27</v>
      </c>
      <c r="E6" s="3">
        <v>77.0</v>
      </c>
      <c r="F6" s="3" t="s">
        <v>17</v>
      </c>
      <c r="H6" s="3" t="s">
        <v>18</v>
      </c>
      <c r="I6" s="3" t="s">
        <v>45</v>
      </c>
      <c r="J6" s="3" t="s">
        <v>21</v>
      </c>
      <c r="K6" s="3"/>
    </row>
    <row r="7">
      <c r="A7" s="6">
        <v>46298.0</v>
      </c>
      <c r="B7" s="3" t="s">
        <v>47</v>
      </c>
      <c r="C7" s="3" t="s">
        <v>48</v>
      </c>
      <c r="D7" s="7" t="s">
        <v>43</v>
      </c>
      <c r="E7" s="3">
        <v>12.0</v>
      </c>
      <c r="F7" s="3" t="s">
        <v>17</v>
      </c>
      <c r="H7" s="3" t="s">
        <v>18</v>
      </c>
      <c r="I7" s="3" t="s">
        <v>49</v>
      </c>
      <c r="J7" s="3" t="s">
        <v>21</v>
      </c>
      <c r="K7" s="3"/>
    </row>
    <row r="8">
      <c r="A8" s="6">
        <v>46300.0</v>
      </c>
      <c r="B8" s="3" t="s">
        <v>51</v>
      </c>
      <c r="C8" s="3" t="s">
        <v>52</v>
      </c>
      <c r="D8" s="7" t="s">
        <v>43</v>
      </c>
      <c r="E8" s="3">
        <v>15.0</v>
      </c>
      <c r="F8" s="3" t="s">
        <v>17</v>
      </c>
      <c r="H8" s="3" t="s">
        <v>18</v>
      </c>
      <c r="I8" s="3" t="s">
        <v>55</v>
      </c>
      <c r="J8" s="3" t="s">
        <v>21</v>
      </c>
      <c r="K8" s="3"/>
    </row>
    <row r="9">
      <c r="A9" s="6">
        <v>46300.0</v>
      </c>
      <c r="B9" s="3" t="s">
        <v>56</v>
      </c>
      <c r="C9" s="3" t="s">
        <v>57</v>
      </c>
      <c r="D9" s="3" t="s">
        <v>27</v>
      </c>
      <c r="E9" s="3">
        <v>24.0</v>
      </c>
      <c r="F9" s="3" t="s">
        <v>17</v>
      </c>
      <c r="H9" s="3" t="s">
        <v>18</v>
      </c>
      <c r="I9" s="3" t="s">
        <v>44</v>
      </c>
      <c r="J9" s="3" t="s">
        <v>21</v>
      </c>
      <c r="K9" s="3"/>
    </row>
    <row r="10">
      <c r="A10" s="6">
        <v>46300.0</v>
      </c>
      <c r="B10" s="3" t="s">
        <v>60</v>
      </c>
      <c r="C10" s="3" t="s">
        <v>52</v>
      </c>
      <c r="D10" s="7" t="s">
        <v>16</v>
      </c>
      <c r="E10" s="3">
        <v>7.0</v>
      </c>
      <c r="F10" s="3" t="s">
        <v>17</v>
      </c>
      <c r="H10" s="3" t="s">
        <v>18</v>
      </c>
      <c r="I10" s="3" t="s">
        <v>55</v>
      </c>
      <c r="J10" s="3" t="s">
        <v>21</v>
      </c>
      <c r="K10" s="3"/>
    </row>
    <row r="11">
      <c r="A11" s="6">
        <v>46301.0</v>
      </c>
      <c r="B11" s="3" t="s">
        <v>66</v>
      </c>
      <c r="C11" s="3" t="s">
        <v>67</v>
      </c>
      <c r="D11" s="3" t="s">
        <v>27</v>
      </c>
      <c r="E11" s="3">
        <v>22.0</v>
      </c>
      <c r="F11" s="3" t="s">
        <v>17</v>
      </c>
      <c r="H11" s="3" t="s">
        <v>70</v>
      </c>
      <c r="I11" s="3" t="s">
        <v>71</v>
      </c>
      <c r="J11" s="3" t="s">
        <v>64</v>
      </c>
      <c r="K11" s="3"/>
    </row>
    <row r="12">
      <c r="A12" s="6">
        <v>46301.0</v>
      </c>
      <c r="B12" s="3" t="s">
        <v>72</v>
      </c>
      <c r="C12" s="3" t="s">
        <v>73</v>
      </c>
      <c r="D12" s="3" t="s">
        <v>27</v>
      </c>
      <c r="E12" s="3">
        <v>32.0</v>
      </c>
      <c r="F12" s="3" t="s">
        <v>17</v>
      </c>
      <c r="H12" s="3" t="s">
        <v>18</v>
      </c>
      <c r="I12" s="3" t="s">
        <v>75</v>
      </c>
      <c r="J12" s="3" t="s">
        <v>21</v>
      </c>
      <c r="K12" s="3"/>
    </row>
    <row r="13">
      <c r="A13" s="6">
        <v>46301.0</v>
      </c>
      <c r="B13" s="3" t="s">
        <v>76</v>
      </c>
      <c r="C13" s="3" t="s">
        <v>77</v>
      </c>
      <c r="D13" s="3" t="s">
        <v>27</v>
      </c>
      <c r="E13" s="3">
        <v>24.0</v>
      </c>
      <c r="F13" s="3" t="s">
        <v>17</v>
      </c>
      <c r="H13" s="3" t="s">
        <v>70</v>
      </c>
      <c r="I13" s="3" t="s">
        <v>75</v>
      </c>
      <c r="J13" s="3" t="s">
        <v>64</v>
      </c>
      <c r="K13" s="3"/>
    </row>
    <row r="14">
      <c r="A14" s="6">
        <v>46301.0</v>
      </c>
      <c r="B14" s="3" t="s">
        <v>80</v>
      </c>
      <c r="C14" s="3" t="s">
        <v>81</v>
      </c>
      <c r="D14" s="3" t="s">
        <v>27</v>
      </c>
      <c r="E14" s="3">
        <v>40.0</v>
      </c>
      <c r="F14" s="3" t="s">
        <v>17</v>
      </c>
      <c r="H14" s="3" t="s">
        <v>70</v>
      </c>
      <c r="I14" s="3" t="s">
        <v>49</v>
      </c>
      <c r="J14" s="3" t="s">
        <v>64</v>
      </c>
      <c r="K14" s="3"/>
    </row>
    <row r="15">
      <c r="A15" s="6">
        <v>46301.0</v>
      </c>
      <c r="B15" s="3" t="s">
        <v>83</v>
      </c>
      <c r="C15" s="3" t="s">
        <v>84</v>
      </c>
      <c r="D15" s="3" t="s">
        <v>27</v>
      </c>
      <c r="E15" s="3">
        <v>35.0</v>
      </c>
      <c r="F15" s="3" t="s">
        <v>17</v>
      </c>
      <c r="H15" s="3" t="s">
        <v>31</v>
      </c>
      <c r="I15" s="3" t="s">
        <v>71</v>
      </c>
      <c r="J15" s="3" t="s">
        <v>32</v>
      </c>
      <c r="K15" s="7" t="s">
        <v>88</v>
      </c>
    </row>
    <row r="16">
      <c r="A16" s="6">
        <v>46303.0</v>
      </c>
      <c r="B16" s="3" t="s">
        <v>89</v>
      </c>
      <c r="C16" s="3" t="s">
        <v>91</v>
      </c>
      <c r="D16" s="3" t="s">
        <v>27</v>
      </c>
      <c r="E16" s="3">
        <v>18.0</v>
      </c>
      <c r="F16" s="3" t="s">
        <v>17</v>
      </c>
      <c r="H16" s="3" t="s">
        <v>18</v>
      </c>
      <c r="I16" s="3" t="s">
        <v>30</v>
      </c>
      <c r="J16" s="3" t="s">
        <v>64</v>
      </c>
      <c r="K16" s="3"/>
    </row>
    <row r="17">
      <c r="A17" s="6">
        <v>46303.0</v>
      </c>
      <c r="B17" s="3" t="s">
        <v>97</v>
      </c>
      <c r="C17" s="3" t="s">
        <v>99</v>
      </c>
      <c r="D17" s="7" t="s">
        <v>16</v>
      </c>
      <c r="E17" s="3">
        <v>11.0</v>
      </c>
      <c r="F17" s="3" t="s">
        <v>17</v>
      </c>
      <c r="H17" s="3" t="s">
        <v>18</v>
      </c>
      <c r="I17" s="3" t="s">
        <v>44</v>
      </c>
      <c r="J17" s="3" t="s">
        <v>21</v>
      </c>
      <c r="K17" s="3"/>
    </row>
    <row r="18">
      <c r="A18" s="6">
        <v>46303.0</v>
      </c>
      <c r="B18" s="3" t="s">
        <v>101</v>
      </c>
      <c r="C18" s="3" t="s">
        <v>99</v>
      </c>
      <c r="D18" s="7" t="s">
        <v>16</v>
      </c>
      <c r="E18" s="3">
        <v>12.0</v>
      </c>
      <c r="F18" s="3" t="s">
        <v>17</v>
      </c>
      <c r="H18" s="3" t="s">
        <v>18</v>
      </c>
      <c r="I18" s="3" t="s">
        <v>44</v>
      </c>
      <c r="J18" s="3" t="s">
        <v>21</v>
      </c>
      <c r="K18" s="3"/>
    </row>
    <row r="19">
      <c r="A19" s="6">
        <v>46303.0</v>
      </c>
      <c r="B19" s="3" t="s">
        <v>106</v>
      </c>
      <c r="C19" s="3" t="s">
        <v>91</v>
      </c>
      <c r="D19" s="3" t="s">
        <v>27</v>
      </c>
      <c r="E19" s="3">
        <v>35.0</v>
      </c>
      <c r="F19" s="3" t="s">
        <v>17</v>
      </c>
      <c r="H19" s="3" t="s">
        <v>18</v>
      </c>
      <c r="I19" s="3" t="s">
        <v>30</v>
      </c>
      <c r="J19" s="3" t="s">
        <v>64</v>
      </c>
      <c r="K19" s="3"/>
    </row>
    <row r="20">
      <c r="A20" s="6">
        <v>46303.0</v>
      </c>
      <c r="B20" s="3" t="s">
        <v>112</v>
      </c>
      <c r="C20" s="3" t="s">
        <v>113</v>
      </c>
      <c r="D20" s="3" t="s">
        <v>27</v>
      </c>
      <c r="E20" s="3">
        <v>49.0</v>
      </c>
      <c r="F20" s="3" t="s">
        <v>17</v>
      </c>
      <c r="H20" s="3" t="s">
        <v>18</v>
      </c>
      <c r="I20" s="3" t="s">
        <v>30</v>
      </c>
      <c r="J20" s="3" t="s">
        <v>64</v>
      </c>
      <c r="K20" s="3"/>
    </row>
    <row r="21" ht="15.75" customHeight="1">
      <c r="A21" s="6">
        <v>46304.0</v>
      </c>
      <c r="B21" s="3" t="s">
        <v>117</v>
      </c>
      <c r="C21" s="3" t="s">
        <v>118</v>
      </c>
      <c r="D21" s="3" t="s">
        <v>27</v>
      </c>
      <c r="E21" s="3">
        <v>22.0</v>
      </c>
      <c r="F21" s="3" t="s">
        <v>17</v>
      </c>
      <c r="H21" s="3" t="s">
        <v>70</v>
      </c>
      <c r="I21" s="3" t="s">
        <v>44</v>
      </c>
      <c r="J21" s="3" t="s">
        <v>32</v>
      </c>
      <c r="K21" s="7" t="s">
        <v>88</v>
      </c>
    </row>
    <row r="22" ht="15.75" customHeight="1">
      <c r="A22" s="6">
        <v>46307.0</v>
      </c>
      <c r="B22" s="3" t="s">
        <v>122</v>
      </c>
      <c r="C22" s="3" t="s">
        <v>123</v>
      </c>
      <c r="D22" s="7" t="s">
        <v>16</v>
      </c>
      <c r="E22" s="3">
        <v>9.0</v>
      </c>
      <c r="F22" s="3" t="s">
        <v>17</v>
      </c>
      <c r="H22" s="3" t="s">
        <v>18</v>
      </c>
      <c r="I22" s="3" t="s">
        <v>30</v>
      </c>
      <c r="J22" s="3" t="s">
        <v>32</v>
      </c>
      <c r="K22" s="7" t="s">
        <v>125</v>
      </c>
    </row>
    <row r="23" ht="15.75" customHeight="1">
      <c r="A23" s="6">
        <v>46307.0</v>
      </c>
      <c r="B23" s="3" t="s">
        <v>126</v>
      </c>
      <c r="C23" s="3" t="s">
        <v>127</v>
      </c>
      <c r="D23" s="7" t="s">
        <v>43</v>
      </c>
      <c r="E23" s="3">
        <v>17.0</v>
      </c>
      <c r="F23" s="3" t="s">
        <v>17</v>
      </c>
      <c r="H23" s="3" t="s">
        <v>18</v>
      </c>
      <c r="I23" s="3" t="s">
        <v>19</v>
      </c>
      <c r="J23" s="3" t="s">
        <v>21</v>
      </c>
      <c r="K23" s="3"/>
    </row>
    <row r="24" ht="15.75" customHeight="1">
      <c r="A24" s="6">
        <v>46308.0</v>
      </c>
      <c r="B24" s="3" t="s">
        <v>130</v>
      </c>
      <c r="C24" s="3" t="s">
        <v>131</v>
      </c>
      <c r="D24" s="3" t="s">
        <v>27</v>
      </c>
      <c r="E24" s="3">
        <v>55.0</v>
      </c>
      <c r="F24" s="3" t="s">
        <v>132</v>
      </c>
      <c r="I24" s="3" t="s">
        <v>30</v>
      </c>
      <c r="J24" s="3" t="s">
        <v>64</v>
      </c>
      <c r="K24" s="3"/>
    </row>
    <row r="25" ht="15.75" customHeight="1">
      <c r="A25" s="6">
        <v>46308.0</v>
      </c>
      <c r="B25" s="3" t="s">
        <v>136</v>
      </c>
      <c r="C25" s="3" t="s">
        <v>137</v>
      </c>
      <c r="D25" s="7" t="s">
        <v>43</v>
      </c>
      <c r="E25" s="3">
        <v>17.0</v>
      </c>
      <c r="F25" s="3" t="s">
        <v>17</v>
      </c>
      <c r="H25" s="3" t="s">
        <v>18</v>
      </c>
      <c r="I25" s="3" t="s">
        <v>49</v>
      </c>
      <c r="J25" s="3" t="s">
        <v>21</v>
      </c>
      <c r="K25" s="3"/>
    </row>
    <row r="26" ht="15.75" customHeight="1">
      <c r="A26" s="6">
        <v>46308.0</v>
      </c>
      <c r="B26" s="3" t="s">
        <v>140</v>
      </c>
      <c r="C26" s="3" t="s">
        <v>131</v>
      </c>
      <c r="D26" s="7" t="s">
        <v>43</v>
      </c>
      <c r="E26" s="3">
        <v>15.0</v>
      </c>
      <c r="F26" s="3" t="s">
        <v>132</v>
      </c>
      <c r="I26" s="3" t="s">
        <v>30</v>
      </c>
      <c r="J26" s="3" t="s">
        <v>64</v>
      </c>
      <c r="K26" s="3"/>
    </row>
    <row r="27" ht="15.75" customHeight="1">
      <c r="A27" s="6">
        <v>46308.0</v>
      </c>
      <c r="B27" s="3" t="s">
        <v>143</v>
      </c>
      <c r="C27" s="3" t="s">
        <v>144</v>
      </c>
      <c r="D27" s="7" t="s">
        <v>43</v>
      </c>
      <c r="E27" s="3">
        <v>12.0</v>
      </c>
      <c r="F27" s="3" t="s">
        <v>17</v>
      </c>
      <c r="H27" s="3" t="s">
        <v>31</v>
      </c>
      <c r="I27" s="3" t="s">
        <v>19</v>
      </c>
      <c r="J27" s="3" t="s">
        <v>64</v>
      </c>
      <c r="K27" s="3"/>
    </row>
    <row r="28" ht="15.75" customHeight="1">
      <c r="A28" s="6">
        <v>46308.0</v>
      </c>
      <c r="B28" s="3" t="s">
        <v>146</v>
      </c>
      <c r="C28" s="3" t="s">
        <v>147</v>
      </c>
      <c r="D28" s="7" t="s">
        <v>43</v>
      </c>
      <c r="E28" s="3">
        <v>15.0</v>
      </c>
      <c r="F28" s="3" t="s">
        <v>17</v>
      </c>
      <c r="H28" s="3" t="s">
        <v>18</v>
      </c>
      <c r="I28" s="3" t="s">
        <v>49</v>
      </c>
      <c r="J28" s="3" t="s">
        <v>21</v>
      </c>
      <c r="K28" s="3"/>
    </row>
    <row r="29" ht="15.75" customHeight="1">
      <c r="A29" s="6">
        <v>46308.0</v>
      </c>
      <c r="B29" s="3" t="s">
        <v>151</v>
      </c>
      <c r="C29" s="3" t="s">
        <v>131</v>
      </c>
      <c r="D29" s="3" t="s">
        <v>27</v>
      </c>
      <c r="E29" s="3">
        <v>18.0</v>
      </c>
      <c r="F29" s="3" t="s">
        <v>132</v>
      </c>
      <c r="I29" s="3" t="s">
        <v>30</v>
      </c>
      <c r="J29" s="3" t="s">
        <v>64</v>
      </c>
      <c r="K29" s="3"/>
    </row>
    <row r="30" ht="15.75" customHeight="1">
      <c r="A30" s="6">
        <v>46310.0</v>
      </c>
      <c r="B30" s="3" t="s">
        <v>152</v>
      </c>
      <c r="C30" s="3" t="s">
        <v>154</v>
      </c>
      <c r="D30" s="3" t="s">
        <v>27</v>
      </c>
      <c r="E30" s="3">
        <v>33.0</v>
      </c>
      <c r="F30" s="3" t="s">
        <v>17</v>
      </c>
      <c r="H30" s="3" t="s">
        <v>70</v>
      </c>
      <c r="I30" s="3" t="s">
        <v>71</v>
      </c>
      <c r="J30" s="3" t="s">
        <v>32</v>
      </c>
      <c r="K30" s="7" t="s">
        <v>125</v>
      </c>
    </row>
    <row r="31" ht="15.75" customHeight="1">
      <c r="A31" s="6">
        <v>46310.0</v>
      </c>
      <c r="B31" s="3" t="s">
        <v>156</v>
      </c>
      <c r="C31" s="3" t="s">
        <v>158</v>
      </c>
      <c r="D31" s="3" t="s">
        <v>27</v>
      </c>
      <c r="E31" s="3">
        <v>24.0</v>
      </c>
      <c r="F31" s="3" t="s">
        <v>17</v>
      </c>
      <c r="H31" s="3" t="s">
        <v>18</v>
      </c>
      <c r="I31" s="3" t="s">
        <v>30</v>
      </c>
      <c r="J31" s="3" t="s">
        <v>21</v>
      </c>
      <c r="K31" s="3"/>
    </row>
    <row r="32" ht="15.75" customHeight="1">
      <c r="A32" s="6">
        <v>46310.0</v>
      </c>
      <c r="B32" s="7" t="s">
        <v>159</v>
      </c>
      <c r="C32" s="3" t="s">
        <v>161</v>
      </c>
      <c r="D32" s="7" t="s">
        <v>43</v>
      </c>
      <c r="E32" s="3">
        <v>12.0</v>
      </c>
      <c r="F32" s="3" t="s">
        <v>17</v>
      </c>
      <c r="H32" s="3" t="s">
        <v>31</v>
      </c>
      <c r="I32" s="3" t="s">
        <v>44</v>
      </c>
      <c r="J32" s="3" t="s">
        <v>32</v>
      </c>
      <c r="K32" s="7" t="s">
        <v>125</v>
      </c>
    </row>
    <row r="33" ht="15.75" customHeight="1">
      <c r="A33" s="6">
        <v>46310.0</v>
      </c>
      <c r="B33" s="3" t="s">
        <v>164</v>
      </c>
      <c r="D33" s="3" t="s">
        <v>27</v>
      </c>
      <c r="E33" s="3">
        <v>28.0</v>
      </c>
      <c r="F33" s="3" t="s">
        <v>17</v>
      </c>
      <c r="H33" s="3" t="s">
        <v>18</v>
      </c>
      <c r="I33" s="3" t="s">
        <v>30</v>
      </c>
      <c r="J33" s="3" t="s">
        <v>64</v>
      </c>
      <c r="K33" s="3"/>
    </row>
    <row r="34" ht="15.75" customHeight="1">
      <c r="A34" s="6">
        <v>46310.0</v>
      </c>
      <c r="B34" s="7" t="s">
        <v>168</v>
      </c>
      <c r="C34" s="3" t="s">
        <v>161</v>
      </c>
      <c r="D34" s="7" t="s">
        <v>43</v>
      </c>
      <c r="E34" s="3">
        <v>14.0</v>
      </c>
      <c r="F34" s="3" t="s">
        <v>17</v>
      </c>
      <c r="H34" s="3" t="s">
        <v>31</v>
      </c>
      <c r="I34" s="3" t="s">
        <v>44</v>
      </c>
      <c r="J34" s="3" t="s">
        <v>32</v>
      </c>
      <c r="K34" s="7" t="s">
        <v>125</v>
      </c>
    </row>
    <row r="35" ht="15.75" customHeight="1">
      <c r="A35" s="6">
        <v>46310.0</v>
      </c>
      <c r="B35" s="3" t="s">
        <v>171</v>
      </c>
      <c r="C35" s="3" t="s">
        <v>173</v>
      </c>
      <c r="D35" s="3" t="s">
        <v>27</v>
      </c>
      <c r="E35" s="3">
        <v>34.0</v>
      </c>
      <c r="F35" s="3" t="s">
        <v>17</v>
      </c>
      <c r="H35" s="3" t="s">
        <v>31</v>
      </c>
      <c r="I35" s="3" t="s">
        <v>30</v>
      </c>
      <c r="J35" s="3" t="s">
        <v>64</v>
      </c>
      <c r="K35" s="3"/>
    </row>
    <row r="36" ht="15.75" customHeight="1">
      <c r="A36" s="6">
        <v>46311.0</v>
      </c>
      <c r="B36" s="3" t="s">
        <v>175</v>
      </c>
      <c r="C36" s="3" t="s">
        <v>176</v>
      </c>
      <c r="D36" s="7" t="s">
        <v>43</v>
      </c>
      <c r="E36" s="3">
        <v>14.0</v>
      </c>
      <c r="F36" s="3" t="s">
        <v>17</v>
      </c>
      <c r="H36" s="3" t="s">
        <v>31</v>
      </c>
      <c r="I36" s="3" t="s">
        <v>44</v>
      </c>
      <c r="J36" s="3" t="s">
        <v>32</v>
      </c>
      <c r="K36" s="7" t="s">
        <v>38</v>
      </c>
    </row>
    <row r="37" ht="15.75" customHeight="1">
      <c r="A37" s="6">
        <v>46311.0</v>
      </c>
      <c r="B37" s="3" t="s">
        <v>186</v>
      </c>
      <c r="C37" s="3" t="s">
        <v>187</v>
      </c>
      <c r="D37" s="7" t="s">
        <v>43</v>
      </c>
      <c r="E37" s="3">
        <v>15.0</v>
      </c>
      <c r="F37" s="3" t="s">
        <v>17</v>
      </c>
      <c r="H37" s="3" t="s">
        <v>31</v>
      </c>
      <c r="I37" s="3" t="s">
        <v>44</v>
      </c>
      <c r="J37" s="3" t="s">
        <v>64</v>
      </c>
      <c r="K37" s="3"/>
    </row>
    <row r="38" ht="15.75" customHeight="1">
      <c r="A38" s="6">
        <v>46314.0</v>
      </c>
      <c r="B38" s="3" t="s">
        <v>190</v>
      </c>
      <c r="C38" s="3" t="s">
        <v>191</v>
      </c>
      <c r="D38" s="3" t="s">
        <v>27</v>
      </c>
      <c r="E38" s="3">
        <v>38.0</v>
      </c>
      <c r="F38" s="3" t="s">
        <v>17</v>
      </c>
      <c r="H38" s="3" t="s">
        <v>31</v>
      </c>
      <c r="I38" s="3" t="s">
        <v>193</v>
      </c>
      <c r="J38" s="7" t="s">
        <v>21</v>
      </c>
      <c r="K38" s="3"/>
    </row>
    <row r="39" ht="15.75" customHeight="1">
      <c r="A39" s="6">
        <v>46314.0</v>
      </c>
      <c r="B39" s="3" t="s">
        <v>196</v>
      </c>
      <c r="C39" s="3" t="s">
        <v>197</v>
      </c>
      <c r="D39" s="7" t="s">
        <v>43</v>
      </c>
      <c r="E39" s="3">
        <v>14.0</v>
      </c>
      <c r="F39" s="3" t="s">
        <v>17</v>
      </c>
      <c r="H39" s="3" t="s">
        <v>18</v>
      </c>
      <c r="I39" s="3" t="s">
        <v>199</v>
      </c>
      <c r="J39" s="7" t="s">
        <v>32</v>
      </c>
      <c r="K39" s="7" t="s">
        <v>37</v>
      </c>
    </row>
    <row r="40" ht="15.75" customHeight="1">
      <c r="A40" s="6">
        <v>46315.0</v>
      </c>
      <c r="B40" s="3" t="s">
        <v>201</v>
      </c>
      <c r="C40" s="3" t="s">
        <v>202</v>
      </c>
      <c r="D40" s="7" t="s">
        <v>43</v>
      </c>
      <c r="E40" s="3">
        <v>12.0</v>
      </c>
      <c r="F40" s="3" t="s">
        <v>17</v>
      </c>
      <c r="H40" s="3" t="s">
        <v>31</v>
      </c>
      <c r="I40" s="3" t="s">
        <v>203</v>
      </c>
      <c r="J40" s="7" t="s">
        <v>21</v>
      </c>
      <c r="K40" s="7" t="s">
        <v>38</v>
      </c>
    </row>
    <row r="41" ht="15.75" customHeight="1">
      <c r="A41" s="8">
        <v>46315.0</v>
      </c>
      <c r="B41" s="9" t="s">
        <v>209</v>
      </c>
      <c r="C41" s="9">
        <v>7.712091673E9</v>
      </c>
      <c r="D41" s="7" t="s">
        <v>16</v>
      </c>
      <c r="E41" s="7">
        <v>11.0</v>
      </c>
      <c r="F41" s="3" t="s">
        <v>17</v>
      </c>
      <c r="H41" s="7" t="s">
        <v>18</v>
      </c>
      <c r="I41" s="7" t="s">
        <v>211</v>
      </c>
      <c r="J41" s="7" t="s">
        <v>21</v>
      </c>
      <c r="K41" s="7" t="s">
        <v>38</v>
      </c>
    </row>
    <row r="42" ht="15.75" customHeight="1">
      <c r="A42" s="8">
        <v>46317.0</v>
      </c>
      <c r="B42" s="9" t="s">
        <v>214</v>
      </c>
      <c r="C42" s="9">
        <v>7.712940466E9</v>
      </c>
      <c r="D42" s="7" t="s">
        <v>27</v>
      </c>
      <c r="E42" s="7">
        <v>18.0</v>
      </c>
      <c r="F42" s="7" t="s">
        <v>17</v>
      </c>
      <c r="G42" s="7" t="s">
        <v>216</v>
      </c>
      <c r="H42" s="7" t="s">
        <v>31</v>
      </c>
      <c r="I42" s="7" t="s">
        <v>218</v>
      </c>
      <c r="J42" s="7" t="s">
        <v>32</v>
      </c>
      <c r="K42" s="7" t="s">
        <v>38</v>
      </c>
      <c r="L42" s="7"/>
    </row>
    <row r="43" ht="15.75" customHeight="1">
      <c r="A43" s="8">
        <v>46317.0</v>
      </c>
      <c r="B43" s="9" t="s">
        <v>219</v>
      </c>
      <c r="C43" s="9">
        <v>7.712940466E9</v>
      </c>
      <c r="D43" s="7" t="s">
        <v>16</v>
      </c>
      <c r="E43" s="7">
        <v>13.0</v>
      </c>
      <c r="F43" s="7" t="s">
        <v>17</v>
      </c>
      <c r="G43" s="7" t="s">
        <v>223</v>
      </c>
      <c r="H43" s="7" t="s">
        <v>31</v>
      </c>
      <c r="I43" s="7" t="s">
        <v>224</v>
      </c>
      <c r="J43" s="7" t="s">
        <v>64</v>
      </c>
      <c r="K43" s="3"/>
      <c r="L43" s="7"/>
    </row>
    <row r="44" ht="15.75" customHeight="1">
      <c r="A44" s="8">
        <v>46317.0</v>
      </c>
      <c r="B44" s="9" t="s">
        <v>226</v>
      </c>
      <c r="C44" s="9">
        <v>7.721049117E9</v>
      </c>
      <c r="D44" s="7" t="s">
        <v>27</v>
      </c>
      <c r="E44" s="7">
        <v>24.0</v>
      </c>
      <c r="F44" s="7" t="s">
        <v>17</v>
      </c>
      <c r="G44" s="7" t="s">
        <v>228</v>
      </c>
      <c r="H44" s="7" t="s">
        <v>31</v>
      </c>
      <c r="I44" s="7" t="s">
        <v>229</v>
      </c>
      <c r="J44" s="7" t="s">
        <v>32</v>
      </c>
      <c r="K44" s="3"/>
      <c r="L44" s="7"/>
    </row>
    <row r="45" ht="15.75" customHeight="1">
      <c r="A45" s="6">
        <v>46318.0</v>
      </c>
      <c r="B45" s="3" t="s">
        <v>232</v>
      </c>
      <c r="C45" s="3" t="s">
        <v>233</v>
      </c>
      <c r="D45" s="3" t="s">
        <v>27</v>
      </c>
      <c r="E45" s="3">
        <v>21.0</v>
      </c>
      <c r="F45" s="3" t="s">
        <v>17</v>
      </c>
      <c r="H45" s="3" t="s">
        <v>31</v>
      </c>
      <c r="I45" s="3" t="s">
        <v>234</v>
      </c>
      <c r="J45" s="7" t="s">
        <v>64</v>
      </c>
      <c r="K45" s="3"/>
    </row>
    <row r="46" ht="15.75" customHeight="1">
      <c r="A46" s="6">
        <v>46318.0</v>
      </c>
      <c r="B46" s="3" t="s">
        <v>238</v>
      </c>
      <c r="C46" s="3" t="s">
        <v>233</v>
      </c>
      <c r="D46" s="7" t="s">
        <v>43</v>
      </c>
      <c r="E46" s="3">
        <v>15.0</v>
      </c>
      <c r="F46" s="3" t="s">
        <v>17</v>
      </c>
      <c r="H46" s="3" t="s">
        <v>31</v>
      </c>
      <c r="I46" s="3" t="s">
        <v>234</v>
      </c>
      <c r="J46" s="7" t="s">
        <v>64</v>
      </c>
      <c r="K46" s="3"/>
    </row>
    <row r="47" ht="15.75" customHeight="1">
      <c r="A47" s="10">
        <v>46318.0</v>
      </c>
      <c r="B47" s="11" t="s">
        <v>241</v>
      </c>
      <c r="C47" s="3" t="s">
        <v>242</v>
      </c>
      <c r="D47" s="3" t="s">
        <v>27</v>
      </c>
      <c r="E47" s="3">
        <v>33.0</v>
      </c>
      <c r="F47" s="3" t="s">
        <v>17</v>
      </c>
      <c r="H47" s="3" t="s">
        <v>31</v>
      </c>
      <c r="I47" s="3" t="s">
        <v>234</v>
      </c>
      <c r="J47" s="3" t="s">
        <v>243</v>
      </c>
      <c r="K47" s="3"/>
    </row>
    <row r="48" ht="15.75" customHeight="1">
      <c r="A48" s="6">
        <v>46319.0</v>
      </c>
      <c r="B48" s="3" t="s">
        <v>244</v>
      </c>
      <c r="C48" s="3" t="s">
        <v>245</v>
      </c>
      <c r="D48" s="3" t="s">
        <v>27</v>
      </c>
      <c r="E48" s="3">
        <v>38.0</v>
      </c>
      <c r="F48" s="3" t="s">
        <v>17</v>
      </c>
      <c r="H48" s="3" t="s">
        <v>18</v>
      </c>
      <c r="I48" s="3" t="s">
        <v>49</v>
      </c>
      <c r="J48" s="3" t="s">
        <v>243</v>
      </c>
      <c r="K48" s="3"/>
    </row>
    <row r="49" ht="15.75" customHeight="1">
      <c r="A49" s="6">
        <v>46319.0</v>
      </c>
      <c r="B49" s="3" t="s">
        <v>246</v>
      </c>
      <c r="C49" s="3" t="s">
        <v>247</v>
      </c>
      <c r="D49" s="7" t="s">
        <v>43</v>
      </c>
      <c r="E49" s="3">
        <v>14.0</v>
      </c>
      <c r="F49" s="3" t="s">
        <v>17</v>
      </c>
      <c r="H49" s="3" t="s">
        <v>18</v>
      </c>
      <c r="I49" s="7" t="s">
        <v>49</v>
      </c>
      <c r="J49" s="3" t="s">
        <v>243</v>
      </c>
      <c r="K49" s="3"/>
    </row>
    <row r="50" ht="15.75" customHeight="1">
      <c r="A50" s="6">
        <v>46319.0</v>
      </c>
      <c r="B50" s="12" t="s">
        <v>248</v>
      </c>
      <c r="C50" s="3" t="s">
        <v>249</v>
      </c>
      <c r="D50" s="7" t="s">
        <v>43</v>
      </c>
      <c r="E50" s="3">
        <v>15.0</v>
      </c>
      <c r="F50" s="3" t="s">
        <v>17</v>
      </c>
      <c r="H50" s="3" t="s">
        <v>18</v>
      </c>
      <c r="I50" s="3" t="s">
        <v>111</v>
      </c>
      <c r="J50" s="3" t="s">
        <v>243</v>
      </c>
      <c r="K50" s="3"/>
    </row>
    <row r="51" ht="15.75" customHeight="1">
      <c r="A51" s="6">
        <v>46319.0</v>
      </c>
      <c r="B51" s="12" t="s">
        <v>251</v>
      </c>
      <c r="C51" s="3" t="s">
        <v>249</v>
      </c>
      <c r="D51" s="7" t="s">
        <v>16</v>
      </c>
      <c r="E51" s="3">
        <v>10.0</v>
      </c>
      <c r="F51" s="3" t="s">
        <v>17</v>
      </c>
      <c r="H51" s="3" t="s">
        <v>18</v>
      </c>
      <c r="I51" s="3" t="s">
        <v>111</v>
      </c>
      <c r="J51" s="3" t="s">
        <v>243</v>
      </c>
      <c r="K51" s="3"/>
    </row>
    <row r="52" ht="15.75" customHeight="1">
      <c r="A52" s="6">
        <v>46319.0</v>
      </c>
      <c r="B52" s="3" t="s">
        <v>255</v>
      </c>
      <c r="C52" s="3" t="s">
        <v>256</v>
      </c>
      <c r="D52" s="7" t="s">
        <v>16</v>
      </c>
      <c r="E52" s="3">
        <v>11.0</v>
      </c>
      <c r="F52" s="3" t="s">
        <v>17</v>
      </c>
      <c r="H52" s="3" t="s">
        <v>31</v>
      </c>
      <c r="I52" s="3" t="s">
        <v>257</v>
      </c>
      <c r="J52" s="3" t="s">
        <v>243</v>
      </c>
      <c r="K52" s="3"/>
    </row>
    <row r="53" ht="15.75" customHeight="1">
      <c r="A53" s="6">
        <v>46319.0</v>
      </c>
      <c r="B53" s="3" t="s">
        <v>260</v>
      </c>
      <c r="C53" s="3" t="s">
        <v>261</v>
      </c>
      <c r="D53" s="7" t="s">
        <v>16</v>
      </c>
      <c r="E53" s="3">
        <v>8.0</v>
      </c>
      <c r="F53" s="3" t="s">
        <v>17</v>
      </c>
      <c r="H53" s="3" t="s">
        <v>31</v>
      </c>
      <c r="I53" s="3" t="s">
        <v>257</v>
      </c>
      <c r="J53" s="3" t="s">
        <v>243</v>
      </c>
      <c r="K53" s="3"/>
    </row>
    <row r="54" ht="15.75" customHeight="1">
      <c r="A54" s="8">
        <v>46321.0</v>
      </c>
      <c r="B54" s="7" t="s">
        <v>263</v>
      </c>
      <c r="C54" s="9"/>
      <c r="D54" s="7" t="s">
        <v>16</v>
      </c>
      <c r="E54" s="7">
        <v>15.0</v>
      </c>
      <c r="F54" s="7" t="s">
        <v>17</v>
      </c>
      <c r="G54" s="7" t="s">
        <v>264</v>
      </c>
      <c r="H54" s="7" t="s">
        <v>31</v>
      </c>
      <c r="I54" s="7" t="s">
        <v>203</v>
      </c>
      <c r="J54" s="7" t="s">
        <v>243</v>
      </c>
      <c r="K54" s="3"/>
    </row>
    <row r="55" ht="15.75" customHeight="1">
      <c r="A55" s="8">
        <v>46321.0</v>
      </c>
      <c r="B55" s="7" t="s">
        <v>267</v>
      </c>
      <c r="C55" s="9" t="s">
        <v>268</v>
      </c>
      <c r="D55" s="7" t="s">
        <v>16</v>
      </c>
      <c r="E55" s="7">
        <v>9.0</v>
      </c>
      <c r="F55" s="7" t="s">
        <v>17</v>
      </c>
      <c r="G55" s="7" t="s">
        <v>264</v>
      </c>
      <c r="H55" s="7" t="s">
        <v>31</v>
      </c>
      <c r="I55" s="7" t="s">
        <v>44</v>
      </c>
      <c r="J55" s="7" t="s">
        <v>243</v>
      </c>
      <c r="K55" s="3"/>
    </row>
    <row r="56" ht="15.75" customHeight="1">
      <c r="A56" s="8">
        <v>46321.0</v>
      </c>
      <c r="B56" s="7" t="s">
        <v>272</v>
      </c>
      <c r="C56" s="9" t="s">
        <v>268</v>
      </c>
      <c r="D56" s="7" t="s">
        <v>59</v>
      </c>
      <c r="E56" s="7">
        <v>6.0</v>
      </c>
      <c r="F56" s="7" t="s">
        <v>17</v>
      </c>
      <c r="G56" s="7" t="s">
        <v>264</v>
      </c>
      <c r="H56" s="7" t="s">
        <v>31</v>
      </c>
      <c r="I56" s="7" t="s">
        <v>44</v>
      </c>
      <c r="J56" s="7" t="s">
        <v>243</v>
      </c>
      <c r="K56" s="3"/>
    </row>
    <row r="57" ht="15.75" customHeight="1">
      <c r="A57" s="8">
        <v>46321.0</v>
      </c>
      <c r="B57" s="7" t="s">
        <v>276</v>
      </c>
      <c r="C57" s="9">
        <v>7.715685011E9</v>
      </c>
      <c r="D57" s="7" t="s">
        <v>27</v>
      </c>
      <c r="E57" s="7">
        <v>55.0</v>
      </c>
      <c r="F57" s="7" t="s">
        <v>17</v>
      </c>
      <c r="G57" s="7"/>
      <c r="H57" s="7" t="s">
        <v>70</v>
      </c>
      <c r="I57" s="7" t="s">
        <v>19</v>
      </c>
      <c r="J57" s="7" t="s">
        <v>243</v>
      </c>
      <c r="K57" s="3"/>
    </row>
    <row r="58" ht="15.75" customHeight="1">
      <c r="A58" s="8">
        <v>46321.0</v>
      </c>
      <c r="B58" s="7" t="s">
        <v>279</v>
      </c>
      <c r="C58" s="9" t="s">
        <v>280</v>
      </c>
      <c r="D58" s="7" t="s">
        <v>27</v>
      </c>
      <c r="E58" s="7">
        <v>35.0</v>
      </c>
      <c r="F58" s="7" t="s">
        <v>17</v>
      </c>
      <c r="G58" s="7" t="s">
        <v>223</v>
      </c>
      <c r="H58" s="7" t="s">
        <v>31</v>
      </c>
      <c r="I58" s="7" t="s">
        <v>19</v>
      </c>
      <c r="J58" s="7" t="s">
        <v>243</v>
      </c>
      <c r="K58" s="3"/>
    </row>
    <row r="59" ht="15.75" customHeight="1">
      <c r="A59" s="8">
        <v>46322.0</v>
      </c>
      <c r="B59" s="7" t="s">
        <v>283</v>
      </c>
      <c r="C59" s="9">
        <v>7.711755391E9</v>
      </c>
      <c r="D59" s="7" t="s">
        <v>27</v>
      </c>
      <c r="E59" s="7">
        <v>34.0</v>
      </c>
      <c r="F59" s="7" t="s">
        <v>132</v>
      </c>
      <c r="G59" s="7" t="s">
        <v>285</v>
      </c>
      <c r="H59" s="3" t="s">
        <v>31</v>
      </c>
      <c r="I59" s="7" t="s">
        <v>286</v>
      </c>
      <c r="J59" s="7" t="s">
        <v>243</v>
      </c>
      <c r="K59" s="3"/>
    </row>
    <row r="60" ht="15.75" customHeight="1">
      <c r="A60" s="8">
        <v>46322.0</v>
      </c>
      <c r="B60" s="7" t="s">
        <v>288</v>
      </c>
      <c r="C60" s="9"/>
      <c r="D60" s="7" t="s">
        <v>27</v>
      </c>
      <c r="E60" s="7">
        <v>29.0</v>
      </c>
      <c r="F60" s="7" t="s">
        <v>17</v>
      </c>
      <c r="G60" s="7" t="s">
        <v>223</v>
      </c>
      <c r="H60" s="3" t="s">
        <v>18</v>
      </c>
      <c r="I60" s="7" t="s">
        <v>291</v>
      </c>
      <c r="J60" s="7" t="s">
        <v>243</v>
      </c>
      <c r="K60" s="3"/>
    </row>
    <row r="61" ht="15.75" customHeight="1">
      <c r="A61" s="8">
        <v>46322.0</v>
      </c>
      <c r="B61" s="3" t="s">
        <v>293</v>
      </c>
      <c r="C61" s="3" t="s">
        <v>295</v>
      </c>
      <c r="D61" s="3" t="s">
        <v>27</v>
      </c>
      <c r="E61" s="3">
        <v>34.0</v>
      </c>
      <c r="F61" s="3" t="s">
        <v>17</v>
      </c>
      <c r="H61" s="3" t="s">
        <v>31</v>
      </c>
      <c r="I61" s="3" t="s">
        <v>297</v>
      </c>
      <c r="J61" s="3" t="s">
        <v>243</v>
      </c>
      <c r="K61" s="3"/>
    </row>
    <row r="62" ht="15.75" customHeight="1">
      <c r="A62" s="8">
        <v>46322.0</v>
      </c>
      <c r="B62" s="7" t="s">
        <v>298</v>
      </c>
      <c r="C62" s="9">
        <v>7.712169752E9</v>
      </c>
      <c r="D62" s="7" t="s">
        <v>27</v>
      </c>
      <c r="E62" s="7">
        <v>31.0</v>
      </c>
      <c r="F62" s="7" t="s">
        <v>17</v>
      </c>
      <c r="G62" s="7" t="s">
        <v>299</v>
      </c>
      <c r="H62" s="3" t="s">
        <v>18</v>
      </c>
      <c r="I62" s="7" t="s">
        <v>300</v>
      </c>
      <c r="J62" s="7" t="s">
        <v>243</v>
      </c>
      <c r="K62" s="3"/>
    </row>
    <row r="63" ht="15.75" customHeight="1">
      <c r="A63" s="8">
        <v>46322.0</v>
      </c>
      <c r="B63" s="7" t="s">
        <v>301</v>
      </c>
      <c r="C63" s="9">
        <v>7.712283476E9</v>
      </c>
      <c r="D63" s="7" t="s">
        <v>27</v>
      </c>
      <c r="E63" s="7">
        <v>24.0</v>
      </c>
      <c r="F63" s="7" t="s">
        <v>17</v>
      </c>
      <c r="G63" s="7" t="s">
        <v>299</v>
      </c>
      <c r="H63" s="7" t="s">
        <v>70</v>
      </c>
      <c r="I63" s="7" t="s">
        <v>45</v>
      </c>
      <c r="J63" s="7" t="s">
        <v>243</v>
      </c>
      <c r="K63" s="3"/>
    </row>
    <row r="64" ht="15.75" customHeight="1">
      <c r="A64" s="8">
        <v>46324.0</v>
      </c>
      <c r="B64" s="7" t="s">
        <v>302</v>
      </c>
      <c r="C64" s="9">
        <v>7.714041685E9</v>
      </c>
      <c r="D64" s="7" t="s">
        <v>27</v>
      </c>
      <c r="E64" s="7">
        <v>34.0</v>
      </c>
      <c r="F64" s="7" t="s">
        <v>17</v>
      </c>
      <c r="G64" s="7" t="s">
        <v>216</v>
      </c>
      <c r="H64" s="7" t="s">
        <v>31</v>
      </c>
      <c r="I64" s="7" t="s">
        <v>286</v>
      </c>
      <c r="J64" s="7" t="s">
        <v>243</v>
      </c>
      <c r="K64" s="3"/>
    </row>
    <row r="65" ht="15.75" customHeight="1">
      <c r="A65" s="13"/>
      <c r="C65" s="9"/>
      <c r="D65" s="7"/>
      <c r="E65" s="7"/>
      <c r="F65" s="7"/>
      <c r="G65" s="7"/>
      <c r="I65" s="7"/>
      <c r="J65" s="7"/>
      <c r="K65" s="3"/>
    </row>
    <row r="66" ht="15.75" customHeight="1">
      <c r="A66" s="6"/>
      <c r="J66" s="3"/>
      <c r="K66" s="3"/>
    </row>
    <row r="67" ht="15.75" customHeight="1">
      <c r="A67" s="6"/>
      <c r="J67" s="3"/>
      <c r="K67" s="3"/>
    </row>
    <row r="68" ht="15.75" customHeight="1">
      <c r="A68" s="6"/>
      <c r="J68" s="3"/>
      <c r="K68" s="3"/>
    </row>
    <row r="69" ht="15.75" customHeight="1">
      <c r="A69" s="6"/>
      <c r="J69" s="3"/>
      <c r="K69" s="3"/>
    </row>
    <row r="70" ht="15.75" customHeight="1">
      <c r="A70" s="6"/>
      <c r="J70" s="3"/>
      <c r="K70" s="3"/>
    </row>
    <row r="71" ht="15.75" customHeight="1">
      <c r="A71" s="6"/>
      <c r="J71" s="3"/>
      <c r="K71" s="3"/>
    </row>
    <row r="72" ht="15.75" customHeight="1">
      <c r="J72" s="3"/>
      <c r="K72" s="3"/>
    </row>
    <row r="73" ht="15.75" customHeight="1">
      <c r="J73" s="3"/>
      <c r="K73" s="3"/>
    </row>
    <row r="74" ht="15.75" customHeight="1">
      <c r="J74" s="3"/>
      <c r="K74" s="3"/>
    </row>
    <row r="75" ht="15.75" customHeight="1">
      <c r="J75" s="3"/>
      <c r="K75" s="3"/>
    </row>
    <row r="76" ht="15.75" customHeight="1">
      <c r="J76" s="3"/>
      <c r="K76" s="3"/>
    </row>
    <row r="77" ht="15.75" customHeight="1">
      <c r="J77" s="3"/>
      <c r="K77" s="3"/>
    </row>
    <row r="78" ht="15.75" customHeight="1">
      <c r="J78" s="3"/>
      <c r="K78" s="3"/>
    </row>
    <row r="79" ht="15.75" customHeight="1">
      <c r="J79" s="3"/>
      <c r="K79" s="3"/>
    </row>
    <row r="80" ht="15.75" customHeight="1">
      <c r="J80" s="3"/>
      <c r="K80" s="3"/>
    </row>
    <row r="81" ht="15.75" customHeight="1">
      <c r="J81" s="3"/>
      <c r="K81" s="3"/>
    </row>
    <row r="82" ht="15.75" customHeight="1">
      <c r="J82" s="3"/>
      <c r="K82" s="3"/>
    </row>
    <row r="83" ht="15.75" customHeight="1">
      <c r="J83" s="3"/>
      <c r="K83" s="3"/>
    </row>
    <row r="84" ht="15.75" customHeight="1">
      <c r="J84" s="3"/>
      <c r="K84" s="3"/>
    </row>
    <row r="85" ht="15.75" customHeight="1">
      <c r="J85" s="3"/>
      <c r="K85" s="3"/>
    </row>
    <row r="86" ht="15.75" customHeight="1">
      <c r="J86" s="3"/>
      <c r="K86" s="3"/>
    </row>
    <row r="87" ht="15.75" customHeight="1">
      <c r="J87" s="3"/>
      <c r="K87" s="3"/>
    </row>
    <row r="88" ht="15.75" customHeight="1">
      <c r="J88" s="3"/>
      <c r="K88" s="3"/>
    </row>
    <row r="89" ht="15.75" customHeight="1">
      <c r="J89" s="3"/>
      <c r="K89" s="3"/>
    </row>
    <row r="90" ht="15.75" customHeight="1">
      <c r="J90" s="3"/>
      <c r="K90" s="3"/>
    </row>
    <row r="91" ht="15.75" customHeight="1">
      <c r="J91" s="3"/>
      <c r="K91" s="3"/>
    </row>
    <row r="92" ht="15.75" customHeight="1">
      <c r="J92" s="3"/>
      <c r="K92" s="3"/>
    </row>
    <row r="93" ht="15.75" customHeight="1">
      <c r="J93" s="3"/>
      <c r="K93" s="3"/>
    </row>
    <row r="94" ht="15.75" customHeight="1">
      <c r="J94" s="3"/>
      <c r="K94" s="3"/>
    </row>
    <row r="95" ht="15.75" customHeight="1">
      <c r="J95" s="3"/>
      <c r="K95" s="3"/>
    </row>
    <row r="96" ht="15.75" customHeight="1">
      <c r="J96" s="3"/>
      <c r="K96" s="3"/>
    </row>
    <row r="97" ht="15.75" customHeight="1">
      <c r="J97" s="3"/>
      <c r="K97" s="3"/>
    </row>
    <row r="98" ht="15.75" customHeight="1">
      <c r="J98" s="3"/>
      <c r="K98" s="3"/>
    </row>
    <row r="99" ht="15.75" customHeight="1">
      <c r="J99" s="3"/>
      <c r="K99" s="3"/>
    </row>
    <row r="100" ht="15.75" customHeight="1">
      <c r="J100" s="3"/>
      <c r="K100" s="3"/>
    </row>
    <row r="101" ht="15.75" customHeight="1">
      <c r="J101" s="3"/>
      <c r="K101" s="3"/>
    </row>
    <row r="102" ht="15.75" customHeight="1">
      <c r="J102" s="3"/>
      <c r="K102" s="3"/>
    </row>
    <row r="103" ht="15.75" customHeight="1">
      <c r="J103" s="3"/>
      <c r="K103" s="3"/>
    </row>
    <row r="104" ht="15.75" customHeight="1">
      <c r="J104" s="3"/>
      <c r="K104" s="3"/>
    </row>
    <row r="105" ht="15.75" customHeight="1">
      <c r="J105" s="3"/>
      <c r="K105" s="3"/>
    </row>
    <row r="106" ht="15.75" customHeight="1">
      <c r="J106" s="3"/>
      <c r="K106" s="3"/>
    </row>
    <row r="107" ht="15.75" customHeight="1">
      <c r="J107" s="3"/>
      <c r="K107" s="3"/>
    </row>
    <row r="108" ht="15.75" customHeight="1">
      <c r="J108" s="3"/>
      <c r="K108" s="3"/>
    </row>
    <row r="109" ht="15.75" customHeight="1">
      <c r="J109" s="3"/>
      <c r="K109" s="3"/>
    </row>
    <row r="110" ht="15.75" customHeight="1">
      <c r="J110" s="3"/>
      <c r="K110" s="3"/>
    </row>
    <row r="111" ht="15.75" customHeight="1">
      <c r="J111" s="3"/>
      <c r="K111" s="3"/>
    </row>
    <row r="112" ht="15.75" customHeight="1">
      <c r="J112" s="3"/>
      <c r="K112" s="3"/>
    </row>
    <row r="113" ht="15.75" customHeight="1">
      <c r="J113" s="3"/>
      <c r="K113" s="3"/>
    </row>
    <row r="114" ht="15.75" customHeight="1">
      <c r="J114" s="3"/>
      <c r="K114" s="3"/>
    </row>
    <row r="115" ht="15.75" customHeight="1">
      <c r="J115" s="3"/>
      <c r="K115" s="3"/>
    </row>
    <row r="116" ht="15.75" customHeight="1">
      <c r="J116" s="3"/>
      <c r="K116" s="3"/>
    </row>
    <row r="117" ht="15.75" customHeight="1">
      <c r="J117" s="3"/>
      <c r="K117" s="3"/>
    </row>
    <row r="118" ht="15.75" customHeight="1">
      <c r="J118" s="3"/>
      <c r="K118" s="3"/>
    </row>
    <row r="119" ht="15.75" customHeight="1">
      <c r="J119" s="3"/>
      <c r="K119" s="3"/>
    </row>
    <row r="120" ht="15.75" customHeight="1">
      <c r="J120" s="3"/>
      <c r="K120" s="3"/>
    </row>
    <row r="121" ht="15.75" customHeight="1">
      <c r="J121" s="3"/>
      <c r="K121" s="3"/>
    </row>
    <row r="122" ht="15.75" customHeight="1">
      <c r="J122" s="3"/>
      <c r="K122" s="3"/>
    </row>
    <row r="123" ht="15.75" customHeight="1">
      <c r="J123" s="3"/>
      <c r="K123" s="3"/>
    </row>
    <row r="124" ht="15.75" customHeight="1">
      <c r="J124" s="3"/>
      <c r="K124" s="3"/>
    </row>
    <row r="125" ht="15.75" customHeight="1">
      <c r="J125" s="3"/>
      <c r="K125" s="3"/>
    </row>
    <row r="126" ht="15.75" customHeight="1">
      <c r="J126" s="3"/>
      <c r="K126" s="3"/>
    </row>
    <row r="127" ht="15.75" customHeight="1">
      <c r="J127" s="3"/>
      <c r="K127" s="3"/>
    </row>
    <row r="128" ht="15.75" customHeight="1">
      <c r="J128" s="3"/>
      <c r="K128" s="3"/>
    </row>
    <row r="129" ht="15.75" customHeight="1">
      <c r="J129" s="3"/>
      <c r="K129" s="3"/>
    </row>
    <row r="130" ht="15.75" customHeight="1">
      <c r="J130" s="3"/>
      <c r="K130" s="3"/>
    </row>
    <row r="131" ht="15.75" customHeight="1">
      <c r="J131" s="3"/>
      <c r="K131" s="3"/>
    </row>
    <row r="132" ht="15.75" customHeight="1">
      <c r="J132" s="3"/>
      <c r="K132" s="3"/>
    </row>
    <row r="133" ht="15.75" customHeight="1">
      <c r="J133" s="3"/>
      <c r="K133" s="3"/>
    </row>
    <row r="134" ht="15.75" customHeight="1">
      <c r="J134" s="3"/>
      <c r="K134" s="3"/>
    </row>
    <row r="135" ht="15.75" customHeight="1">
      <c r="J135" s="3"/>
      <c r="K135" s="3"/>
    </row>
    <row r="136" ht="15.75" customHeight="1">
      <c r="J136" s="3"/>
      <c r="K136" s="3"/>
    </row>
    <row r="137" ht="15.75" customHeight="1">
      <c r="J137" s="3"/>
      <c r="K137" s="3"/>
    </row>
    <row r="138" ht="15.75" customHeight="1">
      <c r="J138" s="3"/>
      <c r="K138" s="3"/>
    </row>
    <row r="139" ht="15.75" customHeight="1">
      <c r="J139" s="3"/>
      <c r="K139" s="3"/>
    </row>
    <row r="140" ht="15.75" customHeight="1">
      <c r="J140" s="3"/>
      <c r="K140" s="3"/>
    </row>
    <row r="141" ht="15.75" customHeight="1">
      <c r="J141" s="3"/>
      <c r="K141" s="3"/>
    </row>
    <row r="142" ht="15.75" customHeight="1">
      <c r="J142" s="3"/>
      <c r="K142" s="3"/>
    </row>
    <row r="143" ht="15.75" customHeight="1">
      <c r="J143" s="3"/>
      <c r="K143" s="3"/>
    </row>
    <row r="144" ht="15.75" customHeight="1">
      <c r="J144" s="3"/>
      <c r="K144" s="3"/>
    </row>
    <row r="145" ht="15.75" customHeight="1">
      <c r="J145" s="3"/>
      <c r="K145" s="3"/>
    </row>
    <row r="146" ht="15.75" customHeight="1">
      <c r="J146" s="3"/>
      <c r="K146" s="3"/>
    </row>
    <row r="147" ht="15.75" customHeight="1">
      <c r="J147" s="3"/>
      <c r="K147" s="3"/>
    </row>
    <row r="148" ht="15.75" customHeight="1">
      <c r="J148" s="3"/>
      <c r="K148" s="3"/>
    </row>
    <row r="149" ht="15.75" customHeight="1">
      <c r="J149" s="3"/>
      <c r="K149" s="3"/>
    </row>
    <row r="150" ht="15.75" customHeight="1">
      <c r="J150" s="3"/>
      <c r="K150" s="3"/>
    </row>
    <row r="151" ht="15.75" customHeight="1">
      <c r="J151" s="3"/>
      <c r="K151" s="3"/>
    </row>
    <row r="152" ht="15.75" customHeight="1">
      <c r="J152" s="3"/>
      <c r="K152" s="3"/>
    </row>
    <row r="153" ht="15.75" customHeight="1">
      <c r="J153" s="3"/>
      <c r="K153" s="3"/>
    </row>
    <row r="154" ht="15.75" customHeight="1">
      <c r="J154" s="3"/>
      <c r="K154" s="3"/>
    </row>
    <row r="155" ht="15.75" customHeight="1">
      <c r="J155" s="3"/>
      <c r="K155" s="3"/>
    </row>
    <row r="156" ht="15.75" customHeight="1">
      <c r="J156" s="3"/>
      <c r="K156" s="3"/>
    </row>
    <row r="157" ht="15.75" customHeight="1">
      <c r="J157" s="3"/>
      <c r="K157" s="3"/>
    </row>
    <row r="158" ht="15.75" customHeight="1">
      <c r="J158" s="3"/>
      <c r="K158" s="3"/>
    </row>
    <row r="159" ht="15.75" customHeight="1">
      <c r="J159" s="3"/>
      <c r="K159" s="3"/>
    </row>
    <row r="160" ht="15.75" customHeight="1">
      <c r="J160" s="3"/>
      <c r="K160" s="3"/>
    </row>
    <row r="161" ht="15.75" customHeight="1">
      <c r="J161" s="3"/>
      <c r="K161" s="3"/>
    </row>
    <row r="162" ht="15.75" customHeight="1">
      <c r="J162" s="3"/>
      <c r="K162" s="3"/>
    </row>
    <row r="163" ht="15.75" customHeight="1">
      <c r="J163" s="3"/>
      <c r="K163" s="3"/>
    </row>
    <row r="164" ht="15.75" customHeight="1">
      <c r="J164" s="3"/>
      <c r="K164" s="3"/>
    </row>
    <row r="165" ht="15.75" customHeight="1">
      <c r="J165" s="3"/>
      <c r="K165" s="3"/>
    </row>
    <row r="166" ht="15.75" customHeight="1">
      <c r="J166" s="3"/>
      <c r="K166" s="3"/>
    </row>
    <row r="167" ht="15.75" customHeight="1">
      <c r="J167" s="3"/>
      <c r="K167" s="3"/>
    </row>
    <row r="168" ht="15.75" customHeight="1">
      <c r="J168" s="3"/>
      <c r="K168" s="3"/>
    </row>
    <row r="169" ht="15.75" customHeight="1">
      <c r="J169" s="3"/>
      <c r="K169" s="3"/>
    </row>
    <row r="170" ht="15.75" customHeight="1">
      <c r="J170" s="3"/>
      <c r="K170" s="3"/>
    </row>
    <row r="171" ht="15.75" customHeight="1">
      <c r="J171" s="3"/>
      <c r="K171" s="3"/>
    </row>
    <row r="172" ht="15.75" customHeight="1">
      <c r="J172" s="3"/>
      <c r="K172" s="3"/>
    </row>
    <row r="173" ht="15.75" customHeight="1">
      <c r="J173" s="3"/>
      <c r="K173" s="3"/>
    </row>
    <row r="174" ht="15.75" customHeight="1">
      <c r="J174" s="3"/>
      <c r="K174" s="3"/>
    </row>
    <row r="175" ht="15.75" customHeight="1">
      <c r="J175" s="3"/>
      <c r="K175" s="3"/>
    </row>
    <row r="176" ht="15.75" customHeight="1">
      <c r="J176" s="3"/>
      <c r="K176" s="3"/>
    </row>
    <row r="177" ht="15.75" customHeight="1">
      <c r="J177" s="3"/>
      <c r="K177" s="3"/>
    </row>
    <row r="178" ht="15.75" customHeight="1">
      <c r="J178" s="3"/>
      <c r="K178" s="3"/>
    </row>
    <row r="179" ht="15.75" customHeight="1">
      <c r="J179" s="3"/>
      <c r="K179" s="3"/>
    </row>
    <row r="180" ht="15.75" customHeight="1">
      <c r="J180" s="3"/>
      <c r="K180" s="3"/>
    </row>
    <row r="181" ht="15.75" customHeight="1">
      <c r="J181" s="3"/>
      <c r="K181" s="3"/>
    </row>
    <row r="182" ht="15.75" customHeight="1">
      <c r="J182" s="3"/>
      <c r="K182" s="3"/>
    </row>
    <row r="183" ht="15.75" customHeight="1">
      <c r="J183" s="3"/>
      <c r="K183" s="3"/>
    </row>
    <row r="184" ht="15.75" customHeight="1">
      <c r="J184" s="3"/>
      <c r="K184" s="3"/>
    </row>
    <row r="185" ht="15.75" customHeight="1">
      <c r="J185" s="3"/>
      <c r="K185" s="3"/>
    </row>
    <row r="186" ht="15.75" customHeight="1">
      <c r="J186" s="3"/>
      <c r="K186" s="3"/>
    </row>
    <row r="187" ht="15.75" customHeight="1">
      <c r="J187" s="3"/>
      <c r="K187" s="3"/>
    </row>
    <row r="188" ht="15.75" customHeight="1">
      <c r="J188" s="3"/>
      <c r="K188" s="3"/>
    </row>
    <row r="189" ht="15.75" customHeight="1">
      <c r="J189" s="3"/>
      <c r="K189" s="3"/>
    </row>
    <row r="190" ht="15.75" customHeight="1">
      <c r="J190" s="3"/>
      <c r="K190" s="3"/>
    </row>
    <row r="191" ht="15.75" customHeight="1">
      <c r="J191" s="3"/>
      <c r="K191" s="3"/>
    </row>
    <row r="192" ht="15.75" customHeight="1">
      <c r="J192" s="3"/>
      <c r="K192" s="3"/>
    </row>
    <row r="193" ht="15.75" customHeight="1">
      <c r="J193" s="3"/>
      <c r="K193" s="3"/>
    </row>
    <row r="194" ht="15.75" customHeight="1">
      <c r="J194" s="3"/>
      <c r="K194" s="3"/>
    </row>
    <row r="195" ht="15.75" customHeight="1">
      <c r="J195" s="3"/>
      <c r="K195" s="3"/>
    </row>
    <row r="196" ht="15.75" customHeight="1">
      <c r="J196" s="3"/>
      <c r="K196" s="3"/>
    </row>
    <row r="197" ht="15.75" customHeight="1">
      <c r="J197" s="3"/>
      <c r="K197" s="3"/>
    </row>
    <row r="198" ht="15.75" customHeight="1">
      <c r="J198" s="3"/>
      <c r="K198" s="3"/>
    </row>
    <row r="199" ht="15.75" customHeight="1">
      <c r="J199" s="3"/>
      <c r="K199" s="3"/>
    </row>
    <row r="200" ht="15.75" customHeight="1">
      <c r="J200" s="3"/>
      <c r="K200" s="3"/>
    </row>
    <row r="201" ht="15.75" customHeight="1">
      <c r="J201" s="3"/>
      <c r="K201" s="3"/>
    </row>
    <row r="202" ht="15.75" customHeight="1">
      <c r="J202" s="3"/>
      <c r="K202" s="3"/>
    </row>
    <row r="203" ht="15.75" customHeight="1">
      <c r="J203" s="3"/>
      <c r="K203" s="3"/>
    </row>
    <row r="204" ht="15.75" customHeight="1">
      <c r="J204" s="3"/>
      <c r="K204" s="3"/>
    </row>
    <row r="205" ht="15.75" customHeight="1">
      <c r="J205" s="3"/>
      <c r="K205" s="3"/>
    </row>
    <row r="206" ht="15.75" customHeight="1">
      <c r="J206" s="3"/>
      <c r="K206" s="3"/>
    </row>
    <row r="207" ht="15.75" customHeight="1">
      <c r="J207" s="3"/>
      <c r="K207" s="3"/>
    </row>
    <row r="208" ht="15.75" customHeight="1">
      <c r="J208" s="3"/>
      <c r="K208" s="3"/>
    </row>
    <row r="209" ht="15.75" customHeight="1">
      <c r="J209" s="3"/>
      <c r="K209" s="3"/>
    </row>
    <row r="210" ht="15.75" customHeight="1">
      <c r="J210" s="3"/>
      <c r="K210" s="3"/>
    </row>
    <row r="211" ht="15.75" customHeight="1">
      <c r="J211" s="3"/>
      <c r="K211" s="3"/>
    </row>
    <row r="212" ht="15.75" customHeight="1">
      <c r="J212" s="3"/>
      <c r="K212" s="3"/>
    </row>
    <row r="213" ht="15.75" customHeight="1">
      <c r="J213" s="3"/>
      <c r="K213" s="3"/>
    </row>
    <row r="214" ht="15.75" customHeight="1">
      <c r="J214" s="3"/>
      <c r="K214" s="3"/>
    </row>
    <row r="215" ht="15.75" customHeight="1">
      <c r="J215" s="3"/>
      <c r="K215" s="3"/>
    </row>
    <row r="216" ht="15.75" customHeight="1">
      <c r="J216" s="3"/>
      <c r="K216" s="3"/>
    </row>
    <row r="217" ht="15.75" customHeight="1">
      <c r="J217" s="3"/>
      <c r="K217" s="3"/>
    </row>
    <row r="218" ht="15.75" customHeight="1">
      <c r="J218" s="3"/>
      <c r="K218" s="3"/>
    </row>
    <row r="219" ht="15.75" customHeight="1">
      <c r="J219" s="3"/>
      <c r="K219" s="3"/>
    </row>
    <row r="220" ht="15.75" customHeight="1">
      <c r="J220" s="3"/>
      <c r="K220" s="3"/>
    </row>
    <row r="221" ht="15.75" customHeight="1">
      <c r="J221" s="3"/>
      <c r="K221" s="3"/>
    </row>
    <row r="222" ht="15.75" customHeight="1">
      <c r="J222" s="3"/>
      <c r="K222" s="3"/>
    </row>
    <row r="223" ht="15.75" customHeight="1">
      <c r="J223" s="3"/>
      <c r="K223" s="3"/>
    </row>
    <row r="224" ht="15.75" customHeight="1">
      <c r="J224" s="3"/>
      <c r="K224" s="3"/>
    </row>
    <row r="225" ht="15.75" customHeight="1">
      <c r="J225" s="3"/>
      <c r="K225" s="3"/>
    </row>
    <row r="226" ht="15.75" customHeight="1">
      <c r="J226" s="3"/>
      <c r="K226" s="3"/>
    </row>
    <row r="227" ht="15.75" customHeight="1">
      <c r="J227" s="3"/>
      <c r="K227" s="3"/>
    </row>
    <row r="228" ht="15.75" customHeight="1">
      <c r="J228" s="3"/>
      <c r="K228" s="3"/>
    </row>
    <row r="229" ht="15.75" customHeight="1">
      <c r="J229" s="3"/>
      <c r="K229" s="3"/>
    </row>
    <row r="230" ht="15.75" customHeight="1">
      <c r="J230" s="3"/>
      <c r="K230" s="3"/>
    </row>
    <row r="231" ht="15.75" customHeight="1">
      <c r="J231" s="3"/>
      <c r="K231" s="3"/>
    </row>
    <row r="232" ht="15.75" customHeight="1">
      <c r="J232" s="3"/>
      <c r="K232" s="3"/>
    </row>
    <row r="233" ht="15.75" customHeight="1">
      <c r="J233" s="3"/>
      <c r="K233" s="3"/>
    </row>
    <row r="234" ht="15.75" customHeight="1">
      <c r="J234" s="3"/>
      <c r="K234" s="3"/>
    </row>
    <row r="235" ht="15.75" customHeight="1">
      <c r="J235" s="3"/>
      <c r="K235" s="3"/>
    </row>
    <row r="236" ht="15.75" customHeight="1">
      <c r="J236" s="3"/>
      <c r="K236" s="3"/>
    </row>
    <row r="237" ht="15.75" customHeight="1">
      <c r="J237" s="3"/>
      <c r="K237" s="3"/>
    </row>
    <row r="238" ht="15.75" customHeight="1">
      <c r="J238" s="3"/>
      <c r="K238" s="3"/>
    </row>
    <row r="239" ht="15.75" customHeight="1">
      <c r="J239" s="3"/>
      <c r="K239" s="3"/>
    </row>
    <row r="240" ht="15.75" customHeight="1">
      <c r="J240" s="3"/>
      <c r="K240" s="3"/>
    </row>
    <row r="241" ht="15.75" customHeight="1">
      <c r="J241" s="3"/>
      <c r="K241" s="3"/>
    </row>
    <row r="242" ht="15.75" customHeight="1">
      <c r="J242" s="3"/>
      <c r="K242" s="3"/>
    </row>
    <row r="243" ht="15.75" customHeight="1">
      <c r="J243" s="3"/>
      <c r="K243" s="3"/>
    </row>
    <row r="244" ht="15.75" customHeight="1">
      <c r="J244" s="3"/>
      <c r="K244" s="3"/>
    </row>
    <row r="245" ht="15.75" customHeight="1">
      <c r="J245" s="3"/>
      <c r="K245" s="3"/>
    </row>
    <row r="246" ht="15.75" customHeight="1">
      <c r="J246" s="3"/>
      <c r="K246" s="3"/>
    </row>
    <row r="247" ht="15.75" customHeight="1">
      <c r="J247" s="3"/>
      <c r="K247" s="3"/>
    </row>
    <row r="248" ht="15.75" customHeight="1">
      <c r="J248" s="3"/>
      <c r="K248" s="3"/>
    </row>
    <row r="249" ht="15.75" customHeight="1">
      <c r="J249" s="3"/>
      <c r="K249" s="3"/>
    </row>
    <row r="250" ht="15.75" customHeight="1">
      <c r="J250" s="3"/>
      <c r="K250" s="3"/>
    </row>
    <row r="251" ht="15.75" customHeight="1">
      <c r="J251" s="3"/>
      <c r="K251" s="3"/>
    </row>
    <row r="252" ht="15.75" customHeight="1">
      <c r="J252" s="3"/>
      <c r="K252" s="3"/>
    </row>
    <row r="253" ht="15.75" customHeight="1">
      <c r="J253" s="3"/>
      <c r="K253" s="3"/>
    </row>
    <row r="254" ht="15.75" customHeight="1">
      <c r="J254" s="3"/>
      <c r="K254" s="3"/>
    </row>
    <row r="255" ht="15.75" customHeight="1">
      <c r="J255" s="3"/>
      <c r="K255" s="3"/>
    </row>
    <row r="256" ht="15.75" customHeight="1">
      <c r="J256" s="3"/>
      <c r="K256" s="3"/>
    </row>
    <row r="257" ht="15.75" customHeight="1">
      <c r="J257" s="3"/>
      <c r="K257" s="3"/>
    </row>
    <row r="258" ht="15.75" customHeight="1">
      <c r="J258" s="3"/>
      <c r="K258" s="3"/>
    </row>
    <row r="259" ht="15.75" customHeight="1">
      <c r="J259" s="3"/>
      <c r="K259" s="3"/>
    </row>
    <row r="260" ht="15.75" customHeight="1">
      <c r="J260" s="3"/>
      <c r="K260" s="3"/>
    </row>
    <row r="261" ht="15.75" customHeight="1">
      <c r="J261" s="3"/>
      <c r="K261" s="3"/>
    </row>
    <row r="262" ht="15.75" customHeight="1">
      <c r="J262" s="3"/>
      <c r="K262" s="3"/>
    </row>
    <row r="263" ht="15.75" customHeight="1">
      <c r="J263" s="3"/>
      <c r="K263" s="3"/>
    </row>
    <row r="264" ht="15.75" customHeight="1">
      <c r="J264" s="3"/>
      <c r="K264" s="3"/>
    </row>
    <row r="265" ht="15.75" customHeight="1">
      <c r="J265" s="3"/>
      <c r="K265" s="3"/>
    </row>
    <row r="266" ht="15.75" customHeight="1">
      <c r="J266" s="3"/>
      <c r="K266" s="3"/>
    </row>
    <row r="267" ht="15.75" customHeight="1">
      <c r="J267" s="3"/>
      <c r="K267" s="3"/>
    </row>
    <row r="268" ht="15.75" customHeight="1">
      <c r="J268" s="3"/>
      <c r="K268" s="3"/>
    </row>
    <row r="269" ht="15.75" customHeight="1">
      <c r="J269" s="3"/>
      <c r="K269" s="3"/>
    </row>
    <row r="270" ht="15.75" customHeight="1">
      <c r="J270" s="3"/>
      <c r="K270" s="3"/>
    </row>
    <row r="271" ht="15.75" customHeight="1">
      <c r="J271" s="3"/>
      <c r="K271" s="3"/>
    </row>
    <row r="272" ht="15.75" customHeight="1">
      <c r="J272" s="3"/>
      <c r="K272" s="3"/>
    </row>
    <row r="273" ht="15.75" customHeight="1">
      <c r="J273" s="3"/>
      <c r="K273" s="3"/>
    </row>
    <row r="274" ht="15.75" customHeight="1">
      <c r="J274" s="3"/>
      <c r="K274" s="3"/>
    </row>
    <row r="275" ht="15.75" customHeight="1">
      <c r="J275" s="3"/>
      <c r="K275" s="3"/>
    </row>
    <row r="276" ht="15.75" customHeight="1">
      <c r="J276" s="3"/>
      <c r="K276" s="3"/>
    </row>
    <row r="277" ht="15.75" customHeight="1">
      <c r="J277" s="3"/>
      <c r="K277" s="3"/>
    </row>
    <row r="278" ht="15.75" customHeight="1">
      <c r="J278" s="3"/>
      <c r="K278" s="3"/>
    </row>
    <row r="279" ht="15.75" customHeight="1">
      <c r="J279" s="3"/>
      <c r="K279" s="3"/>
    </row>
    <row r="280" ht="15.75" customHeight="1">
      <c r="J280" s="3"/>
      <c r="K280" s="3"/>
    </row>
    <row r="281" ht="15.75" customHeight="1">
      <c r="J281" s="3"/>
      <c r="K281" s="3"/>
    </row>
    <row r="282" ht="15.75" customHeight="1">
      <c r="J282" s="3"/>
      <c r="K282" s="3"/>
    </row>
    <row r="283" ht="15.75" customHeight="1">
      <c r="J283" s="3"/>
      <c r="K283" s="3"/>
    </row>
    <row r="284" ht="15.75" customHeight="1">
      <c r="J284" s="3"/>
      <c r="K284" s="3"/>
    </row>
    <row r="285" ht="15.75" customHeight="1">
      <c r="J285" s="3"/>
      <c r="K285" s="3"/>
    </row>
    <row r="286" ht="15.75" customHeight="1">
      <c r="J286" s="3"/>
      <c r="K286" s="3"/>
    </row>
    <row r="287" ht="15.75" customHeight="1">
      <c r="J287" s="3"/>
      <c r="K287" s="3"/>
    </row>
    <row r="288" ht="15.75" customHeight="1">
      <c r="J288" s="3"/>
      <c r="K288" s="3"/>
    </row>
    <row r="289" ht="15.75" customHeight="1">
      <c r="J289" s="3"/>
      <c r="K289" s="3"/>
    </row>
    <row r="290" ht="15.75" customHeight="1">
      <c r="J290" s="3"/>
      <c r="K290" s="3"/>
    </row>
    <row r="291" ht="15.75" customHeight="1">
      <c r="J291" s="3"/>
      <c r="K291" s="3"/>
    </row>
    <row r="292" ht="15.75" customHeight="1">
      <c r="J292" s="3"/>
      <c r="K292" s="3"/>
    </row>
    <row r="293" ht="15.75" customHeight="1">
      <c r="J293" s="3"/>
      <c r="K293" s="3"/>
    </row>
    <row r="294" ht="15.75" customHeight="1">
      <c r="J294" s="3"/>
      <c r="K294" s="3"/>
    </row>
    <row r="295" ht="15.75" customHeight="1">
      <c r="J295" s="3"/>
      <c r="K295" s="3"/>
    </row>
    <row r="296" ht="15.75" customHeight="1">
      <c r="J296" s="3"/>
      <c r="K296" s="3"/>
    </row>
    <row r="297" ht="15.75" customHeight="1">
      <c r="J297" s="3"/>
      <c r="K297" s="3"/>
    </row>
    <row r="298" ht="15.75" customHeight="1">
      <c r="J298" s="3"/>
      <c r="K298" s="3"/>
    </row>
    <row r="299" ht="15.75" customHeight="1">
      <c r="J299" s="3"/>
      <c r="K299" s="3"/>
    </row>
    <row r="300" ht="15.75" customHeight="1">
      <c r="J300" s="3"/>
      <c r="K300" s="3"/>
    </row>
    <row r="301" ht="15.75" customHeight="1">
      <c r="J301" s="3"/>
      <c r="K301" s="3"/>
    </row>
    <row r="302" ht="15.75" customHeight="1">
      <c r="J302" s="3"/>
      <c r="K302" s="3"/>
    </row>
    <row r="303" ht="15.75" customHeight="1">
      <c r="J303" s="3"/>
      <c r="K303" s="3"/>
    </row>
    <row r="304" ht="15.75" customHeight="1">
      <c r="J304" s="3"/>
      <c r="K304" s="3"/>
    </row>
    <row r="305" ht="15.75" customHeight="1">
      <c r="J305" s="3"/>
      <c r="K305" s="3"/>
    </row>
    <row r="306" ht="15.75" customHeight="1">
      <c r="J306" s="3"/>
      <c r="K306" s="3"/>
    </row>
    <row r="307" ht="15.75" customHeight="1">
      <c r="J307" s="3"/>
      <c r="K307" s="3"/>
    </row>
    <row r="308" ht="15.75" customHeight="1">
      <c r="J308" s="3"/>
      <c r="K308" s="3"/>
    </row>
    <row r="309" ht="15.75" customHeight="1">
      <c r="J309" s="3"/>
      <c r="K309" s="3"/>
    </row>
    <row r="310" ht="15.75" customHeight="1">
      <c r="J310" s="3"/>
      <c r="K310" s="3"/>
    </row>
    <row r="311" ht="15.75" customHeight="1">
      <c r="J311" s="3"/>
      <c r="K311" s="3"/>
    </row>
    <row r="312" ht="15.75" customHeight="1">
      <c r="J312" s="3"/>
      <c r="K312" s="3"/>
    </row>
    <row r="313" ht="15.75" customHeight="1">
      <c r="J313" s="3"/>
      <c r="K313" s="3"/>
    </row>
    <row r="314" ht="15.75" customHeight="1">
      <c r="J314" s="3"/>
      <c r="K314" s="3"/>
    </row>
    <row r="315" ht="15.75" customHeight="1">
      <c r="J315" s="3"/>
      <c r="K315" s="3"/>
    </row>
    <row r="316" ht="15.75" customHeight="1">
      <c r="J316" s="3"/>
      <c r="K316" s="3"/>
    </row>
    <row r="317" ht="15.75" customHeight="1">
      <c r="J317" s="3"/>
      <c r="K317" s="3"/>
    </row>
    <row r="318" ht="15.75" customHeight="1">
      <c r="J318" s="3"/>
      <c r="K318" s="3"/>
    </row>
    <row r="319" ht="15.75" customHeight="1">
      <c r="J319" s="3"/>
      <c r="K319" s="3"/>
    </row>
    <row r="320" ht="15.75" customHeight="1">
      <c r="J320" s="3"/>
      <c r="K320" s="3"/>
    </row>
    <row r="321" ht="15.75" customHeight="1">
      <c r="J321" s="3"/>
      <c r="K321" s="3"/>
    </row>
    <row r="322" ht="15.75" customHeight="1">
      <c r="J322" s="3"/>
      <c r="K322" s="3"/>
    </row>
    <row r="323" ht="15.75" customHeight="1">
      <c r="J323" s="3"/>
      <c r="K323" s="3"/>
    </row>
    <row r="324" ht="15.75" customHeight="1">
      <c r="J324" s="3"/>
      <c r="K324" s="3"/>
    </row>
    <row r="325" ht="15.75" customHeight="1">
      <c r="J325" s="3"/>
      <c r="K325" s="3"/>
    </row>
    <row r="326" ht="15.75" customHeight="1">
      <c r="J326" s="3"/>
      <c r="K326" s="3"/>
    </row>
    <row r="327" ht="15.75" customHeight="1">
      <c r="J327" s="3"/>
      <c r="K327" s="3"/>
    </row>
    <row r="328" ht="15.75" customHeight="1">
      <c r="J328" s="3"/>
      <c r="K328" s="3"/>
    </row>
    <row r="329" ht="15.75" customHeight="1">
      <c r="J329" s="3"/>
      <c r="K329" s="3"/>
    </row>
    <row r="330" ht="15.75" customHeight="1">
      <c r="J330" s="3"/>
      <c r="K330" s="3"/>
    </row>
    <row r="331" ht="15.75" customHeight="1">
      <c r="J331" s="3"/>
      <c r="K331" s="3"/>
    </row>
    <row r="332" ht="15.75" customHeight="1">
      <c r="J332" s="3"/>
      <c r="K332" s="3"/>
    </row>
    <row r="333" ht="15.75" customHeight="1">
      <c r="J333" s="3"/>
      <c r="K333" s="3"/>
    </row>
    <row r="334" ht="15.75" customHeight="1">
      <c r="J334" s="3"/>
      <c r="K334" s="3"/>
    </row>
    <row r="335" ht="15.75" customHeight="1">
      <c r="J335" s="3"/>
      <c r="K335" s="3"/>
    </row>
    <row r="336" ht="15.75" customHeight="1">
      <c r="J336" s="3"/>
      <c r="K336" s="3"/>
    </row>
    <row r="337" ht="15.75" customHeight="1">
      <c r="J337" s="3"/>
      <c r="K337" s="3"/>
    </row>
    <row r="338" ht="15.75" customHeight="1">
      <c r="J338" s="3"/>
      <c r="K338" s="3"/>
    </row>
    <row r="339" ht="15.75" customHeight="1">
      <c r="J339" s="3"/>
      <c r="K339" s="3"/>
    </row>
    <row r="340" ht="15.75" customHeight="1">
      <c r="J340" s="3"/>
      <c r="K340" s="3"/>
    </row>
    <row r="341" ht="15.75" customHeight="1">
      <c r="J341" s="3"/>
      <c r="K341" s="3"/>
    </row>
    <row r="342" ht="15.75" customHeight="1">
      <c r="J342" s="3"/>
      <c r="K342" s="3"/>
    </row>
    <row r="343" ht="15.75" customHeight="1">
      <c r="J343" s="3"/>
      <c r="K343" s="3"/>
    </row>
    <row r="344" ht="15.75" customHeight="1">
      <c r="J344" s="3"/>
      <c r="K344" s="3"/>
    </row>
    <row r="345" ht="15.75" customHeight="1">
      <c r="J345" s="3"/>
      <c r="K345" s="3"/>
    </row>
    <row r="346" ht="15.75" customHeight="1">
      <c r="J346" s="3"/>
      <c r="K346" s="3"/>
    </row>
    <row r="347" ht="15.75" customHeight="1">
      <c r="J347" s="3"/>
      <c r="K347" s="3"/>
    </row>
    <row r="348" ht="15.75" customHeight="1">
      <c r="J348" s="3"/>
      <c r="K348" s="3"/>
    </row>
    <row r="349" ht="15.75" customHeight="1">
      <c r="J349" s="3"/>
      <c r="K349" s="3"/>
    </row>
    <row r="350" ht="15.75" customHeight="1">
      <c r="J350" s="3"/>
      <c r="K350" s="3"/>
    </row>
    <row r="351" ht="15.75" customHeight="1">
      <c r="J351" s="3"/>
      <c r="K351" s="3"/>
    </row>
    <row r="352" ht="15.75" customHeight="1">
      <c r="J352" s="3"/>
      <c r="K352" s="3"/>
    </row>
    <row r="353" ht="15.75" customHeight="1">
      <c r="J353" s="3"/>
      <c r="K353" s="3"/>
    </row>
    <row r="354" ht="15.75" customHeight="1">
      <c r="J354" s="3"/>
      <c r="K354" s="3"/>
    </row>
    <row r="355" ht="15.75" customHeight="1">
      <c r="J355" s="3"/>
      <c r="K355" s="3"/>
    </row>
    <row r="356" ht="15.75" customHeight="1">
      <c r="J356" s="3"/>
      <c r="K356" s="3"/>
    </row>
    <row r="357" ht="15.75" customHeight="1">
      <c r="J357" s="3"/>
      <c r="K357" s="3"/>
    </row>
    <row r="358" ht="15.75" customHeight="1">
      <c r="J358" s="3"/>
      <c r="K358" s="3"/>
    </row>
    <row r="359" ht="15.75" customHeight="1">
      <c r="J359" s="3"/>
      <c r="K359" s="3"/>
    </row>
    <row r="360" ht="15.75" customHeight="1">
      <c r="J360" s="3"/>
      <c r="K360" s="3"/>
    </row>
    <row r="361" ht="15.75" customHeight="1">
      <c r="J361" s="3"/>
      <c r="K361" s="3"/>
    </row>
    <row r="362" ht="15.75" customHeight="1">
      <c r="J362" s="3"/>
      <c r="K362" s="3"/>
    </row>
    <row r="363" ht="15.75" customHeight="1">
      <c r="J363" s="3"/>
      <c r="K363" s="3"/>
    </row>
    <row r="364" ht="15.75" customHeight="1">
      <c r="J364" s="3"/>
      <c r="K364" s="3"/>
    </row>
    <row r="365" ht="15.75" customHeight="1">
      <c r="J365" s="3"/>
      <c r="K365" s="3"/>
    </row>
    <row r="366" ht="15.75" customHeight="1">
      <c r="J366" s="3"/>
      <c r="K366" s="3"/>
    </row>
    <row r="367" ht="15.75" customHeight="1">
      <c r="J367" s="3"/>
      <c r="K367" s="3"/>
    </row>
    <row r="368" ht="15.75" customHeight="1">
      <c r="J368" s="3"/>
      <c r="K368" s="3"/>
    </row>
    <row r="369" ht="15.75" customHeight="1">
      <c r="J369" s="3"/>
      <c r="K369" s="3"/>
    </row>
    <row r="370" ht="15.75" customHeight="1">
      <c r="J370" s="3"/>
      <c r="K370" s="3"/>
    </row>
    <row r="371" ht="15.75" customHeight="1">
      <c r="J371" s="3"/>
      <c r="K371" s="3"/>
    </row>
    <row r="372" ht="15.75" customHeight="1">
      <c r="J372" s="3"/>
      <c r="K372" s="3"/>
    </row>
    <row r="373" ht="15.75" customHeight="1">
      <c r="J373" s="3"/>
      <c r="K373" s="3"/>
    </row>
    <row r="374" ht="15.75" customHeight="1">
      <c r="J374" s="3"/>
      <c r="K374" s="3"/>
    </row>
    <row r="375" ht="15.75" customHeight="1">
      <c r="J375" s="3"/>
      <c r="K375" s="3"/>
    </row>
    <row r="376" ht="15.75" customHeight="1">
      <c r="J376" s="3"/>
      <c r="K376" s="3"/>
    </row>
    <row r="377" ht="15.75" customHeight="1">
      <c r="J377" s="3"/>
      <c r="K377" s="3"/>
    </row>
    <row r="378" ht="15.75" customHeight="1">
      <c r="J378" s="3"/>
      <c r="K378" s="3"/>
    </row>
    <row r="379" ht="15.75" customHeight="1">
      <c r="J379" s="3"/>
      <c r="K379" s="3"/>
    </row>
    <row r="380" ht="15.75" customHeight="1">
      <c r="J380" s="3"/>
      <c r="K380" s="3"/>
    </row>
    <row r="381" ht="15.75" customHeight="1">
      <c r="J381" s="3"/>
      <c r="K381" s="3"/>
    </row>
    <row r="382" ht="15.75" customHeight="1">
      <c r="J382" s="3"/>
      <c r="K382" s="3"/>
    </row>
    <row r="383" ht="15.75" customHeight="1">
      <c r="J383" s="3"/>
      <c r="K383" s="3"/>
    </row>
    <row r="384" ht="15.75" customHeight="1">
      <c r="J384" s="3"/>
      <c r="K384" s="3"/>
    </row>
    <row r="385" ht="15.75" customHeight="1">
      <c r="J385" s="3"/>
      <c r="K385" s="3"/>
    </row>
    <row r="386" ht="15.75" customHeight="1">
      <c r="J386" s="3"/>
      <c r="K386" s="3"/>
    </row>
    <row r="387" ht="15.75" customHeight="1">
      <c r="J387" s="3"/>
      <c r="K387" s="3"/>
    </row>
    <row r="388" ht="15.75" customHeight="1">
      <c r="J388" s="3"/>
      <c r="K388" s="3"/>
    </row>
    <row r="389" ht="15.75" customHeight="1">
      <c r="J389" s="3"/>
      <c r="K389" s="3"/>
    </row>
    <row r="390" ht="15.75" customHeight="1">
      <c r="J390" s="3"/>
      <c r="K390" s="3"/>
    </row>
    <row r="391" ht="15.75" customHeight="1">
      <c r="J391" s="3"/>
      <c r="K391" s="3"/>
    </row>
    <row r="392" ht="15.75" customHeight="1">
      <c r="J392" s="3"/>
      <c r="K392" s="3"/>
    </row>
    <row r="393" ht="15.75" customHeight="1">
      <c r="J393" s="3"/>
      <c r="K393" s="3"/>
    </row>
    <row r="394" ht="15.75" customHeight="1">
      <c r="J394" s="3"/>
      <c r="K394" s="3"/>
    </row>
    <row r="395" ht="15.75" customHeight="1">
      <c r="J395" s="3"/>
      <c r="K395" s="3"/>
    </row>
    <row r="396" ht="15.75" customHeight="1">
      <c r="J396" s="3"/>
      <c r="K396" s="3"/>
    </row>
    <row r="397" ht="15.75" customHeight="1">
      <c r="J397" s="3"/>
      <c r="K397" s="3"/>
    </row>
    <row r="398" ht="15.75" customHeight="1">
      <c r="J398" s="3"/>
      <c r="K398" s="3"/>
    </row>
    <row r="399" ht="15.75" customHeight="1">
      <c r="J399" s="3"/>
      <c r="K399" s="3"/>
    </row>
    <row r="400" ht="15.75" customHeight="1">
      <c r="J400" s="3"/>
      <c r="K400" s="3"/>
    </row>
    <row r="401" ht="15.75" customHeight="1">
      <c r="J401" s="3"/>
      <c r="K401" s="3"/>
    </row>
    <row r="402" ht="15.75" customHeight="1">
      <c r="J402" s="3"/>
      <c r="K402" s="3"/>
    </row>
    <row r="403" ht="15.75" customHeight="1">
      <c r="J403" s="3"/>
      <c r="K403" s="3"/>
    </row>
    <row r="404" ht="15.75" customHeight="1">
      <c r="J404" s="3"/>
      <c r="K404" s="3"/>
    </row>
    <row r="405" ht="15.75" customHeight="1">
      <c r="J405" s="3"/>
      <c r="K405" s="3"/>
    </row>
    <row r="406" ht="15.75" customHeight="1">
      <c r="J406" s="3"/>
      <c r="K406" s="3"/>
    </row>
    <row r="407" ht="15.75" customHeight="1">
      <c r="J407" s="3"/>
      <c r="K407" s="3"/>
    </row>
    <row r="408" ht="15.75" customHeight="1">
      <c r="J408" s="3"/>
      <c r="K408" s="3"/>
    </row>
    <row r="409" ht="15.75" customHeight="1">
      <c r="J409" s="3"/>
      <c r="K409" s="3"/>
    </row>
    <row r="410" ht="15.75" customHeight="1">
      <c r="J410" s="3"/>
      <c r="K410" s="3"/>
    </row>
    <row r="411" ht="15.75" customHeight="1">
      <c r="J411" s="3"/>
      <c r="K411" s="3"/>
    </row>
    <row r="412" ht="15.75" customHeight="1">
      <c r="J412" s="3"/>
      <c r="K412" s="3"/>
    </row>
    <row r="413" ht="15.75" customHeight="1">
      <c r="J413" s="3"/>
      <c r="K413" s="3"/>
    </row>
    <row r="414" ht="15.75" customHeight="1">
      <c r="J414" s="3"/>
      <c r="K414" s="3"/>
    </row>
    <row r="415" ht="15.75" customHeight="1">
      <c r="J415" s="3"/>
      <c r="K415" s="3"/>
    </row>
    <row r="416" ht="15.75" customHeight="1">
      <c r="J416" s="3"/>
      <c r="K416" s="3"/>
    </row>
    <row r="417" ht="15.75" customHeight="1">
      <c r="J417" s="3"/>
      <c r="K417" s="3"/>
    </row>
    <row r="418" ht="15.75" customHeight="1">
      <c r="J418" s="3"/>
      <c r="K418" s="3"/>
    </row>
    <row r="419" ht="15.75" customHeight="1">
      <c r="J419" s="3"/>
      <c r="K419" s="3"/>
    </row>
    <row r="420" ht="15.75" customHeight="1">
      <c r="J420" s="3"/>
      <c r="K420" s="3"/>
    </row>
    <row r="421" ht="15.75" customHeight="1">
      <c r="J421" s="3"/>
      <c r="K421" s="3"/>
    </row>
    <row r="422" ht="15.75" customHeight="1">
      <c r="J422" s="3"/>
      <c r="K422" s="3"/>
    </row>
    <row r="423" ht="15.75" customHeight="1">
      <c r="J423" s="3"/>
      <c r="K423" s="3"/>
    </row>
    <row r="424" ht="15.75" customHeight="1">
      <c r="J424" s="3"/>
      <c r="K424" s="3"/>
    </row>
    <row r="425" ht="15.75" customHeight="1">
      <c r="J425" s="3"/>
      <c r="K425" s="3"/>
    </row>
    <row r="426" ht="15.75" customHeight="1">
      <c r="J426" s="3"/>
      <c r="K426" s="3"/>
    </row>
    <row r="427" ht="15.75" customHeight="1">
      <c r="J427" s="3"/>
      <c r="K427" s="3"/>
    </row>
    <row r="428" ht="15.75" customHeight="1">
      <c r="J428" s="3"/>
      <c r="K428" s="3"/>
    </row>
    <row r="429" ht="15.75" customHeight="1">
      <c r="J429" s="3"/>
      <c r="K429" s="3"/>
    </row>
    <row r="430" ht="15.75" customHeight="1">
      <c r="J430" s="3"/>
      <c r="K430" s="3"/>
    </row>
    <row r="431" ht="15.75" customHeight="1">
      <c r="J431" s="3"/>
      <c r="K431" s="3"/>
    </row>
    <row r="432" ht="15.75" customHeight="1">
      <c r="J432" s="3"/>
      <c r="K432" s="3"/>
    </row>
    <row r="433" ht="15.75" customHeight="1">
      <c r="J433" s="3"/>
      <c r="K433" s="3"/>
    </row>
    <row r="434" ht="15.75" customHeight="1">
      <c r="J434" s="3"/>
      <c r="K434" s="3"/>
    </row>
    <row r="435" ht="15.75" customHeight="1">
      <c r="J435" s="3"/>
      <c r="K435" s="3"/>
    </row>
    <row r="436" ht="15.75" customHeight="1">
      <c r="J436" s="3"/>
      <c r="K436" s="3"/>
    </row>
    <row r="437" ht="15.75" customHeight="1">
      <c r="J437" s="3"/>
      <c r="K437" s="3"/>
    </row>
    <row r="438" ht="15.75" customHeight="1">
      <c r="J438" s="3"/>
      <c r="K438" s="3"/>
    </row>
    <row r="439" ht="15.75" customHeight="1">
      <c r="J439" s="3"/>
      <c r="K439" s="3"/>
    </row>
    <row r="440" ht="15.75" customHeight="1">
      <c r="J440" s="3"/>
      <c r="K440" s="3"/>
    </row>
    <row r="441" ht="15.75" customHeight="1">
      <c r="J441" s="3"/>
      <c r="K441" s="3"/>
    </row>
    <row r="442" ht="15.75" customHeight="1">
      <c r="J442" s="3"/>
      <c r="K442" s="3"/>
    </row>
    <row r="443" ht="15.75" customHeight="1">
      <c r="J443" s="3"/>
      <c r="K443" s="3"/>
    </row>
    <row r="444" ht="15.75" customHeight="1">
      <c r="J444" s="3"/>
      <c r="K444" s="3"/>
    </row>
    <row r="445" ht="15.75" customHeight="1">
      <c r="J445" s="3"/>
      <c r="K445" s="3"/>
    </row>
    <row r="446" ht="15.75" customHeight="1">
      <c r="J446" s="3"/>
      <c r="K446" s="3"/>
    </row>
    <row r="447" ht="15.75" customHeight="1">
      <c r="J447" s="3"/>
      <c r="K447" s="3"/>
    </row>
    <row r="448" ht="15.75" customHeight="1">
      <c r="J448" s="3"/>
      <c r="K448" s="3"/>
    </row>
    <row r="449" ht="15.75" customHeight="1">
      <c r="J449" s="3"/>
      <c r="K449" s="3"/>
    </row>
    <row r="450" ht="15.75" customHeight="1">
      <c r="J450" s="3"/>
      <c r="K450" s="3"/>
    </row>
    <row r="451" ht="15.75" customHeight="1">
      <c r="J451" s="3"/>
      <c r="K451" s="3"/>
    </row>
    <row r="452" ht="15.75" customHeight="1">
      <c r="J452" s="3"/>
      <c r="K452" s="3"/>
    </row>
    <row r="453" ht="15.75" customHeight="1">
      <c r="J453" s="3"/>
      <c r="K453" s="3"/>
    </row>
    <row r="454" ht="15.75" customHeight="1">
      <c r="J454" s="3"/>
      <c r="K454" s="3"/>
    </row>
    <row r="455" ht="15.75" customHeight="1">
      <c r="J455" s="3"/>
      <c r="K455" s="3"/>
    </row>
    <row r="456" ht="15.75" customHeight="1">
      <c r="J456" s="3"/>
      <c r="K456" s="3"/>
    </row>
    <row r="457" ht="15.75" customHeight="1">
      <c r="J457" s="3"/>
      <c r="K457" s="3"/>
    </row>
    <row r="458" ht="15.75" customHeight="1">
      <c r="J458" s="3"/>
      <c r="K458" s="3"/>
    </row>
    <row r="459" ht="15.75" customHeight="1">
      <c r="J459" s="3"/>
      <c r="K459" s="3"/>
    </row>
    <row r="460" ht="15.75" customHeight="1">
      <c r="J460" s="3"/>
      <c r="K460" s="3"/>
    </row>
    <row r="461" ht="15.75" customHeight="1">
      <c r="J461" s="3"/>
      <c r="K461" s="3"/>
    </row>
    <row r="462" ht="15.75" customHeight="1">
      <c r="J462" s="3"/>
      <c r="K462" s="3"/>
    </row>
    <row r="463" ht="15.75" customHeight="1">
      <c r="J463" s="3"/>
      <c r="K463" s="3"/>
    </row>
    <row r="464" ht="15.75" customHeight="1">
      <c r="J464" s="3"/>
      <c r="K464" s="3"/>
    </row>
    <row r="465" ht="15.75" customHeight="1">
      <c r="J465" s="3"/>
      <c r="K465" s="3"/>
    </row>
    <row r="466" ht="15.75" customHeight="1">
      <c r="J466" s="3"/>
      <c r="K466" s="3"/>
    </row>
    <row r="467" ht="15.75" customHeight="1">
      <c r="J467" s="3"/>
      <c r="K467" s="3"/>
    </row>
    <row r="468" ht="15.75" customHeight="1">
      <c r="J468" s="3"/>
      <c r="K468" s="3"/>
    </row>
    <row r="469" ht="15.75" customHeight="1">
      <c r="J469" s="3"/>
      <c r="K469" s="3"/>
    </row>
    <row r="470" ht="15.75" customHeight="1">
      <c r="J470" s="3"/>
      <c r="K470" s="3"/>
    </row>
    <row r="471" ht="15.75" customHeight="1">
      <c r="J471" s="3"/>
      <c r="K471" s="3"/>
    </row>
    <row r="472" ht="15.75" customHeight="1">
      <c r="J472" s="3"/>
      <c r="K472" s="3"/>
    </row>
    <row r="473" ht="15.75" customHeight="1">
      <c r="J473" s="3"/>
      <c r="K473" s="3"/>
    </row>
    <row r="474" ht="15.75" customHeight="1">
      <c r="J474" s="3"/>
      <c r="K474" s="3"/>
    </row>
    <row r="475" ht="15.75" customHeight="1">
      <c r="J475" s="3"/>
      <c r="K475" s="3"/>
    </row>
    <row r="476" ht="15.75" customHeight="1">
      <c r="J476" s="3"/>
      <c r="K476" s="3"/>
    </row>
    <row r="477" ht="15.75" customHeight="1">
      <c r="J477" s="3"/>
      <c r="K477" s="3"/>
    </row>
    <row r="478" ht="15.75" customHeight="1">
      <c r="J478" s="3"/>
      <c r="K478" s="3"/>
    </row>
    <row r="479" ht="15.75" customHeight="1">
      <c r="J479" s="3"/>
      <c r="K479" s="3"/>
    </row>
    <row r="480" ht="15.75" customHeight="1">
      <c r="J480" s="3"/>
      <c r="K480" s="3"/>
    </row>
    <row r="481" ht="15.75" customHeight="1">
      <c r="J481" s="3"/>
      <c r="K481" s="3"/>
    </row>
    <row r="482" ht="15.75" customHeight="1">
      <c r="J482" s="3"/>
      <c r="K482" s="3"/>
    </row>
    <row r="483" ht="15.75" customHeight="1">
      <c r="J483" s="3"/>
      <c r="K483" s="3"/>
    </row>
    <row r="484" ht="15.75" customHeight="1">
      <c r="J484" s="3"/>
      <c r="K484" s="3"/>
    </row>
    <row r="485" ht="15.75" customHeight="1">
      <c r="J485" s="3"/>
      <c r="K485" s="3"/>
    </row>
    <row r="486" ht="15.75" customHeight="1">
      <c r="J486" s="3"/>
      <c r="K486" s="3"/>
    </row>
    <row r="487" ht="15.75" customHeight="1">
      <c r="J487" s="3"/>
      <c r="K487" s="3"/>
    </row>
    <row r="488" ht="15.75" customHeight="1">
      <c r="J488" s="3"/>
      <c r="K488" s="3"/>
    </row>
    <row r="489" ht="15.75" customHeight="1">
      <c r="J489" s="3"/>
      <c r="K489" s="3"/>
    </row>
    <row r="490" ht="15.75" customHeight="1">
      <c r="J490" s="3"/>
      <c r="K490" s="3"/>
    </row>
    <row r="491" ht="15.75" customHeight="1">
      <c r="J491" s="3"/>
      <c r="K491" s="3"/>
    </row>
    <row r="492" ht="15.75" customHeight="1">
      <c r="J492" s="3"/>
      <c r="K492" s="3"/>
    </row>
    <row r="493" ht="15.75" customHeight="1">
      <c r="J493" s="3"/>
      <c r="K493" s="3"/>
    </row>
    <row r="494" ht="15.75" customHeight="1">
      <c r="J494" s="3"/>
      <c r="K494" s="3"/>
    </row>
    <row r="495" ht="15.75" customHeight="1">
      <c r="J495" s="3"/>
      <c r="K495" s="3"/>
    </row>
    <row r="496" ht="15.75" customHeight="1">
      <c r="J496" s="3"/>
      <c r="K496" s="3"/>
    </row>
    <row r="497" ht="15.75" customHeight="1">
      <c r="J497" s="3"/>
      <c r="K497" s="3"/>
    </row>
    <row r="498" ht="15.75" customHeight="1">
      <c r="J498" s="3"/>
      <c r="K498" s="3"/>
    </row>
    <row r="499" ht="15.75" customHeight="1">
      <c r="J499" s="3"/>
      <c r="K499" s="3"/>
    </row>
    <row r="500" ht="15.75" customHeight="1">
      <c r="J500" s="3"/>
      <c r="K500" s="3"/>
    </row>
    <row r="501" ht="15.75" customHeight="1">
      <c r="J501" s="3"/>
      <c r="K501" s="3"/>
    </row>
    <row r="502" ht="15.75" customHeight="1">
      <c r="J502" s="3"/>
      <c r="K502" s="3"/>
    </row>
    <row r="503" ht="15.75" customHeight="1">
      <c r="J503" s="3"/>
      <c r="K503" s="3"/>
    </row>
    <row r="504" ht="15.75" customHeight="1">
      <c r="J504" s="3"/>
      <c r="K504" s="3"/>
    </row>
    <row r="505" ht="15.75" customHeight="1">
      <c r="J505" s="3"/>
      <c r="K505" s="3"/>
    </row>
    <row r="506" ht="15.75" customHeight="1">
      <c r="J506" s="3"/>
      <c r="K506" s="3"/>
    </row>
    <row r="507" ht="15.75" customHeight="1">
      <c r="J507" s="3"/>
      <c r="K507" s="3"/>
    </row>
    <row r="508" ht="15.75" customHeight="1">
      <c r="J508" s="3"/>
      <c r="K508" s="3"/>
    </row>
    <row r="509" ht="15.75" customHeight="1">
      <c r="J509" s="3"/>
      <c r="K509" s="3"/>
    </row>
    <row r="510" ht="15.75" customHeight="1">
      <c r="J510" s="3"/>
      <c r="K510" s="3"/>
    </row>
    <row r="511" ht="15.75" customHeight="1">
      <c r="J511" s="3"/>
      <c r="K511" s="3"/>
    </row>
    <row r="512" ht="15.75" customHeight="1">
      <c r="J512" s="3"/>
      <c r="K512" s="3"/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">
    <mergeCell ref="A1:K2"/>
  </mergeCells>
  <conditionalFormatting sqref="J5:J1012">
    <cfRule type="expression" dxfId="0" priority="1">
      <formula>J5="Inscrito"</formula>
    </cfRule>
  </conditionalFormatting>
  <conditionalFormatting sqref="J5:J1012">
    <cfRule type="expression" dxfId="1" priority="2">
      <formula>J5="Show"</formula>
    </cfRule>
  </conditionalFormatting>
  <conditionalFormatting sqref="J5:J1012">
    <cfRule type="expression" dxfId="2" priority="3">
      <formula>J5="No asistió"</formula>
    </cfRule>
  </conditionalFormatting>
  <conditionalFormatting sqref="J5:J1012">
    <cfRule type="expression" dxfId="3" priority="4">
      <formula>J5="Cita"</formula>
    </cfRule>
  </conditionalFormatting>
  <dataValidations>
    <dataValidation type="list" allowBlank="1" sqref="J5:J512">
      <formula1>"Inscrito,Show,No asistió,Cita,Revisar"</formula1>
    </dataValidation>
    <dataValidation type="list" allowBlank="1" sqref="K5:K512">
      <formula1>"Precio,Horarios,Ubicación,Metodología,No le interesó,Prefiere otra opción,Motivos personales,Sin respuesta,Pendiente de decisión,Inscripción pospuesta"</formula1>
    </dataValidation>
    <dataValidation type="list" allowBlank="1" showErrorMessage="1" sqref="D5:D65">
      <formula1>"Parenthood,Kids,Junior,College,Certifications"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40.0"/>
    <col customWidth="1" min="2" max="2" width="19.0"/>
    <col customWidth="1" min="3" max="10" width="13.0"/>
    <col customWidth="1" min="11" max="26" width="8.63"/>
  </cols>
  <sheetData>
    <row r="1" ht="25.5" customHeight="1">
      <c r="A1" s="14" t="s">
        <v>342</v>
      </c>
    </row>
    <row r="2" ht="25.5" customHeight="1"/>
    <row r="3">
      <c r="A3" s="3" t="s">
        <v>337</v>
      </c>
    </row>
    <row r="4">
      <c r="A4" s="7" t="s">
        <v>344</v>
      </c>
      <c r="B4" s="17">
        <v>46296.0</v>
      </c>
    </row>
    <row r="5">
      <c r="A5" s="7" t="s">
        <v>346</v>
      </c>
      <c r="B5" s="17">
        <v>46318.0</v>
      </c>
    </row>
    <row r="6" ht="28.5" customHeight="1">
      <c r="A6" s="18" t="s">
        <v>338</v>
      </c>
      <c r="B6" s="16" t="s">
        <v>10</v>
      </c>
    </row>
    <row r="7">
      <c r="A7" s="3" t="s">
        <v>339</v>
      </c>
      <c r="B7" s="3">
        <f>COUNTIFS('Octubre 2026'!A:A,"&gt;="&amp;$B$4,'Octubre 2026'!A:A,"&lt;="&amp;$B$5)</f>
        <v>43</v>
      </c>
    </row>
    <row r="8">
      <c r="A8" s="3" t="s">
        <v>340</v>
      </c>
      <c r="B8" s="3">
        <f>COUNTIFS('Octubre 2026'!A:A,"&gt;="&amp;$B$4,'Octubre 2026'!A:A,"&lt;="&amp;$B$5,'Octubre 2026'!J:J,"Inscrito")</f>
        <v>15</v>
      </c>
    </row>
    <row r="9">
      <c r="A9" s="3" t="s">
        <v>341</v>
      </c>
      <c r="B9" s="3">
        <f>COUNTIFS('Octubre 2026'!A:A,"&gt;="&amp;$B$4,'Octubre 2026'!A:A,"&lt;="&amp;$B$5,'Octubre 2026'!J:J,"Show")</f>
        <v>11</v>
      </c>
    </row>
    <row r="10">
      <c r="A10" s="3" t="s">
        <v>64</v>
      </c>
      <c r="B10" s="3">
        <f>COUNTIFS('Octubre 2026'!A:A,"&gt;="&amp;$B$4,'Octubre 2026'!A:A,"&lt;="&amp;$B$5,'Octubre 2026'!J:J,"No asistió")</f>
        <v>16</v>
      </c>
    </row>
    <row r="11">
      <c r="A11" s="3" t="s">
        <v>343</v>
      </c>
      <c r="B11" s="3">
        <f>COUNTIFS('Octubre 2026'!A:A,"&gt;="&amp;$B$4,'Octubre 2026'!A:A,"&lt;="&amp;$B$5,'Octubre 2026'!J:J,"Cita")</f>
        <v>1</v>
      </c>
    </row>
    <row r="12">
      <c r="A12" s="3" t="s">
        <v>345</v>
      </c>
      <c r="B12" s="3">
        <f>COUNTIFS('Octubre 2026'!A:A,"&gt;="&amp;$B$4,'Octubre 2026'!A:A,"&lt;="&amp;$B$5,'Octubre 2026'!J:J,"Revisar")</f>
        <v>0</v>
      </c>
    </row>
    <row r="13">
      <c r="A13" s="3" t="s">
        <v>347</v>
      </c>
      <c r="B13" s="3">
        <f>B8+B9</f>
        <v>26</v>
      </c>
    </row>
    <row r="14">
      <c r="A14" s="3" t="s">
        <v>348</v>
      </c>
      <c r="B14" s="19">
        <f>IFERROR(B8/B13,0)</f>
        <v>0.5769230769</v>
      </c>
    </row>
    <row r="15">
      <c r="A15" s="3" t="s">
        <v>349</v>
      </c>
      <c r="B15" s="19">
        <f>IFERROR(B13/(B13+B10),0)</f>
        <v>0.619047619</v>
      </c>
    </row>
    <row r="16">
      <c r="A16" s="7" t="s">
        <v>359</v>
      </c>
      <c r="B16" s="3">
        <f>SUM(B8+B9)</f>
        <v>26</v>
      </c>
    </row>
    <row r="18">
      <c r="A18" s="24" t="s">
        <v>350</v>
      </c>
      <c r="B18" s="21" t="s">
        <v>351</v>
      </c>
    </row>
    <row r="19">
      <c r="A19" s="3" t="s">
        <v>352</v>
      </c>
      <c r="B19" s="3">
        <f t="shared" ref="B19:B20" si="1">B8</f>
        <v>15</v>
      </c>
    </row>
    <row r="20">
      <c r="A20" s="3" t="s">
        <v>353</v>
      </c>
      <c r="B20" s="3">
        <f t="shared" si="1"/>
        <v>11</v>
      </c>
    </row>
    <row r="22" ht="15.75" customHeight="1"/>
    <row r="23" ht="15.75" customHeight="1">
      <c r="A23" s="22" t="s">
        <v>354</v>
      </c>
      <c r="B23" s="25" t="s">
        <v>355</v>
      </c>
    </row>
    <row r="24" ht="15.75" customHeight="1">
      <c r="A24" s="3" t="s">
        <v>90</v>
      </c>
      <c r="B24" s="3">
        <f>COUNTIFS('Octubre 2026'!J:J,"Show",'Octubre 2026'!K:K,A24,'Octubre 2026'!A:A,"&gt;="&amp;$B$4,'Octubre 2026'!A:A,"&lt;="&amp;$B$5)</f>
        <v>0</v>
      </c>
    </row>
    <row r="25" ht="15.75" customHeight="1">
      <c r="A25" s="3" t="s">
        <v>125</v>
      </c>
      <c r="B25" s="3">
        <f>COUNTIFS('Octubre 2026'!J:J,"Show",'Octubre 2026'!K:K,A25,'Octubre 2026'!A:A,"&gt;="&amp;$B$4,'Octubre 2026'!A:A,"&lt;="&amp;$B$5)</f>
        <v>4</v>
      </c>
    </row>
    <row r="26" ht="15.75" customHeight="1">
      <c r="A26" s="3" t="s">
        <v>33</v>
      </c>
      <c r="B26" s="3">
        <f>COUNTIFS('Octubre 2026'!J:J,"Show",'Octubre 2026'!K:K,A26,'Octubre 2026'!A:A,"&gt;="&amp;$B$4,'Octubre 2026'!A:A,"&lt;="&amp;$B$5)</f>
        <v>0</v>
      </c>
    </row>
    <row r="27" ht="15.75" customHeight="1">
      <c r="A27" s="3" t="s">
        <v>356</v>
      </c>
      <c r="B27" s="3">
        <f>COUNTIFS('Octubre 2026'!J:J,"Show",'Octubre 2026'!K:K,A27,'Octubre 2026'!A:A,"&gt;="&amp;$B$4,'Octubre 2026'!A:A,"&lt;="&amp;$B$5)</f>
        <v>0</v>
      </c>
    </row>
    <row r="28" ht="15.75" customHeight="1">
      <c r="A28" s="3" t="s">
        <v>357</v>
      </c>
      <c r="B28" s="3">
        <f>COUNTIFS('Octubre 2026'!J:J,"Show",'Octubre 2026'!K:K,A28,'Octubre 2026'!A:A,"&gt;="&amp;$B$4,'Octubre 2026'!A:A,"&lt;="&amp;$B$5)</f>
        <v>0</v>
      </c>
    </row>
    <row r="29" ht="15.75" customHeight="1">
      <c r="A29" s="3" t="s">
        <v>358</v>
      </c>
      <c r="B29" s="3">
        <f>COUNTIFS('Octubre 2026'!J:J,"Show",'Octubre 2026'!K:K,A29,'Octubre 2026'!A:A,"&gt;="&amp;$B$4,'Octubre 2026'!A:A,"&lt;="&amp;$B$5)</f>
        <v>0</v>
      </c>
    </row>
    <row r="30" ht="15.75" customHeight="1">
      <c r="A30" s="3" t="s">
        <v>100</v>
      </c>
      <c r="B30" s="3">
        <f>COUNTIFS('Octubre 2026'!J:J,"Show",'Octubre 2026'!K:K,A30,'Octubre 2026'!A:A,"&gt;="&amp;$B$4,'Octubre 2026'!A:A,"&lt;="&amp;$B$5)</f>
        <v>0</v>
      </c>
    </row>
    <row r="31" ht="15.75" customHeight="1">
      <c r="A31" s="3" t="s">
        <v>37</v>
      </c>
      <c r="B31" s="3">
        <f>COUNTIFS('Octubre 2026'!J:J,"Show",'Octubre 2026'!K:K,A31,'Octubre 2026'!A:A,"&gt;="&amp;$B$4,'Octubre 2026'!A:A,"&lt;="&amp;$B$5)</f>
        <v>2</v>
      </c>
    </row>
    <row r="32" ht="15.75" customHeight="1">
      <c r="A32" s="7" t="s">
        <v>38</v>
      </c>
      <c r="B32" s="3">
        <f>COUNTIFS('Octubre 2026'!J:J,"Show",'Octubre 2026'!K:K,A32,'Octubre 2026'!A:A,"&gt;="&amp;$B$4,'Octubre 2026'!A:A,"&lt;="&amp;$B$5)</f>
        <v>2</v>
      </c>
    </row>
    <row r="33" ht="15.75" customHeight="1">
      <c r="A33" s="7" t="s">
        <v>88</v>
      </c>
      <c r="B33" s="3">
        <f>COUNTIFS('Octubre 2026'!J:J,"Show",'Octubre 2026'!K:K,A33,'Octubre 2026'!A:A,"&gt;="&amp;$B$4,'Octubre 2026'!A:A,"&lt;="&amp;$B$5)</f>
        <v>2</v>
      </c>
    </row>
    <row r="34" ht="15.75" customHeight="1"/>
    <row r="35" ht="15.75" customHeight="1"/>
    <row r="36" ht="15.75" customHeight="1">
      <c r="A36" s="26"/>
    </row>
    <row r="37" ht="15.75" customHeight="1"/>
    <row r="38" ht="15.75" customHeight="1"/>
    <row r="39" ht="15.75" customHeight="1">
      <c r="A39" s="27" t="s">
        <v>5</v>
      </c>
      <c r="B39" s="28" t="s">
        <v>360</v>
      </c>
    </row>
    <row r="40" ht="15.75" customHeight="1">
      <c r="A40" s="7" t="s">
        <v>59</v>
      </c>
    </row>
    <row r="41" ht="15.75" customHeight="1">
      <c r="A41" s="7" t="s">
        <v>16</v>
      </c>
    </row>
    <row r="42" ht="15.75" customHeight="1">
      <c r="A42" s="7" t="s">
        <v>43</v>
      </c>
    </row>
    <row r="43" ht="15.75" customHeight="1">
      <c r="A43" s="7" t="s">
        <v>27</v>
      </c>
    </row>
    <row r="44" ht="15.75" customHeight="1">
      <c r="A44" s="7" t="s">
        <v>361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J2"/>
    <mergeCell ref="A3:J3"/>
    <mergeCell ref="A36:J3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0"/>
    <col customWidth="1" min="2" max="2" width="30.0"/>
    <col customWidth="1" min="3" max="3" width="20.0"/>
    <col customWidth="1" min="4" max="4" width="18.0"/>
    <col customWidth="1" min="5" max="5" width="12.0"/>
    <col customWidth="1" min="6" max="8" width="17.0"/>
    <col customWidth="1" min="9" max="9" width="15.0"/>
    <col customWidth="1" min="10" max="10" width="19.0"/>
    <col customWidth="1" min="11" max="11" width="30.0"/>
    <col customWidth="1" min="12" max="24" width="8.63"/>
  </cols>
  <sheetData>
    <row r="1" ht="24.75" customHeight="1">
      <c r="A1" s="29" t="s">
        <v>362</v>
      </c>
    </row>
    <row r="2" ht="24.75" customHeight="1"/>
    <row r="4" ht="33.75" customHeight="1">
      <c r="A4" s="2" t="s">
        <v>2</v>
      </c>
      <c r="B4" s="5" t="s">
        <v>20</v>
      </c>
      <c r="C4" s="2" t="s">
        <v>4</v>
      </c>
      <c r="D4" s="2" t="s">
        <v>5</v>
      </c>
      <c r="E4" s="2" t="s">
        <v>6</v>
      </c>
      <c r="F4" s="2" t="s">
        <v>7</v>
      </c>
      <c r="G4" s="5" t="s">
        <v>22</v>
      </c>
      <c r="H4" s="5" t="s">
        <v>23</v>
      </c>
      <c r="I4" s="2" t="s">
        <v>9</v>
      </c>
      <c r="J4" s="2" t="s">
        <v>10</v>
      </c>
      <c r="K4" s="2" t="s">
        <v>11</v>
      </c>
    </row>
    <row r="5">
      <c r="A5" s="17">
        <v>46333.0</v>
      </c>
      <c r="B5" s="30" t="s">
        <v>363</v>
      </c>
      <c r="C5" s="30" t="s">
        <v>364</v>
      </c>
      <c r="D5" s="7" t="s">
        <v>59</v>
      </c>
      <c r="E5" s="7">
        <v>9.0</v>
      </c>
      <c r="F5" s="7" t="s">
        <v>17</v>
      </c>
      <c r="G5" s="7" t="s">
        <v>365</v>
      </c>
      <c r="H5" s="7" t="s">
        <v>18</v>
      </c>
      <c r="J5" s="7" t="s">
        <v>243</v>
      </c>
      <c r="K5" s="3"/>
      <c r="M5" s="7">
        <v>1.0</v>
      </c>
    </row>
    <row r="6">
      <c r="A6" s="17">
        <v>46333.0</v>
      </c>
      <c r="B6" s="30" t="s">
        <v>366</v>
      </c>
      <c r="C6" s="30" t="s">
        <v>364</v>
      </c>
      <c r="D6" s="7" t="s">
        <v>16</v>
      </c>
      <c r="E6" s="7">
        <v>12.0</v>
      </c>
      <c r="F6" s="7" t="s">
        <v>17</v>
      </c>
      <c r="G6" s="7" t="s">
        <v>264</v>
      </c>
      <c r="H6" s="7" t="s">
        <v>18</v>
      </c>
      <c r="J6" s="7" t="s">
        <v>243</v>
      </c>
      <c r="K6" s="3"/>
      <c r="M6" s="7">
        <v>2.0</v>
      </c>
    </row>
    <row r="7">
      <c r="A7" s="17"/>
      <c r="C7" s="9"/>
      <c r="D7" s="3"/>
      <c r="J7" s="3"/>
      <c r="K7" s="3"/>
      <c r="M7" s="7">
        <v>3.0</v>
      </c>
    </row>
    <row r="8">
      <c r="A8" s="6"/>
      <c r="D8" s="3"/>
      <c r="J8" s="3"/>
      <c r="K8" s="3"/>
      <c r="M8" s="7">
        <v>4.0</v>
      </c>
    </row>
    <row r="9">
      <c r="A9" s="6"/>
      <c r="D9" s="3"/>
      <c r="J9" s="3"/>
      <c r="K9" s="3"/>
      <c r="M9" s="7">
        <v>5.0</v>
      </c>
    </row>
    <row r="10">
      <c r="A10" s="6"/>
      <c r="D10" s="3"/>
      <c r="J10" s="3"/>
      <c r="K10" s="3"/>
      <c r="M10" s="7">
        <v>6.0</v>
      </c>
    </row>
    <row r="11">
      <c r="A11" s="6"/>
      <c r="D11" s="3"/>
      <c r="J11" s="3"/>
      <c r="K11" s="3"/>
      <c r="M11" s="7">
        <v>7.0</v>
      </c>
    </row>
    <row r="12">
      <c r="A12" s="6"/>
      <c r="D12" s="3"/>
      <c r="J12" s="3"/>
      <c r="K12" s="3"/>
      <c r="M12" s="7">
        <v>8.0</v>
      </c>
    </row>
    <row r="13">
      <c r="A13" s="6"/>
      <c r="D13" s="3"/>
      <c r="J13" s="3"/>
      <c r="K13" s="3"/>
      <c r="M13" s="7">
        <v>9.0</v>
      </c>
    </row>
    <row r="14">
      <c r="A14" s="6"/>
      <c r="D14" s="3"/>
      <c r="J14" s="3"/>
      <c r="K14" s="3"/>
      <c r="M14" s="7">
        <v>10.0</v>
      </c>
    </row>
    <row r="15">
      <c r="A15" s="6"/>
      <c r="D15" s="3"/>
      <c r="J15" s="3"/>
      <c r="K15" s="3"/>
      <c r="M15" s="7">
        <v>11.0</v>
      </c>
    </row>
    <row r="16">
      <c r="A16" s="6"/>
      <c r="D16" s="3"/>
      <c r="J16" s="3"/>
      <c r="K16" s="3"/>
      <c r="M16" s="7">
        <v>12.0</v>
      </c>
    </row>
    <row r="17">
      <c r="A17" s="6"/>
      <c r="D17" s="3"/>
      <c r="J17" s="3"/>
      <c r="K17" s="3"/>
      <c r="M17" s="7">
        <v>13.0</v>
      </c>
    </row>
    <row r="18">
      <c r="A18" s="6"/>
      <c r="D18" s="3"/>
      <c r="J18" s="3"/>
      <c r="K18" s="3"/>
      <c r="M18" s="7">
        <v>14.0</v>
      </c>
    </row>
    <row r="19">
      <c r="A19" s="6"/>
      <c r="D19" s="3"/>
      <c r="J19" s="3"/>
      <c r="K19" s="3"/>
      <c r="M19" s="7">
        <v>15.0</v>
      </c>
    </row>
    <row r="20">
      <c r="A20" s="6"/>
      <c r="D20" s="3"/>
      <c r="J20" s="3"/>
      <c r="K20" s="3"/>
      <c r="M20" s="7">
        <v>16.0</v>
      </c>
    </row>
    <row r="21" ht="15.75" customHeight="1">
      <c r="A21" s="6"/>
      <c r="D21" s="3"/>
      <c r="J21" s="3"/>
      <c r="K21" s="3"/>
      <c r="M21" s="7">
        <v>17.0</v>
      </c>
    </row>
    <row r="22" ht="15.75" customHeight="1">
      <c r="A22" s="6"/>
      <c r="D22" s="3"/>
      <c r="J22" s="3"/>
      <c r="K22" s="3"/>
      <c r="M22" s="7">
        <v>18.0</v>
      </c>
    </row>
    <row r="23" ht="15.75" customHeight="1">
      <c r="A23" s="6"/>
      <c r="D23" s="3"/>
      <c r="J23" s="3"/>
      <c r="K23" s="3"/>
      <c r="M23" s="7">
        <v>19.0</v>
      </c>
    </row>
    <row r="24" ht="15.75" customHeight="1">
      <c r="A24" s="6"/>
      <c r="D24" s="3"/>
      <c r="J24" s="3"/>
      <c r="K24" s="3"/>
      <c r="M24" s="7">
        <v>20.0</v>
      </c>
    </row>
    <row r="25" ht="15.75" customHeight="1">
      <c r="A25" s="6"/>
      <c r="D25" s="3"/>
      <c r="J25" s="3"/>
      <c r="K25" s="3"/>
      <c r="M25" s="7">
        <v>21.0</v>
      </c>
    </row>
    <row r="26" ht="15.75" customHeight="1">
      <c r="A26" s="6"/>
      <c r="D26" s="3"/>
      <c r="J26" s="3"/>
      <c r="K26" s="3"/>
      <c r="M26" s="7">
        <v>22.0</v>
      </c>
    </row>
    <row r="27" ht="15.75" customHeight="1">
      <c r="A27" s="6"/>
      <c r="D27" s="3"/>
      <c r="J27" s="3"/>
      <c r="K27" s="3"/>
      <c r="M27" s="7">
        <v>23.0</v>
      </c>
    </row>
    <row r="28" ht="15.75" customHeight="1">
      <c r="A28" s="6"/>
      <c r="D28" s="3"/>
      <c r="J28" s="3"/>
      <c r="K28" s="3"/>
      <c r="M28" s="7">
        <v>24.0</v>
      </c>
    </row>
    <row r="29" ht="15.75" customHeight="1">
      <c r="A29" s="6"/>
      <c r="D29" s="3"/>
      <c r="J29" s="3"/>
      <c r="K29" s="3"/>
      <c r="M29" s="7">
        <v>25.0</v>
      </c>
    </row>
    <row r="30" ht="15.75" customHeight="1">
      <c r="A30" s="6"/>
      <c r="D30" s="3"/>
      <c r="J30" s="3"/>
      <c r="K30" s="3"/>
      <c r="M30" s="7">
        <v>26.0</v>
      </c>
    </row>
    <row r="31" ht="15.75" customHeight="1">
      <c r="A31" s="6"/>
      <c r="D31" s="3"/>
      <c r="J31" s="3"/>
      <c r="K31" s="3"/>
      <c r="M31" s="7">
        <v>27.0</v>
      </c>
    </row>
    <row r="32" ht="15.75" customHeight="1">
      <c r="A32" s="6"/>
      <c r="D32" s="3"/>
      <c r="J32" s="3"/>
      <c r="K32" s="3"/>
      <c r="M32" s="7">
        <v>28.0</v>
      </c>
    </row>
    <row r="33" ht="15.75" customHeight="1">
      <c r="A33" s="6"/>
      <c r="D33" s="3"/>
      <c r="J33" s="3"/>
      <c r="K33" s="3"/>
      <c r="M33" s="7">
        <v>29.0</v>
      </c>
    </row>
    <row r="34" ht="15.75" customHeight="1">
      <c r="A34" s="6"/>
      <c r="D34" s="3"/>
      <c r="J34" s="3"/>
      <c r="K34" s="3"/>
      <c r="M34" s="7">
        <v>30.0</v>
      </c>
    </row>
    <row r="35" ht="15.75" customHeight="1">
      <c r="A35" s="6"/>
      <c r="D35" s="3"/>
      <c r="J35" s="3"/>
      <c r="K35" s="3"/>
      <c r="M35" s="7">
        <v>31.0</v>
      </c>
    </row>
    <row r="36" ht="15.75" customHeight="1">
      <c r="A36" s="6"/>
      <c r="D36" s="3"/>
      <c r="J36" s="3"/>
      <c r="K36" s="3"/>
      <c r="M36" s="7">
        <v>32.0</v>
      </c>
    </row>
    <row r="37" ht="15.75" customHeight="1">
      <c r="A37" s="6"/>
      <c r="D37" s="3"/>
      <c r="J37" s="3"/>
      <c r="K37" s="3"/>
      <c r="M37" s="7">
        <v>33.0</v>
      </c>
    </row>
    <row r="38" ht="15.75" customHeight="1">
      <c r="A38" s="6"/>
      <c r="D38" s="3"/>
      <c r="J38" s="3"/>
      <c r="K38" s="3"/>
      <c r="M38" s="7">
        <v>34.0</v>
      </c>
    </row>
    <row r="39" ht="15.75" customHeight="1">
      <c r="A39" s="6"/>
      <c r="D39" s="3"/>
      <c r="J39" s="3"/>
      <c r="K39" s="3"/>
      <c r="M39" s="7">
        <v>35.0</v>
      </c>
    </row>
    <row r="40" ht="15.75" customHeight="1">
      <c r="A40" s="6"/>
      <c r="D40" s="3"/>
      <c r="J40" s="3"/>
      <c r="K40" s="3"/>
      <c r="M40" s="7">
        <v>36.0</v>
      </c>
    </row>
    <row r="41" ht="15.75" customHeight="1">
      <c r="A41" s="8"/>
      <c r="B41" s="9"/>
      <c r="C41" s="9"/>
      <c r="D41" s="3"/>
      <c r="J41" s="3"/>
      <c r="K41" s="3"/>
      <c r="M41" s="7">
        <v>37.0</v>
      </c>
    </row>
    <row r="42" ht="15.75" customHeight="1">
      <c r="A42" s="8"/>
      <c r="B42" s="9"/>
      <c r="C42" s="9"/>
      <c r="D42" s="3"/>
      <c r="J42" s="3"/>
      <c r="K42" s="3"/>
      <c r="L42" s="7"/>
      <c r="M42" s="7">
        <v>38.0</v>
      </c>
    </row>
    <row r="43" ht="15.75" customHeight="1">
      <c r="A43" s="8"/>
      <c r="B43" s="9"/>
      <c r="C43" s="9"/>
      <c r="D43" s="3"/>
      <c r="J43" s="3"/>
      <c r="K43" s="3"/>
      <c r="L43" s="7"/>
      <c r="M43" s="7">
        <v>39.0</v>
      </c>
    </row>
    <row r="44" ht="15.75" customHeight="1">
      <c r="A44" s="8"/>
      <c r="B44" s="9"/>
      <c r="C44" s="9"/>
      <c r="D44" s="3"/>
      <c r="J44" s="3"/>
      <c r="K44" s="3"/>
      <c r="L44" s="7"/>
      <c r="M44" s="7">
        <v>40.0</v>
      </c>
    </row>
    <row r="45" ht="15.75" customHeight="1">
      <c r="A45" s="6"/>
      <c r="D45" s="3"/>
      <c r="J45" s="3"/>
      <c r="K45" s="3"/>
      <c r="M45" s="7">
        <v>41.0</v>
      </c>
    </row>
    <row r="46" ht="15.75" customHeight="1">
      <c r="A46" s="6"/>
      <c r="D46" s="3"/>
      <c r="J46" s="3"/>
      <c r="K46" s="3"/>
      <c r="M46" s="7">
        <v>42.0</v>
      </c>
    </row>
    <row r="47" ht="15.75" customHeight="1">
      <c r="A47" s="6"/>
      <c r="D47" s="3"/>
      <c r="J47" s="3"/>
      <c r="K47" s="3"/>
      <c r="M47" s="7">
        <v>43.0</v>
      </c>
    </row>
    <row r="48" ht="15.75" customHeight="1">
      <c r="A48" s="6"/>
      <c r="D48" s="3"/>
      <c r="J48" s="3"/>
      <c r="K48" s="3"/>
      <c r="M48" s="7">
        <v>44.0</v>
      </c>
    </row>
    <row r="49" ht="15.75" customHeight="1">
      <c r="A49" s="6"/>
      <c r="D49" s="3"/>
      <c r="J49" s="3"/>
      <c r="K49" s="3"/>
      <c r="M49" s="7">
        <v>45.0</v>
      </c>
    </row>
    <row r="50" ht="15.75" customHeight="1">
      <c r="A50" s="6"/>
      <c r="D50" s="3"/>
      <c r="J50" s="3"/>
      <c r="K50" s="3"/>
      <c r="M50" s="7">
        <v>46.0</v>
      </c>
    </row>
    <row r="51" ht="15.75" customHeight="1">
      <c r="A51" s="6"/>
      <c r="D51" s="3"/>
      <c r="J51" s="3"/>
      <c r="K51" s="3"/>
      <c r="M51" s="7">
        <v>47.0</v>
      </c>
    </row>
    <row r="52" ht="15.75" customHeight="1">
      <c r="A52" s="6"/>
      <c r="D52" s="3"/>
      <c r="J52" s="3"/>
      <c r="K52" s="3"/>
      <c r="M52" s="7">
        <v>48.0</v>
      </c>
    </row>
    <row r="53" ht="15.75" customHeight="1">
      <c r="A53" s="6"/>
      <c r="D53" s="3"/>
      <c r="J53" s="3"/>
      <c r="K53" s="3"/>
      <c r="M53" s="7">
        <v>49.0</v>
      </c>
    </row>
    <row r="54" ht="15.75" customHeight="1">
      <c r="A54" s="8"/>
      <c r="C54" s="9"/>
      <c r="D54" s="3"/>
      <c r="J54" s="3"/>
      <c r="K54" s="3"/>
      <c r="M54" s="7">
        <v>50.0</v>
      </c>
    </row>
    <row r="55" ht="15.75" customHeight="1">
      <c r="A55" s="8"/>
      <c r="C55" s="9"/>
      <c r="D55" s="3"/>
      <c r="J55" s="3"/>
      <c r="K55" s="3"/>
      <c r="M55" s="7">
        <v>51.0</v>
      </c>
    </row>
    <row r="56" ht="15.75" customHeight="1">
      <c r="A56" s="8"/>
      <c r="C56" s="9"/>
      <c r="D56" s="3"/>
      <c r="J56" s="3"/>
      <c r="K56" s="3"/>
      <c r="M56" s="7">
        <v>52.0</v>
      </c>
    </row>
    <row r="57" ht="15.75" customHeight="1">
      <c r="A57" s="8"/>
      <c r="C57" s="9"/>
      <c r="D57" s="3"/>
      <c r="J57" s="3"/>
      <c r="K57" s="3"/>
      <c r="M57" s="7">
        <v>53.0</v>
      </c>
    </row>
    <row r="58" ht="15.75" customHeight="1">
      <c r="A58" s="8"/>
      <c r="C58" s="9"/>
      <c r="D58" s="3"/>
      <c r="J58" s="3"/>
      <c r="K58" s="3"/>
      <c r="M58" s="7">
        <v>54.0</v>
      </c>
    </row>
    <row r="59" ht="15.75" customHeight="1">
      <c r="A59" s="8"/>
      <c r="C59" s="9"/>
      <c r="D59" s="3"/>
      <c r="J59" s="3"/>
      <c r="K59" s="3"/>
      <c r="M59" s="7">
        <v>55.0</v>
      </c>
    </row>
    <row r="60" ht="15.75" customHeight="1">
      <c r="A60" s="8"/>
      <c r="D60" s="3"/>
      <c r="J60" s="3"/>
      <c r="K60" s="3"/>
      <c r="M60" s="7">
        <v>56.0</v>
      </c>
    </row>
    <row r="61" ht="15.75" customHeight="1">
      <c r="A61" s="8"/>
      <c r="C61" s="9"/>
      <c r="D61" s="3"/>
      <c r="J61" s="3"/>
      <c r="K61" s="3"/>
      <c r="M61" s="7">
        <v>57.0</v>
      </c>
    </row>
    <row r="62" ht="15.75" customHeight="1">
      <c r="A62" s="8"/>
      <c r="C62" s="9"/>
      <c r="D62" s="3"/>
      <c r="J62" s="3"/>
      <c r="K62" s="3"/>
      <c r="M62" s="7">
        <v>58.0</v>
      </c>
    </row>
    <row r="63" ht="15.75" customHeight="1">
      <c r="A63" s="8"/>
      <c r="C63" s="9"/>
      <c r="D63" s="3"/>
      <c r="J63" s="3"/>
      <c r="K63" s="3"/>
      <c r="M63" s="7">
        <v>59.0</v>
      </c>
    </row>
    <row r="64" ht="15.75" customHeight="1">
      <c r="A64" s="13"/>
      <c r="B64" s="7"/>
      <c r="C64" s="9"/>
      <c r="D64" s="7"/>
      <c r="E64" s="7"/>
      <c r="F64" s="7"/>
      <c r="G64" s="7"/>
      <c r="I64" s="7"/>
      <c r="J64" s="7"/>
      <c r="K64" s="3"/>
      <c r="M64" s="7">
        <v>60.0</v>
      </c>
    </row>
    <row r="65" ht="15.75" customHeight="1">
      <c r="A65" s="6"/>
      <c r="J65" s="3"/>
      <c r="K65" s="3"/>
      <c r="M65" s="7">
        <v>61.0</v>
      </c>
    </row>
    <row r="66" ht="15.75" customHeight="1">
      <c r="A66" s="6"/>
      <c r="J66" s="3"/>
      <c r="K66" s="3"/>
      <c r="M66" s="7">
        <v>62.0</v>
      </c>
    </row>
    <row r="67" ht="15.75" customHeight="1">
      <c r="A67" s="6"/>
      <c r="J67" s="3"/>
      <c r="K67" s="3"/>
      <c r="M67" s="7">
        <v>63.0</v>
      </c>
    </row>
    <row r="68" ht="15.75" customHeight="1">
      <c r="A68" s="6"/>
      <c r="J68" s="3"/>
      <c r="K68" s="3"/>
      <c r="M68" s="7">
        <v>64.0</v>
      </c>
    </row>
    <row r="69" ht="15.75" customHeight="1">
      <c r="A69" s="6"/>
      <c r="J69" s="3"/>
      <c r="K69" s="3"/>
      <c r="M69" s="7">
        <v>65.0</v>
      </c>
    </row>
    <row r="70" ht="15.75" customHeight="1">
      <c r="A70" s="6"/>
      <c r="J70" s="3"/>
      <c r="K70" s="3"/>
      <c r="M70" s="7">
        <v>66.0</v>
      </c>
    </row>
    <row r="71" ht="15.75" customHeight="1">
      <c r="J71" s="3"/>
      <c r="K71" s="3"/>
      <c r="M71" s="7">
        <v>67.0</v>
      </c>
    </row>
    <row r="72" ht="15.75" customHeight="1">
      <c r="J72" s="3"/>
      <c r="K72" s="3"/>
      <c r="M72" s="7">
        <v>68.0</v>
      </c>
    </row>
    <row r="73" ht="15.75" customHeight="1">
      <c r="J73" s="3"/>
      <c r="K73" s="3"/>
      <c r="M73" s="7">
        <v>69.0</v>
      </c>
    </row>
    <row r="74" ht="15.75" customHeight="1">
      <c r="J74" s="3"/>
      <c r="K74" s="3"/>
      <c r="M74" s="7">
        <v>70.0</v>
      </c>
    </row>
    <row r="75" ht="15.75" customHeight="1">
      <c r="J75" s="3"/>
      <c r="K75" s="3"/>
      <c r="M75" s="7">
        <v>71.0</v>
      </c>
    </row>
    <row r="76" ht="15.75" customHeight="1">
      <c r="J76" s="3"/>
      <c r="K76" s="3"/>
      <c r="M76" s="7">
        <v>72.0</v>
      </c>
    </row>
    <row r="77" ht="15.75" customHeight="1">
      <c r="J77" s="3"/>
      <c r="K77" s="3"/>
      <c r="M77" s="7">
        <v>73.0</v>
      </c>
    </row>
    <row r="78" ht="15.75" customHeight="1">
      <c r="J78" s="3"/>
      <c r="K78" s="3"/>
    </row>
    <row r="79" ht="15.75" customHeight="1">
      <c r="J79" s="3"/>
      <c r="K79" s="3"/>
    </row>
    <row r="80" ht="15.75" customHeight="1">
      <c r="J80" s="3"/>
      <c r="K80" s="3"/>
    </row>
    <row r="81" ht="15.75" customHeight="1">
      <c r="J81" s="3"/>
      <c r="K81" s="3"/>
    </row>
    <row r="82" ht="15.75" customHeight="1">
      <c r="J82" s="3"/>
      <c r="K82" s="3"/>
    </row>
    <row r="83" ht="15.75" customHeight="1">
      <c r="J83" s="3"/>
      <c r="K83" s="3"/>
    </row>
    <row r="84" ht="15.75" customHeight="1">
      <c r="J84" s="3"/>
      <c r="K84" s="3"/>
    </row>
    <row r="85" ht="15.75" customHeight="1">
      <c r="J85" s="3"/>
      <c r="K85" s="3"/>
    </row>
    <row r="86" ht="15.75" customHeight="1">
      <c r="J86" s="3"/>
      <c r="K86" s="3"/>
    </row>
    <row r="87" ht="15.75" customHeight="1">
      <c r="J87" s="3"/>
      <c r="K87" s="3"/>
    </row>
    <row r="88" ht="15.75" customHeight="1">
      <c r="J88" s="3"/>
      <c r="K88" s="3"/>
    </row>
    <row r="89" ht="15.75" customHeight="1">
      <c r="J89" s="3"/>
      <c r="K89" s="3"/>
    </row>
    <row r="90" ht="15.75" customHeight="1">
      <c r="J90" s="3"/>
      <c r="K90" s="3"/>
    </row>
    <row r="91" ht="15.75" customHeight="1">
      <c r="J91" s="3"/>
      <c r="K91" s="3"/>
    </row>
    <row r="92" ht="15.75" customHeight="1">
      <c r="J92" s="3"/>
      <c r="K92" s="3"/>
    </row>
    <row r="93" ht="15.75" customHeight="1">
      <c r="J93" s="3"/>
      <c r="K93" s="3"/>
    </row>
    <row r="94" ht="15.75" customHeight="1">
      <c r="J94" s="3"/>
      <c r="K94" s="3"/>
    </row>
    <row r="95" ht="15.75" customHeight="1">
      <c r="J95" s="3"/>
      <c r="K95" s="3"/>
    </row>
    <row r="96" ht="15.75" customHeight="1">
      <c r="J96" s="3"/>
      <c r="K96" s="3"/>
    </row>
    <row r="97" ht="15.75" customHeight="1">
      <c r="J97" s="3"/>
      <c r="K97" s="3"/>
    </row>
    <row r="98" ht="15.75" customHeight="1">
      <c r="J98" s="3"/>
      <c r="K98" s="3"/>
    </row>
    <row r="99" ht="15.75" customHeight="1">
      <c r="J99" s="3"/>
      <c r="K99" s="3"/>
    </row>
    <row r="100" ht="15.75" customHeight="1">
      <c r="J100" s="3"/>
      <c r="K100" s="3"/>
    </row>
    <row r="101" ht="15.75" customHeight="1">
      <c r="J101" s="3"/>
      <c r="K101" s="3"/>
    </row>
    <row r="102" ht="15.75" customHeight="1">
      <c r="J102" s="3"/>
      <c r="K102" s="3"/>
    </row>
    <row r="103" ht="15.75" customHeight="1">
      <c r="J103" s="3"/>
      <c r="K103" s="3"/>
    </row>
    <row r="104" ht="15.75" customHeight="1">
      <c r="J104" s="3"/>
      <c r="K104" s="3"/>
    </row>
    <row r="105" ht="15.75" customHeight="1">
      <c r="J105" s="3"/>
      <c r="K105" s="3"/>
    </row>
    <row r="106" ht="15.75" customHeight="1">
      <c r="J106" s="3"/>
      <c r="K106" s="3"/>
    </row>
    <row r="107" ht="15.75" customHeight="1">
      <c r="J107" s="3"/>
      <c r="K107" s="3"/>
    </row>
    <row r="108" ht="15.75" customHeight="1">
      <c r="J108" s="3"/>
      <c r="K108" s="3"/>
    </row>
    <row r="109" ht="15.75" customHeight="1">
      <c r="J109" s="3"/>
      <c r="K109" s="3"/>
    </row>
    <row r="110" ht="15.75" customHeight="1">
      <c r="J110" s="3"/>
      <c r="K110" s="3"/>
    </row>
    <row r="111" ht="15.75" customHeight="1">
      <c r="J111" s="3"/>
      <c r="K111" s="3"/>
    </row>
    <row r="112" ht="15.75" customHeight="1">
      <c r="J112" s="3"/>
      <c r="K112" s="3"/>
    </row>
    <row r="113" ht="15.75" customHeight="1">
      <c r="J113" s="3"/>
      <c r="K113" s="3"/>
    </row>
    <row r="114" ht="15.75" customHeight="1">
      <c r="J114" s="3"/>
      <c r="K114" s="3"/>
    </row>
    <row r="115" ht="15.75" customHeight="1">
      <c r="J115" s="3"/>
      <c r="K115" s="3"/>
    </row>
    <row r="116" ht="15.75" customHeight="1">
      <c r="J116" s="3"/>
      <c r="K116" s="3"/>
    </row>
    <row r="117" ht="15.75" customHeight="1">
      <c r="J117" s="3"/>
      <c r="K117" s="3"/>
    </row>
    <row r="118" ht="15.75" customHeight="1">
      <c r="J118" s="3"/>
      <c r="K118" s="3"/>
    </row>
    <row r="119" ht="15.75" customHeight="1">
      <c r="J119" s="3"/>
      <c r="K119" s="3"/>
    </row>
    <row r="120" ht="15.75" customHeight="1">
      <c r="J120" s="3"/>
      <c r="K120" s="3"/>
    </row>
    <row r="121" ht="15.75" customHeight="1">
      <c r="J121" s="3"/>
      <c r="K121" s="3"/>
    </row>
    <row r="122" ht="15.75" customHeight="1">
      <c r="J122" s="3"/>
      <c r="K122" s="3"/>
    </row>
    <row r="123" ht="15.75" customHeight="1">
      <c r="J123" s="3"/>
      <c r="K123" s="3"/>
    </row>
    <row r="124" ht="15.75" customHeight="1">
      <c r="J124" s="3"/>
      <c r="K124" s="3"/>
    </row>
    <row r="125" ht="15.75" customHeight="1">
      <c r="J125" s="3"/>
      <c r="K125" s="3"/>
    </row>
    <row r="126" ht="15.75" customHeight="1">
      <c r="J126" s="3"/>
      <c r="K126" s="3"/>
    </row>
    <row r="127" ht="15.75" customHeight="1">
      <c r="J127" s="3"/>
      <c r="K127" s="3"/>
    </row>
    <row r="128" ht="15.75" customHeight="1">
      <c r="J128" s="3"/>
      <c r="K128" s="3"/>
    </row>
    <row r="129" ht="15.75" customHeight="1">
      <c r="J129" s="3"/>
      <c r="K129" s="3"/>
    </row>
    <row r="130" ht="15.75" customHeight="1">
      <c r="J130" s="3"/>
      <c r="K130" s="3"/>
    </row>
    <row r="131" ht="15.75" customHeight="1">
      <c r="J131" s="3"/>
      <c r="K131" s="3"/>
    </row>
    <row r="132" ht="15.75" customHeight="1">
      <c r="J132" s="3"/>
      <c r="K132" s="3"/>
    </row>
    <row r="133" ht="15.75" customHeight="1">
      <c r="J133" s="3"/>
      <c r="K133" s="3"/>
    </row>
    <row r="134" ht="15.75" customHeight="1">
      <c r="J134" s="3"/>
      <c r="K134" s="3"/>
    </row>
    <row r="135" ht="15.75" customHeight="1">
      <c r="J135" s="3"/>
      <c r="K135" s="3"/>
    </row>
    <row r="136" ht="15.75" customHeight="1">
      <c r="J136" s="3"/>
      <c r="K136" s="3"/>
    </row>
    <row r="137" ht="15.75" customHeight="1">
      <c r="J137" s="3"/>
      <c r="K137" s="3"/>
    </row>
    <row r="138" ht="15.75" customHeight="1">
      <c r="J138" s="3"/>
      <c r="K138" s="3"/>
    </row>
    <row r="139" ht="15.75" customHeight="1">
      <c r="J139" s="3"/>
      <c r="K139" s="3"/>
    </row>
    <row r="140" ht="15.75" customHeight="1">
      <c r="J140" s="3"/>
      <c r="K140" s="3"/>
    </row>
    <row r="141" ht="15.75" customHeight="1">
      <c r="J141" s="3"/>
      <c r="K141" s="3"/>
    </row>
    <row r="142" ht="15.75" customHeight="1">
      <c r="J142" s="3"/>
      <c r="K142" s="3"/>
    </row>
    <row r="143" ht="15.75" customHeight="1">
      <c r="J143" s="3"/>
      <c r="K143" s="3"/>
    </row>
    <row r="144" ht="15.75" customHeight="1">
      <c r="J144" s="3"/>
      <c r="K144" s="3"/>
    </row>
    <row r="145" ht="15.75" customHeight="1">
      <c r="J145" s="3"/>
      <c r="K145" s="3"/>
    </row>
    <row r="146" ht="15.75" customHeight="1">
      <c r="J146" s="3"/>
      <c r="K146" s="3"/>
    </row>
    <row r="147" ht="15.75" customHeight="1">
      <c r="J147" s="3"/>
      <c r="K147" s="3"/>
    </row>
    <row r="148" ht="15.75" customHeight="1">
      <c r="J148" s="3"/>
      <c r="K148" s="3"/>
    </row>
    <row r="149" ht="15.75" customHeight="1">
      <c r="J149" s="3"/>
      <c r="K149" s="3"/>
    </row>
    <row r="150" ht="15.75" customHeight="1">
      <c r="J150" s="3"/>
      <c r="K150" s="3"/>
    </row>
    <row r="151" ht="15.75" customHeight="1">
      <c r="J151" s="3"/>
      <c r="K151" s="3"/>
    </row>
    <row r="152" ht="15.75" customHeight="1">
      <c r="J152" s="3"/>
      <c r="K152" s="3"/>
    </row>
    <row r="153" ht="15.75" customHeight="1">
      <c r="J153" s="3"/>
      <c r="K153" s="3"/>
    </row>
    <row r="154" ht="15.75" customHeight="1">
      <c r="J154" s="3"/>
      <c r="K154" s="3"/>
    </row>
    <row r="155" ht="15.75" customHeight="1">
      <c r="J155" s="3"/>
      <c r="K155" s="3"/>
    </row>
    <row r="156" ht="15.75" customHeight="1">
      <c r="J156" s="3"/>
      <c r="K156" s="3"/>
    </row>
    <row r="157" ht="15.75" customHeight="1">
      <c r="J157" s="3"/>
      <c r="K157" s="3"/>
    </row>
    <row r="158" ht="15.75" customHeight="1">
      <c r="J158" s="3"/>
      <c r="K158" s="3"/>
    </row>
    <row r="159" ht="15.75" customHeight="1">
      <c r="J159" s="3"/>
      <c r="K159" s="3"/>
    </row>
    <row r="160" ht="15.75" customHeight="1">
      <c r="J160" s="3"/>
      <c r="K160" s="3"/>
    </row>
    <row r="161" ht="15.75" customHeight="1">
      <c r="J161" s="3"/>
      <c r="K161" s="3"/>
    </row>
    <row r="162" ht="15.75" customHeight="1">
      <c r="J162" s="3"/>
      <c r="K162" s="3"/>
    </row>
    <row r="163" ht="15.75" customHeight="1">
      <c r="J163" s="3"/>
      <c r="K163" s="3"/>
    </row>
    <row r="164" ht="15.75" customHeight="1">
      <c r="J164" s="3"/>
      <c r="K164" s="3"/>
    </row>
    <row r="165" ht="15.75" customHeight="1">
      <c r="J165" s="3"/>
      <c r="K165" s="3"/>
    </row>
    <row r="166" ht="15.75" customHeight="1">
      <c r="J166" s="3"/>
      <c r="K166" s="3"/>
    </row>
    <row r="167" ht="15.75" customHeight="1">
      <c r="J167" s="3"/>
      <c r="K167" s="3"/>
    </row>
    <row r="168" ht="15.75" customHeight="1">
      <c r="J168" s="3"/>
      <c r="K168" s="3"/>
    </row>
    <row r="169" ht="15.75" customHeight="1">
      <c r="J169" s="3"/>
      <c r="K169" s="3"/>
    </row>
    <row r="170" ht="15.75" customHeight="1">
      <c r="J170" s="3"/>
      <c r="K170" s="3"/>
    </row>
    <row r="171" ht="15.75" customHeight="1">
      <c r="J171" s="3"/>
      <c r="K171" s="3"/>
    </row>
    <row r="172" ht="15.75" customHeight="1">
      <c r="J172" s="3"/>
      <c r="K172" s="3"/>
    </row>
    <row r="173" ht="15.75" customHeight="1">
      <c r="J173" s="3"/>
      <c r="K173" s="3"/>
    </row>
    <row r="174" ht="15.75" customHeight="1">
      <c r="J174" s="3"/>
      <c r="K174" s="3"/>
    </row>
    <row r="175" ht="15.75" customHeight="1">
      <c r="J175" s="3"/>
      <c r="K175" s="3"/>
    </row>
    <row r="176" ht="15.75" customHeight="1">
      <c r="J176" s="3"/>
      <c r="K176" s="3"/>
    </row>
    <row r="177" ht="15.75" customHeight="1">
      <c r="J177" s="3"/>
      <c r="K177" s="3"/>
    </row>
    <row r="178" ht="15.75" customHeight="1">
      <c r="J178" s="3"/>
      <c r="K178" s="3"/>
    </row>
    <row r="179" ht="15.75" customHeight="1">
      <c r="J179" s="3"/>
      <c r="K179" s="3"/>
    </row>
    <row r="180" ht="15.75" customHeight="1">
      <c r="J180" s="3"/>
      <c r="K180" s="3"/>
    </row>
    <row r="181" ht="15.75" customHeight="1">
      <c r="J181" s="3"/>
      <c r="K181" s="3"/>
    </row>
    <row r="182" ht="15.75" customHeight="1">
      <c r="J182" s="3"/>
      <c r="K182" s="3"/>
    </row>
    <row r="183" ht="15.75" customHeight="1">
      <c r="J183" s="3"/>
      <c r="K183" s="3"/>
    </row>
    <row r="184" ht="15.75" customHeight="1">
      <c r="J184" s="3"/>
      <c r="K184" s="3"/>
    </row>
    <row r="185" ht="15.75" customHeight="1">
      <c r="J185" s="3"/>
      <c r="K185" s="3"/>
    </row>
    <row r="186" ht="15.75" customHeight="1">
      <c r="J186" s="3"/>
      <c r="K186" s="3"/>
    </row>
    <row r="187" ht="15.75" customHeight="1">
      <c r="J187" s="3"/>
      <c r="K187" s="3"/>
    </row>
    <row r="188" ht="15.75" customHeight="1">
      <c r="J188" s="3"/>
      <c r="K188" s="3"/>
    </row>
    <row r="189" ht="15.75" customHeight="1">
      <c r="J189" s="3"/>
      <c r="K189" s="3"/>
    </row>
    <row r="190" ht="15.75" customHeight="1">
      <c r="J190" s="3"/>
      <c r="K190" s="3"/>
    </row>
    <row r="191" ht="15.75" customHeight="1">
      <c r="J191" s="3"/>
      <c r="K191" s="3"/>
    </row>
    <row r="192" ht="15.75" customHeight="1">
      <c r="J192" s="3"/>
      <c r="K192" s="3"/>
    </row>
    <row r="193" ht="15.75" customHeight="1">
      <c r="J193" s="3"/>
      <c r="K193" s="3"/>
    </row>
    <row r="194" ht="15.75" customHeight="1">
      <c r="J194" s="3"/>
      <c r="K194" s="3"/>
    </row>
    <row r="195" ht="15.75" customHeight="1">
      <c r="J195" s="3"/>
      <c r="K195" s="3"/>
    </row>
    <row r="196" ht="15.75" customHeight="1">
      <c r="J196" s="3"/>
      <c r="K196" s="3"/>
    </row>
    <row r="197" ht="15.75" customHeight="1">
      <c r="J197" s="3"/>
      <c r="K197" s="3"/>
    </row>
    <row r="198" ht="15.75" customHeight="1">
      <c r="J198" s="3"/>
      <c r="K198" s="3"/>
    </row>
    <row r="199" ht="15.75" customHeight="1">
      <c r="J199" s="3"/>
      <c r="K199" s="3"/>
    </row>
    <row r="200" ht="15.75" customHeight="1">
      <c r="J200" s="3"/>
      <c r="K200" s="3"/>
    </row>
    <row r="201" ht="15.75" customHeight="1">
      <c r="J201" s="3"/>
      <c r="K201" s="3"/>
    </row>
    <row r="202" ht="15.75" customHeight="1">
      <c r="J202" s="3"/>
      <c r="K202" s="3"/>
    </row>
    <row r="203" ht="15.75" customHeight="1">
      <c r="J203" s="3"/>
      <c r="K203" s="3"/>
    </row>
    <row r="204" ht="15.75" customHeight="1">
      <c r="J204" s="3"/>
      <c r="K204" s="3"/>
    </row>
    <row r="205" ht="15.75" customHeight="1">
      <c r="J205" s="3"/>
      <c r="K205" s="3"/>
    </row>
    <row r="206" ht="15.75" customHeight="1">
      <c r="J206" s="3"/>
      <c r="K206" s="3"/>
    </row>
    <row r="207" ht="15.75" customHeight="1">
      <c r="J207" s="3"/>
      <c r="K207" s="3"/>
    </row>
    <row r="208" ht="15.75" customHeight="1">
      <c r="J208" s="3"/>
      <c r="K208" s="3"/>
    </row>
    <row r="209" ht="15.75" customHeight="1">
      <c r="J209" s="3"/>
      <c r="K209" s="3"/>
    </row>
    <row r="210" ht="15.75" customHeight="1">
      <c r="J210" s="3"/>
      <c r="K210" s="3"/>
    </row>
    <row r="211" ht="15.75" customHeight="1">
      <c r="J211" s="3"/>
      <c r="K211" s="3"/>
    </row>
    <row r="212" ht="15.75" customHeight="1">
      <c r="J212" s="3"/>
      <c r="K212" s="3"/>
    </row>
    <row r="213" ht="15.75" customHeight="1">
      <c r="J213" s="3"/>
      <c r="K213" s="3"/>
    </row>
    <row r="214" ht="15.75" customHeight="1">
      <c r="J214" s="3"/>
      <c r="K214" s="3"/>
    </row>
    <row r="215" ht="15.75" customHeight="1">
      <c r="J215" s="3"/>
      <c r="K215" s="3"/>
    </row>
    <row r="216" ht="15.75" customHeight="1">
      <c r="J216" s="3"/>
      <c r="K216" s="3"/>
    </row>
    <row r="217" ht="15.75" customHeight="1">
      <c r="J217" s="3"/>
      <c r="K217" s="3"/>
    </row>
    <row r="218" ht="15.75" customHeight="1">
      <c r="J218" s="3"/>
      <c r="K218" s="3"/>
    </row>
    <row r="219" ht="15.75" customHeight="1">
      <c r="J219" s="3"/>
      <c r="K219" s="3"/>
    </row>
    <row r="220" ht="15.75" customHeight="1">
      <c r="J220" s="3"/>
      <c r="K220" s="3"/>
    </row>
    <row r="221" ht="15.75" customHeight="1">
      <c r="J221" s="3"/>
      <c r="K221" s="3"/>
    </row>
    <row r="222" ht="15.75" customHeight="1">
      <c r="J222" s="3"/>
      <c r="K222" s="3"/>
    </row>
    <row r="223" ht="15.75" customHeight="1">
      <c r="J223" s="3"/>
      <c r="K223" s="3"/>
    </row>
    <row r="224" ht="15.75" customHeight="1">
      <c r="J224" s="3"/>
      <c r="K224" s="3"/>
    </row>
    <row r="225" ht="15.75" customHeight="1">
      <c r="J225" s="3"/>
      <c r="K225" s="3"/>
    </row>
    <row r="226" ht="15.75" customHeight="1">
      <c r="J226" s="3"/>
      <c r="K226" s="3"/>
    </row>
    <row r="227" ht="15.75" customHeight="1">
      <c r="J227" s="3"/>
      <c r="K227" s="3"/>
    </row>
    <row r="228" ht="15.75" customHeight="1">
      <c r="J228" s="3"/>
      <c r="K228" s="3"/>
    </row>
    <row r="229" ht="15.75" customHeight="1">
      <c r="J229" s="3"/>
      <c r="K229" s="3"/>
    </row>
    <row r="230" ht="15.75" customHeight="1">
      <c r="J230" s="3"/>
      <c r="K230" s="3"/>
    </row>
    <row r="231" ht="15.75" customHeight="1">
      <c r="J231" s="3"/>
      <c r="K231" s="3"/>
    </row>
    <row r="232" ht="15.75" customHeight="1">
      <c r="J232" s="3"/>
      <c r="K232" s="3"/>
    </row>
    <row r="233" ht="15.75" customHeight="1">
      <c r="J233" s="3"/>
      <c r="K233" s="3"/>
    </row>
    <row r="234" ht="15.75" customHeight="1">
      <c r="J234" s="3"/>
      <c r="K234" s="3"/>
    </row>
    <row r="235" ht="15.75" customHeight="1">
      <c r="J235" s="3"/>
      <c r="K235" s="3"/>
    </row>
    <row r="236" ht="15.75" customHeight="1">
      <c r="J236" s="3"/>
      <c r="K236" s="3"/>
    </row>
    <row r="237" ht="15.75" customHeight="1">
      <c r="J237" s="3"/>
      <c r="K237" s="3"/>
    </row>
    <row r="238" ht="15.75" customHeight="1">
      <c r="J238" s="3"/>
      <c r="K238" s="3"/>
    </row>
    <row r="239" ht="15.75" customHeight="1">
      <c r="J239" s="3"/>
      <c r="K239" s="3"/>
    </row>
    <row r="240" ht="15.75" customHeight="1">
      <c r="J240" s="3"/>
      <c r="K240" s="3"/>
    </row>
    <row r="241" ht="15.75" customHeight="1">
      <c r="J241" s="3"/>
      <c r="K241" s="3"/>
    </row>
    <row r="242" ht="15.75" customHeight="1">
      <c r="J242" s="3"/>
      <c r="K242" s="3"/>
    </row>
    <row r="243" ht="15.75" customHeight="1">
      <c r="J243" s="3"/>
      <c r="K243" s="3"/>
    </row>
    <row r="244" ht="15.75" customHeight="1">
      <c r="J244" s="3"/>
      <c r="K244" s="3"/>
    </row>
    <row r="245" ht="15.75" customHeight="1">
      <c r="J245" s="3"/>
      <c r="K245" s="3"/>
    </row>
    <row r="246" ht="15.75" customHeight="1">
      <c r="J246" s="3"/>
      <c r="K246" s="3"/>
    </row>
    <row r="247" ht="15.75" customHeight="1">
      <c r="J247" s="3"/>
      <c r="K247" s="3"/>
    </row>
    <row r="248" ht="15.75" customHeight="1">
      <c r="J248" s="3"/>
      <c r="K248" s="3"/>
    </row>
    <row r="249" ht="15.75" customHeight="1">
      <c r="J249" s="3"/>
      <c r="K249" s="3"/>
    </row>
    <row r="250" ht="15.75" customHeight="1">
      <c r="J250" s="3"/>
      <c r="K250" s="3"/>
    </row>
    <row r="251" ht="15.75" customHeight="1">
      <c r="J251" s="3"/>
      <c r="K251" s="3"/>
    </row>
    <row r="252" ht="15.75" customHeight="1">
      <c r="J252" s="3"/>
      <c r="K252" s="3"/>
    </row>
    <row r="253" ht="15.75" customHeight="1">
      <c r="J253" s="3"/>
      <c r="K253" s="3"/>
    </row>
    <row r="254" ht="15.75" customHeight="1">
      <c r="J254" s="3"/>
      <c r="K254" s="3"/>
    </row>
    <row r="255" ht="15.75" customHeight="1">
      <c r="J255" s="3"/>
      <c r="K255" s="3"/>
    </row>
    <row r="256" ht="15.75" customHeight="1">
      <c r="J256" s="3"/>
      <c r="K256" s="3"/>
    </row>
    <row r="257" ht="15.75" customHeight="1">
      <c r="J257" s="3"/>
      <c r="K257" s="3"/>
    </row>
    <row r="258" ht="15.75" customHeight="1">
      <c r="J258" s="3"/>
      <c r="K258" s="3"/>
    </row>
    <row r="259" ht="15.75" customHeight="1">
      <c r="J259" s="3"/>
      <c r="K259" s="3"/>
    </row>
    <row r="260" ht="15.75" customHeight="1">
      <c r="J260" s="3"/>
      <c r="K260" s="3"/>
    </row>
    <row r="261" ht="15.75" customHeight="1">
      <c r="J261" s="3"/>
      <c r="K261" s="3"/>
    </row>
    <row r="262" ht="15.75" customHeight="1">
      <c r="J262" s="3"/>
      <c r="K262" s="3"/>
    </row>
    <row r="263" ht="15.75" customHeight="1">
      <c r="J263" s="3"/>
      <c r="K263" s="3"/>
    </row>
    <row r="264" ht="15.75" customHeight="1">
      <c r="J264" s="3"/>
      <c r="K264" s="3"/>
    </row>
    <row r="265" ht="15.75" customHeight="1">
      <c r="J265" s="3"/>
      <c r="K265" s="3"/>
    </row>
    <row r="266" ht="15.75" customHeight="1">
      <c r="J266" s="3"/>
      <c r="K266" s="3"/>
    </row>
    <row r="267" ht="15.75" customHeight="1">
      <c r="J267" s="3"/>
      <c r="K267" s="3"/>
    </row>
    <row r="268" ht="15.75" customHeight="1">
      <c r="J268" s="3"/>
      <c r="K268" s="3"/>
    </row>
    <row r="269" ht="15.75" customHeight="1">
      <c r="J269" s="3"/>
      <c r="K269" s="3"/>
    </row>
    <row r="270" ht="15.75" customHeight="1">
      <c r="J270" s="3"/>
      <c r="K270" s="3"/>
    </row>
    <row r="271" ht="15.75" customHeight="1">
      <c r="J271" s="3"/>
      <c r="K271" s="3"/>
    </row>
    <row r="272" ht="15.75" customHeight="1">
      <c r="J272" s="3"/>
      <c r="K272" s="3"/>
    </row>
    <row r="273" ht="15.75" customHeight="1">
      <c r="J273" s="3"/>
      <c r="K273" s="3"/>
    </row>
    <row r="274" ht="15.75" customHeight="1">
      <c r="J274" s="3"/>
      <c r="K274" s="3"/>
    </row>
    <row r="275" ht="15.75" customHeight="1">
      <c r="J275" s="3"/>
      <c r="K275" s="3"/>
    </row>
    <row r="276" ht="15.75" customHeight="1">
      <c r="J276" s="3"/>
      <c r="K276" s="3"/>
    </row>
    <row r="277" ht="15.75" customHeight="1">
      <c r="J277" s="3"/>
      <c r="K277" s="3"/>
    </row>
    <row r="278" ht="15.75" customHeight="1">
      <c r="J278" s="3"/>
      <c r="K278" s="3"/>
    </row>
    <row r="279" ht="15.75" customHeight="1">
      <c r="J279" s="3"/>
      <c r="K279" s="3"/>
    </row>
    <row r="280" ht="15.75" customHeight="1">
      <c r="J280" s="3"/>
      <c r="K280" s="3"/>
    </row>
    <row r="281" ht="15.75" customHeight="1">
      <c r="J281" s="3"/>
      <c r="K281" s="3"/>
    </row>
    <row r="282" ht="15.75" customHeight="1">
      <c r="J282" s="3"/>
      <c r="K282" s="3"/>
    </row>
    <row r="283" ht="15.75" customHeight="1">
      <c r="J283" s="3"/>
      <c r="K283" s="3"/>
    </row>
    <row r="284" ht="15.75" customHeight="1">
      <c r="J284" s="3"/>
      <c r="K284" s="3"/>
    </row>
    <row r="285" ht="15.75" customHeight="1">
      <c r="J285" s="3"/>
      <c r="K285" s="3"/>
    </row>
    <row r="286" ht="15.75" customHeight="1">
      <c r="J286" s="3"/>
      <c r="K286" s="3"/>
    </row>
    <row r="287" ht="15.75" customHeight="1">
      <c r="J287" s="3"/>
      <c r="K287" s="3"/>
    </row>
    <row r="288" ht="15.75" customHeight="1">
      <c r="J288" s="3"/>
      <c r="K288" s="3"/>
    </row>
    <row r="289" ht="15.75" customHeight="1">
      <c r="J289" s="3"/>
      <c r="K289" s="3"/>
    </row>
    <row r="290" ht="15.75" customHeight="1">
      <c r="J290" s="3"/>
      <c r="K290" s="3"/>
    </row>
    <row r="291" ht="15.75" customHeight="1">
      <c r="J291" s="3"/>
      <c r="K291" s="3"/>
    </row>
    <row r="292" ht="15.75" customHeight="1">
      <c r="J292" s="3"/>
      <c r="K292" s="3"/>
    </row>
    <row r="293" ht="15.75" customHeight="1">
      <c r="J293" s="3"/>
      <c r="K293" s="3"/>
    </row>
    <row r="294" ht="15.75" customHeight="1">
      <c r="J294" s="3"/>
      <c r="K294" s="3"/>
    </row>
    <row r="295" ht="15.75" customHeight="1">
      <c r="J295" s="3"/>
      <c r="K295" s="3"/>
    </row>
    <row r="296" ht="15.75" customHeight="1">
      <c r="J296" s="3"/>
      <c r="K296" s="3"/>
    </row>
    <row r="297" ht="15.75" customHeight="1">
      <c r="J297" s="3"/>
      <c r="K297" s="3"/>
    </row>
    <row r="298" ht="15.75" customHeight="1">
      <c r="J298" s="3"/>
      <c r="K298" s="3"/>
    </row>
    <row r="299" ht="15.75" customHeight="1">
      <c r="J299" s="3"/>
      <c r="K299" s="3"/>
    </row>
    <row r="300" ht="15.75" customHeight="1">
      <c r="J300" s="3"/>
      <c r="K300" s="3"/>
    </row>
    <row r="301" ht="15.75" customHeight="1">
      <c r="J301" s="3"/>
      <c r="K301" s="3"/>
    </row>
    <row r="302" ht="15.75" customHeight="1">
      <c r="J302" s="3"/>
      <c r="K302" s="3"/>
    </row>
    <row r="303" ht="15.75" customHeight="1">
      <c r="J303" s="3"/>
      <c r="K303" s="3"/>
    </row>
    <row r="304" ht="15.75" customHeight="1">
      <c r="J304" s="3"/>
      <c r="K304" s="3"/>
    </row>
    <row r="305" ht="15.75" customHeight="1">
      <c r="J305" s="3"/>
      <c r="K305" s="3"/>
    </row>
    <row r="306" ht="15.75" customHeight="1">
      <c r="J306" s="3"/>
      <c r="K306" s="3"/>
    </row>
    <row r="307" ht="15.75" customHeight="1">
      <c r="J307" s="3"/>
      <c r="K307" s="3"/>
    </row>
    <row r="308" ht="15.75" customHeight="1">
      <c r="J308" s="3"/>
      <c r="K308" s="3"/>
    </row>
    <row r="309" ht="15.75" customHeight="1">
      <c r="J309" s="3"/>
      <c r="K309" s="3"/>
    </row>
    <row r="310" ht="15.75" customHeight="1">
      <c r="J310" s="3"/>
      <c r="K310" s="3"/>
    </row>
    <row r="311" ht="15.75" customHeight="1">
      <c r="J311" s="3"/>
      <c r="K311" s="3"/>
    </row>
    <row r="312" ht="15.75" customHeight="1">
      <c r="J312" s="3"/>
      <c r="K312" s="3"/>
    </row>
    <row r="313" ht="15.75" customHeight="1">
      <c r="J313" s="3"/>
      <c r="K313" s="3"/>
    </row>
    <row r="314" ht="15.75" customHeight="1">
      <c r="J314" s="3"/>
      <c r="K314" s="3"/>
    </row>
    <row r="315" ht="15.75" customHeight="1">
      <c r="J315" s="3"/>
      <c r="K315" s="3"/>
    </row>
    <row r="316" ht="15.75" customHeight="1">
      <c r="J316" s="3"/>
      <c r="K316" s="3"/>
    </row>
    <row r="317" ht="15.75" customHeight="1">
      <c r="J317" s="3"/>
      <c r="K317" s="3"/>
    </row>
    <row r="318" ht="15.75" customHeight="1">
      <c r="J318" s="3"/>
      <c r="K318" s="3"/>
    </row>
    <row r="319" ht="15.75" customHeight="1">
      <c r="J319" s="3"/>
      <c r="K319" s="3"/>
    </row>
    <row r="320" ht="15.75" customHeight="1">
      <c r="J320" s="3"/>
      <c r="K320" s="3"/>
    </row>
    <row r="321" ht="15.75" customHeight="1">
      <c r="J321" s="3"/>
      <c r="K321" s="3"/>
    </row>
    <row r="322" ht="15.75" customHeight="1">
      <c r="J322" s="3"/>
      <c r="K322" s="3"/>
    </row>
    <row r="323" ht="15.75" customHeight="1">
      <c r="J323" s="3"/>
      <c r="K323" s="3"/>
    </row>
    <row r="324" ht="15.75" customHeight="1">
      <c r="J324" s="3"/>
      <c r="K324" s="3"/>
    </row>
    <row r="325" ht="15.75" customHeight="1">
      <c r="J325" s="3"/>
      <c r="K325" s="3"/>
    </row>
    <row r="326" ht="15.75" customHeight="1">
      <c r="J326" s="3"/>
      <c r="K326" s="3"/>
    </row>
    <row r="327" ht="15.75" customHeight="1">
      <c r="J327" s="3"/>
      <c r="K327" s="3"/>
    </row>
    <row r="328" ht="15.75" customHeight="1">
      <c r="J328" s="3"/>
      <c r="K328" s="3"/>
    </row>
    <row r="329" ht="15.75" customHeight="1">
      <c r="J329" s="3"/>
      <c r="K329" s="3"/>
    </row>
    <row r="330" ht="15.75" customHeight="1">
      <c r="J330" s="3"/>
      <c r="K330" s="3"/>
    </row>
    <row r="331" ht="15.75" customHeight="1">
      <c r="J331" s="3"/>
      <c r="K331" s="3"/>
    </row>
    <row r="332" ht="15.75" customHeight="1">
      <c r="J332" s="3"/>
      <c r="K332" s="3"/>
    </row>
    <row r="333" ht="15.75" customHeight="1">
      <c r="J333" s="3"/>
      <c r="K333" s="3"/>
    </row>
    <row r="334" ht="15.75" customHeight="1">
      <c r="J334" s="3"/>
      <c r="K334" s="3"/>
    </row>
    <row r="335" ht="15.75" customHeight="1">
      <c r="J335" s="3"/>
      <c r="K335" s="3"/>
    </row>
    <row r="336" ht="15.75" customHeight="1">
      <c r="J336" s="3"/>
      <c r="K336" s="3"/>
    </row>
    <row r="337" ht="15.75" customHeight="1">
      <c r="J337" s="3"/>
      <c r="K337" s="3"/>
    </row>
    <row r="338" ht="15.75" customHeight="1">
      <c r="J338" s="3"/>
      <c r="K338" s="3"/>
    </row>
    <row r="339" ht="15.75" customHeight="1">
      <c r="J339" s="3"/>
      <c r="K339" s="3"/>
    </row>
    <row r="340" ht="15.75" customHeight="1">
      <c r="J340" s="3"/>
      <c r="K340" s="3"/>
    </row>
    <row r="341" ht="15.75" customHeight="1">
      <c r="J341" s="3"/>
      <c r="K341" s="3"/>
    </row>
    <row r="342" ht="15.75" customHeight="1">
      <c r="J342" s="3"/>
      <c r="K342" s="3"/>
    </row>
    <row r="343" ht="15.75" customHeight="1">
      <c r="J343" s="3"/>
      <c r="K343" s="3"/>
    </row>
    <row r="344" ht="15.75" customHeight="1">
      <c r="J344" s="3"/>
      <c r="K344" s="3"/>
    </row>
    <row r="345" ht="15.75" customHeight="1">
      <c r="J345" s="3"/>
      <c r="K345" s="3"/>
    </row>
    <row r="346" ht="15.75" customHeight="1">
      <c r="J346" s="3"/>
      <c r="K346" s="3"/>
    </row>
    <row r="347" ht="15.75" customHeight="1">
      <c r="J347" s="3"/>
      <c r="K347" s="3"/>
    </row>
    <row r="348" ht="15.75" customHeight="1">
      <c r="J348" s="3"/>
      <c r="K348" s="3"/>
    </row>
    <row r="349" ht="15.75" customHeight="1">
      <c r="J349" s="3"/>
      <c r="K349" s="3"/>
    </row>
    <row r="350" ht="15.75" customHeight="1">
      <c r="J350" s="3"/>
      <c r="K350" s="3"/>
    </row>
    <row r="351" ht="15.75" customHeight="1">
      <c r="J351" s="3"/>
      <c r="K351" s="3"/>
    </row>
    <row r="352" ht="15.75" customHeight="1">
      <c r="J352" s="3"/>
      <c r="K352" s="3"/>
    </row>
    <row r="353" ht="15.75" customHeight="1">
      <c r="J353" s="3"/>
      <c r="K353" s="3"/>
    </row>
    <row r="354" ht="15.75" customHeight="1">
      <c r="J354" s="3"/>
      <c r="K354" s="3"/>
    </row>
    <row r="355" ht="15.75" customHeight="1">
      <c r="J355" s="3"/>
      <c r="K355" s="3"/>
    </row>
    <row r="356" ht="15.75" customHeight="1">
      <c r="J356" s="3"/>
      <c r="K356" s="3"/>
    </row>
    <row r="357" ht="15.75" customHeight="1">
      <c r="J357" s="3"/>
      <c r="K357" s="3"/>
    </row>
    <row r="358" ht="15.75" customHeight="1">
      <c r="J358" s="3"/>
      <c r="K358" s="3"/>
    </row>
    <row r="359" ht="15.75" customHeight="1">
      <c r="J359" s="3"/>
      <c r="K359" s="3"/>
    </row>
    <row r="360" ht="15.75" customHeight="1">
      <c r="J360" s="3"/>
      <c r="K360" s="3"/>
    </row>
    <row r="361" ht="15.75" customHeight="1">
      <c r="J361" s="3"/>
      <c r="K361" s="3"/>
    </row>
    <row r="362" ht="15.75" customHeight="1">
      <c r="J362" s="3"/>
      <c r="K362" s="3"/>
    </row>
    <row r="363" ht="15.75" customHeight="1">
      <c r="J363" s="3"/>
      <c r="K363" s="3"/>
    </row>
    <row r="364" ht="15.75" customHeight="1">
      <c r="J364" s="3"/>
      <c r="K364" s="3"/>
    </row>
    <row r="365" ht="15.75" customHeight="1">
      <c r="J365" s="3"/>
      <c r="K365" s="3"/>
    </row>
    <row r="366" ht="15.75" customHeight="1">
      <c r="J366" s="3"/>
      <c r="K366" s="3"/>
    </row>
    <row r="367" ht="15.75" customHeight="1">
      <c r="J367" s="3"/>
      <c r="K367" s="3"/>
    </row>
    <row r="368" ht="15.75" customHeight="1">
      <c r="J368" s="3"/>
      <c r="K368" s="3"/>
    </row>
    <row r="369" ht="15.75" customHeight="1">
      <c r="J369" s="3"/>
      <c r="K369" s="3"/>
    </row>
    <row r="370" ht="15.75" customHeight="1">
      <c r="J370" s="3"/>
      <c r="K370" s="3"/>
    </row>
    <row r="371" ht="15.75" customHeight="1">
      <c r="J371" s="3"/>
      <c r="K371" s="3"/>
    </row>
    <row r="372" ht="15.75" customHeight="1">
      <c r="J372" s="3"/>
      <c r="K372" s="3"/>
    </row>
    <row r="373" ht="15.75" customHeight="1">
      <c r="J373" s="3"/>
      <c r="K373" s="3"/>
    </row>
    <row r="374" ht="15.75" customHeight="1">
      <c r="J374" s="3"/>
      <c r="K374" s="3"/>
    </row>
    <row r="375" ht="15.75" customHeight="1">
      <c r="J375" s="3"/>
      <c r="K375" s="3"/>
    </row>
    <row r="376" ht="15.75" customHeight="1">
      <c r="J376" s="3"/>
      <c r="K376" s="3"/>
    </row>
    <row r="377" ht="15.75" customHeight="1">
      <c r="J377" s="3"/>
      <c r="K377" s="3"/>
    </row>
    <row r="378" ht="15.75" customHeight="1">
      <c r="J378" s="3"/>
      <c r="K378" s="3"/>
    </row>
    <row r="379" ht="15.75" customHeight="1">
      <c r="J379" s="3"/>
      <c r="K379" s="3"/>
    </row>
    <row r="380" ht="15.75" customHeight="1">
      <c r="J380" s="3"/>
      <c r="K380" s="3"/>
    </row>
    <row r="381" ht="15.75" customHeight="1">
      <c r="J381" s="3"/>
      <c r="K381" s="3"/>
    </row>
    <row r="382" ht="15.75" customHeight="1">
      <c r="J382" s="3"/>
      <c r="K382" s="3"/>
    </row>
    <row r="383" ht="15.75" customHeight="1">
      <c r="J383" s="3"/>
      <c r="K383" s="3"/>
    </row>
    <row r="384" ht="15.75" customHeight="1">
      <c r="J384" s="3"/>
      <c r="K384" s="3"/>
    </row>
    <row r="385" ht="15.75" customHeight="1">
      <c r="J385" s="3"/>
      <c r="K385" s="3"/>
    </row>
    <row r="386" ht="15.75" customHeight="1">
      <c r="J386" s="3"/>
      <c r="K386" s="3"/>
    </row>
    <row r="387" ht="15.75" customHeight="1">
      <c r="J387" s="3"/>
      <c r="K387" s="3"/>
    </row>
    <row r="388" ht="15.75" customHeight="1">
      <c r="J388" s="3"/>
      <c r="K388" s="3"/>
    </row>
    <row r="389" ht="15.75" customHeight="1">
      <c r="J389" s="3"/>
      <c r="K389" s="3"/>
    </row>
    <row r="390" ht="15.75" customHeight="1">
      <c r="J390" s="3"/>
      <c r="K390" s="3"/>
    </row>
    <row r="391" ht="15.75" customHeight="1">
      <c r="J391" s="3"/>
      <c r="K391" s="3"/>
    </row>
    <row r="392" ht="15.75" customHeight="1">
      <c r="J392" s="3"/>
      <c r="K392" s="3"/>
    </row>
    <row r="393" ht="15.75" customHeight="1">
      <c r="J393" s="3"/>
      <c r="K393" s="3"/>
    </row>
    <row r="394" ht="15.75" customHeight="1">
      <c r="J394" s="3"/>
      <c r="K394" s="3"/>
    </row>
    <row r="395" ht="15.75" customHeight="1">
      <c r="J395" s="3"/>
      <c r="K395" s="3"/>
    </row>
    <row r="396" ht="15.75" customHeight="1">
      <c r="J396" s="3"/>
      <c r="K396" s="3"/>
    </row>
    <row r="397" ht="15.75" customHeight="1">
      <c r="J397" s="3"/>
      <c r="K397" s="3"/>
    </row>
    <row r="398" ht="15.75" customHeight="1">
      <c r="J398" s="3"/>
      <c r="K398" s="3"/>
    </row>
    <row r="399" ht="15.75" customHeight="1">
      <c r="J399" s="3"/>
      <c r="K399" s="3"/>
    </row>
    <row r="400" ht="15.75" customHeight="1">
      <c r="J400" s="3"/>
      <c r="K400" s="3"/>
    </row>
    <row r="401" ht="15.75" customHeight="1">
      <c r="J401" s="3"/>
      <c r="K401" s="3"/>
    </row>
    <row r="402" ht="15.75" customHeight="1">
      <c r="J402" s="3"/>
      <c r="K402" s="3"/>
    </row>
    <row r="403" ht="15.75" customHeight="1">
      <c r="J403" s="3"/>
      <c r="K403" s="3"/>
    </row>
    <row r="404" ht="15.75" customHeight="1">
      <c r="J404" s="3"/>
      <c r="K404" s="3"/>
    </row>
    <row r="405" ht="15.75" customHeight="1">
      <c r="J405" s="3"/>
      <c r="K405" s="3"/>
    </row>
    <row r="406" ht="15.75" customHeight="1">
      <c r="J406" s="3"/>
      <c r="K406" s="3"/>
    </row>
    <row r="407" ht="15.75" customHeight="1">
      <c r="J407" s="3"/>
      <c r="K407" s="3"/>
    </row>
    <row r="408" ht="15.75" customHeight="1">
      <c r="J408" s="3"/>
      <c r="K408" s="3"/>
    </row>
    <row r="409" ht="15.75" customHeight="1">
      <c r="J409" s="3"/>
      <c r="K409" s="3"/>
    </row>
    <row r="410" ht="15.75" customHeight="1">
      <c r="J410" s="3"/>
      <c r="K410" s="3"/>
    </row>
    <row r="411" ht="15.75" customHeight="1">
      <c r="J411" s="3"/>
      <c r="K411" s="3"/>
    </row>
    <row r="412" ht="15.75" customHeight="1">
      <c r="J412" s="3"/>
      <c r="K412" s="3"/>
    </row>
    <row r="413" ht="15.75" customHeight="1">
      <c r="J413" s="3"/>
      <c r="K413" s="3"/>
    </row>
    <row r="414" ht="15.75" customHeight="1">
      <c r="J414" s="3"/>
      <c r="K414" s="3"/>
    </row>
    <row r="415" ht="15.75" customHeight="1">
      <c r="J415" s="3"/>
      <c r="K415" s="3"/>
    </row>
    <row r="416" ht="15.75" customHeight="1">
      <c r="J416" s="3"/>
      <c r="K416" s="3"/>
    </row>
    <row r="417" ht="15.75" customHeight="1">
      <c r="J417" s="3"/>
      <c r="K417" s="3"/>
    </row>
    <row r="418" ht="15.75" customHeight="1">
      <c r="J418" s="3"/>
      <c r="K418" s="3"/>
    </row>
    <row r="419" ht="15.75" customHeight="1">
      <c r="J419" s="3"/>
      <c r="K419" s="3"/>
    </row>
    <row r="420" ht="15.75" customHeight="1">
      <c r="J420" s="3"/>
      <c r="K420" s="3"/>
    </row>
    <row r="421" ht="15.75" customHeight="1">
      <c r="J421" s="3"/>
      <c r="K421" s="3"/>
    </row>
    <row r="422" ht="15.75" customHeight="1">
      <c r="J422" s="3"/>
      <c r="K422" s="3"/>
    </row>
    <row r="423" ht="15.75" customHeight="1">
      <c r="J423" s="3"/>
      <c r="K423" s="3"/>
    </row>
    <row r="424" ht="15.75" customHeight="1">
      <c r="J424" s="3"/>
      <c r="K424" s="3"/>
    </row>
    <row r="425" ht="15.75" customHeight="1">
      <c r="J425" s="3"/>
      <c r="K425" s="3"/>
    </row>
    <row r="426" ht="15.75" customHeight="1">
      <c r="J426" s="3"/>
      <c r="K426" s="3"/>
    </row>
    <row r="427" ht="15.75" customHeight="1">
      <c r="J427" s="3"/>
      <c r="K427" s="3"/>
    </row>
    <row r="428" ht="15.75" customHeight="1">
      <c r="J428" s="3"/>
      <c r="K428" s="3"/>
    </row>
    <row r="429" ht="15.75" customHeight="1">
      <c r="J429" s="3"/>
      <c r="K429" s="3"/>
    </row>
    <row r="430" ht="15.75" customHeight="1">
      <c r="J430" s="3"/>
      <c r="K430" s="3"/>
    </row>
    <row r="431" ht="15.75" customHeight="1">
      <c r="J431" s="3"/>
      <c r="K431" s="3"/>
    </row>
    <row r="432" ht="15.75" customHeight="1">
      <c r="J432" s="3"/>
      <c r="K432" s="3"/>
    </row>
    <row r="433" ht="15.75" customHeight="1">
      <c r="J433" s="3"/>
      <c r="K433" s="3"/>
    </row>
    <row r="434" ht="15.75" customHeight="1">
      <c r="J434" s="3"/>
      <c r="K434" s="3"/>
    </row>
    <row r="435" ht="15.75" customHeight="1">
      <c r="J435" s="3"/>
      <c r="K435" s="3"/>
    </row>
    <row r="436" ht="15.75" customHeight="1">
      <c r="J436" s="3"/>
      <c r="K436" s="3"/>
    </row>
    <row r="437" ht="15.75" customHeight="1">
      <c r="J437" s="3"/>
      <c r="K437" s="3"/>
    </row>
    <row r="438" ht="15.75" customHeight="1">
      <c r="J438" s="3"/>
      <c r="K438" s="3"/>
    </row>
    <row r="439" ht="15.75" customHeight="1">
      <c r="J439" s="3"/>
      <c r="K439" s="3"/>
    </row>
    <row r="440" ht="15.75" customHeight="1">
      <c r="J440" s="3"/>
      <c r="K440" s="3"/>
    </row>
    <row r="441" ht="15.75" customHeight="1">
      <c r="J441" s="3"/>
      <c r="K441" s="3"/>
    </row>
    <row r="442" ht="15.75" customHeight="1">
      <c r="J442" s="3"/>
      <c r="K442" s="3"/>
    </row>
    <row r="443" ht="15.75" customHeight="1">
      <c r="J443" s="3"/>
      <c r="K443" s="3"/>
    </row>
    <row r="444" ht="15.75" customHeight="1">
      <c r="J444" s="3"/>
      <c r="K444" s="3"/>
    </row>
    <row r="445" ht="15.75" customHeight="1">
      <c r="J445" s="3"/>
      <c r="K445" s="3"/>
    </row>
    <row r="446" ht="15.75" customHeight="1">
      <c r="J446" s="3"/>
      <c r="K446" s="3"/>
    </row>
    <row r="447" ht="15.75" customHeight="1">
      <c r="J447" s="3"/>
      <c r="K447" s="3"/>
    </row>
    <row r="448" ht="15.75" customHeight="1">
      <c r="J448" s="3"/>
      <c r="K448" s="3"/>
    </row>
    <row r="449" ht="15.75" customHeight="1">
      <c r="J449" s="3"/>
      <c r="K449" s="3"/>
    </row>
    <row r="450" ht="15.75" customHeight="1">
      <c r="J450" s="3"/>
      <c r="K450" s="3"/>
    </row>
    <row r="451" ht="15.75" customHeight="1">
      <c r="J451" s="3"/>
      <c r="K451" s="3"/>
    </row>
    <row r="452" ht="15.75" customHeight="1">
      <c r="J452" s="3"/>
      <c r="K452" s="3"/>
    </row>
    <row r="453" ht="15.75" customHeight="1">
      <c r="J453" s="3"/>
      <c r="K453" s="3"/>
    </row>
    <row r="454" ht="15.75" customHeight="1">
      <c r="J454" s="3"/>
      <c r="K454" s="3"/>
    </row>
    <row r="455" ht="15.75" customHeight="1">
      <c r="J455" s="3"/>
      <c r="K455" s="3"/>
    </row>
    <row r="456" ht="15.75" customHeight="1">
      <c r="J456" s="3"/>
      <c r="K456" s="3"/>
    </row>
    <row r="457" ht="15.75" customHeight="1">
      <c r="J457" s="3"/>
      <c r="K457" s="3"/>
    </row>
    <row r="458" ht="15.75" customHeight="1">
      <c r="J458" s="3"/>
      <c r="K458" s="3"/>
    </row>
    <row r="459" ht="15.75" customHeight="1">
      <c r="J459" s="3"/>
      <c r="K459" s="3"/>
    </row>
    <row r="460" ht="15.75" customHeight="1">
      <c r="J460" s="3"/>
      <c r="K460" s="3"/>
    </row>
    <row r="461" ht="15.75" customHeight="1">
      <c r="J461" s="3"/>
      <c r="K461" s="3"/>
    </row>
    <row r="462" ht="15.75" customHeight="1">
      <c r="J462" s="3"/>
      <c r="K462" s="3"/>
    </row>
    <row r="463" ht="15.75" customHeight="1">
      <c r="J463" s="3"/>
      <c r="K463" s="3"/>
    </row>
    <row r="464" ht="15.75" customHeight="1">
      <c r="J464" s="3"/>
      <c r="K464" s="3"/>
    </row>
    <row r="465" ht="15.75" customHeight="1">
      <c r="J465" s="3"/>
      <c r="K465" s="3"/>
    </row>
    <row r="466" ht="15.75" customHeight="1">
      <c r="J466" s="3"/>
      <c r="K466" s="3"/>
    </row>
    <row r="467" ht="15.75" customHeight="1">
      <c r="J467" s="3"/>
      <c r="K467" s="3"/>
    </row>
    <row r="468" ht="15.75" customHeight="1">
      <c r="J468" s="3"/>
      <c r="K468" s="3"/>
    </row>
    <row r="469" ht="15.75" customHeight="1">
      <c r="J469" s="3"/>
      <c r="K469" s="3"/>
    </row>
    <row r="470" ht="15.75" customHeight="1">
      <c r="J470" s="3"/>
      <c r="K470" s="3"/>
    </row>
    <row r="471" ht="15.75" customHeight="1">
      <c r="J471" s="3"/>
      <c r="K471" s="3"/>
    </row>
    <row r="472" ht="15.75" customHeight="1">
      <c r="J472" s="3"/>
      <c r="K472" s="3"/>
    </row>
    <row r="473" ht="15.75" customHeight="1">
      <c r="J473" s="3"/>
      <c r="K473" s="3"/>
    </row>
    <row r="474" ht="15.75" customHeight="1">
      <c r="J474" s="3"/>
      <c r="K474" s="3"/>
    </row>
    <row r="475" ht="15.75" customHeight="1">
      <c r="J475" s="3"/>
      <c r="K475" s="3"/>
    </row>
    <row r="476" ht="15.75" customHeight="1">
      <c r="J476" s="3"/>
      <c r="K476" s="3"/>
    </row>
    <row r="477" ht="15.75" customHeight="1">
      <c r="J477" s="3"/>
      <c r="K477" s="3"/>
    </row>
    <row r="478" ht="15.75" customHeight="1">
      <c r="J478" s="3"/>
      <c r="K478" s="3"/>
    </row>
    <row r="479" ht="15.75" customHeight="1">
      <c r="J479" s="3"/>
      <c r="K479" s="3"/>
    </row>
    <row r="480" ht="15.75" customHeight="1">
      <c r="J480" s="3"/>
      <c r="K480" s="3"/>
    </row>
    <row r="481" ht="15.75" customHeight="1">
      <c r="J481" s="3"/>
      <c r="K481" s="3"/>
    </row>
    <row r="482" ht="15.75" customHeight="1">
      <c r="J482" s="3"/>
      <c r="K482" s="3"/>
    </row>
    <row r="483" ht="15.75" customHeight="1">
      <c r="J483" s="3"/>
      <c r="K483" s="3"/>
    </row>
    <row r="484" ht="15.75" customHeight="1">
      <c r="J484" s="3"/>
      <c r="K484" s="3"/>
    </row>
    <row r="485" ht="15.75" customHeight="1">
      <c r="J485" s="3"/>
      <c r="K485" s="3"/>
    </row>
    <row r="486" ht="15.75" customHeight="1">
      <c r="J486" s="3"/>
      <c r="K486" s="3"/>
    </row>
    <row r="487" ht="15.75" customHeight="1">
      <c r="J487" s="3"/>
      <c r="K487" s="3"/>
    </row>
    <row r="488" ht="15.75" customHeight="1">
      <c r="J488" s="3"/>
      <c r="K488" s="3"/>
    </row>
    <row r="489" ht="15.75" customHeight="1">
      <c r="J489" s="3"/>
      <c r="K489" s="3"/>
    </row>
    <row r="490" ht="15.75" customHeight="1">
      <c r="J490" s="3"/>
      <c r="K490" s="3"/>
    </row>
    <row r="491" ht="15.75" customHeight="1">
      <c r="J491" s="3"/>
      <c r="K491" s="3"/>
    </row>
    <row r="492" ht="15.75" customHeight="1">
      <c r="J492" s="3"/>
      <c r="K492" s="3"/>
    </row>
    <row r="493" ht="15.75" customHeight="1">
      <c r="J493" s="3"/>
      <c r="K493" s="3"/>
    </row>
    <row r="494" ht="15.75" customHeight="1">
      <c r="J494" s="3"/>
      <c r="K494" s="3"/>
    </row>
    <row r="495" ht="15.75" customHeight="1">
      <c r="J495" s="3"/>
      <c r="K495" s="3"/>
    </row>
    <row r="496" ht="15.75" customHeight="1">
      <c r="J496" s="3"/>
      <c r="K496" s="3"/>
    </row>
    <row r="497" ht="15.75" customHeight="1">
      <c r="J497" s="3"/>
      <c r="K497" s="3"/>
    </row>
    <row r="498" ht="15.75" customHeight="1">
      <c r="J498" s="3"/>
      <c r="K498" s="3"/>
    </row>
    <row r="499" ht="15.75" customHeight="1">
      <c r="J499" s="3"/>
      <c r="K499" s="3"/>
    </row>
    <row r="500" ht="15.75" customHeight="1">
      <c r="J500" s="3"/>
      <c r="K500" s="3"/>
    </row>
    <row r="501" ht="15.75" customHeight="1">
      <c r="J501" s="3"/>
      <c r="K501" s="3"/>
    </row>
    <row r="502" ht="15.75" customHeight="1">
      <c r="J502" s="3"/>
      <c r="K502" s="3"/>
    </row>
    <row r="503" ht="15.75" customHeight="1">
      <c r="J503" s="3"/>
      <c r="K503" s="3"/>
    </row>
    <row r="504" ht="15.75" customHeight="1">
      <c r="J504" s="3"/>
      <c r="K504" s="3"/>
    </row>
    <row r="505" ht="15.75" customHeight="1">
      <c r="J505" s="3"/>
      <c r="K505" s="3"/>
    </row>
    <row r="506" ht="15.75" customHeight="1">
      <c r="J506" s="3"/>
      <c r="K506" s="3"/>
    </row>
    <row r="507" ht="15.75" customHeight="1">
      <c r="J507" s="3"/>
      <c r="K507" s="3"/>
    </row>
    <row r="508" ht="15.75" customHeight="1">
      <c r="J508" s="3"/>
      <c r="K508" s="3"/>
    </row>
    <row r="509" ht="15.75" customHeight="1">
      <c r="J509" s="3"/>
      <c r="K509" s="3"/>
    </row>
    <row r="510" ht="15.75" customHeight="1">
      <c r="J510" s="3"/>
      <c r="K510" s="3"/>
    </row>
    <row r="511" ht="15.75" customHeight="1">
      <c r="J511" s="3"/>
      <c r="K511" s="3"/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">
    <mergeCell ref="A1:K2"/>
  </mergeCells>
  <conditionalFormatting sqref="J5:J1011">
    <cfRule type="expression" dxfId="0" priority="1">
      <formula>J5="Inscrito"</formula>
    </cfRule>
  </conditionalFormatting>
  <conditionalFormatting sqref="J5:J1011">
    <cfRule type="expression" dxfId="1" priority="2">
      <formula>J5="Show"</formula>
    </cfRule>
  </conditionalFormatting>
  <conditionalFormatting sqref="J5:J1011">
    <cfRule type="expression" dxfId="2" priority="3">
      <formula>J5="No asistió"</formula>
    </cfRule>
  </conditionalFormatting>
  <conditionalFormatting sqref="J5:J1011">
    <cfRule type="expression" dxfId="3" priority="4">
      <formula>J5="Cita"</formula>
    </cfRule>
  </conditionalFormatting>
  <dataValidations>
    <dataValidation type="list" allowBlank="1" sqref="J5:J511">
      <formula1>"Inscrito,Show,No asistió,Cita,Revisar"</formula1>
    </dataValidation>
    <dataValidation type="list" allowBlank="1" sqref="K5:K511">
      <formula1>"Precio,Horarios,Ubicación,Metodología,No le interesó,Prefiere otra opción,Motivos personales,Sin respuesta,Pendiente de decisión,Inscripción pospuesta"</formula1>
    </dataValidation>
    <dataValidation type="list" allowBlank="1" showErrorMessage="1" sqref="D5:D64">
      <formula1>"Parenthood,Kids,Junior,College,Certifications"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40.0"/>
    <col customWidth="1" min="2" max="2" width="19.0"/>
    <col customWidth="1" min="3" max="10" width="13.0"/>
    <col customWidth="1" min="11" max="26" width="8.63"/>
  </cols>
  <sheetData>
    <row r="1" ht="25.5" customHeight="1">
      <c r="A1" s="14" t="s">
        <v>367</v>
      </c>
    </row>
    <row r="2" ht="25.5" customHeight="1"/>
    <row r="3">
      <c r="A3" s="3" t="s">
        <v>337</v>
      </c>
    </row>
    <row r="4">
      <c r="A4" s="7" t="s">
        <v>344</v>
      </c>
      <c r="B4" s="17">
        <v>46327.0</v>
      </c>
    </row>
    <row r="5">
      <c r="A5" s="7" t="s">
        <v>346</v>
      </c>
      <c r="B5" s="17">
        <v>46296.0</v>
      </c>
    </row>
    <row r="6" ht="28.5" customHeight="1">
      <c r="A6" s="18" t="s">
        <v>338</v>
      </c>
      <c r="B6" s="16" t="s">
        <v>10</v>
      </c>
    </row>
    <row r="7">
      <c r="A7" s="3" t="s">
        <v>339</v>
      </c>
      <c r="B7" s="3">
        <f>COUNTIFS('Noviembre 2026'!A:A,"&gt;="&amp;$B$4,'Noviembre 2026'!A:A,"&lt;="&amp;$B$5)</f>
        <v>0</v>
      </c>
    </row>
    <row r="8">
      <c r="A8" s="3" t="s">
        <v>340</v>
      </c>
      <c r="B8" s="3">
        <f>COUNTIFS('Noviembre 2026'!A:A,"&gt;="&amp;$B$4,'Noviembre 2026'!A:A,"&lt;="&amp;$B$5,'Noviembre 2026'!J:J,"Inscrito")</f>
        <v>0</v>
      </c>
    </row>
    <row r="9">
      <c r="A9" s="3" t="s">
        <v>341</v>
      </c>
      <c r="B9" s="3">
        <f>COUNTIFS('Noviembre 2026'!A:A,"&gt;="&amp;$B$4,'Noviembre 2026'!A:A,"&lt;="&amp;$B$5,'Noviembre 2026'!J:J,"Show")</f>
        <v>0</v>
      </c>
    </row>
    <row r="10">
      <c r="A10" s="3" t="s">
        <v>64</v>
      </c>
      <c r="B10" s="3">
        <f>COUNTIFS('Noviembre 2026'!A:A,"&gt;="&amp;$B$4,'Noviembre 2026'!A:A,"&lt;="&amp;$B$5,'Noviembre 2026'!J:J,"No asistió")</f>
        <v>0</v>
      </c>
    </row>
    <row r="11">
      <c r="A11" s="3" t="s">
        <v>343</v>
      </c>
      <c r="B11" s="3">
        <f>COUNTIFS('Noviembre 2026'!A:A,"&gt;="&amp;$B$4,'Noviembre 2026'!A:A,"&lt;="&amp;$B$5,'Noviembre 2026'!J:J,"Cita")</f>
        <v>0</v>
      </c>
    </row>
    <row r="12">
      <c r="A12" s="3" t="s">
        <v>345</v>
      </c>
      <c r="B12" s="3">
        <f>COUNTIFS('Noviembre 2026'!A:A,"&gt;="&amp;$B$4,'Noviembre 2026'!A:A,"&lt;="&amp;$B$5,'Noviembre 2026'!J:J,"Revisar")</f>
        <v>0</v>
      </c>
    </row>
    <row r="13">
      <c r="A13" s="3" t="s">
        <v>347</v>
      </c>
      <c r="B13" s="3">
        <f>B8+B9</f>
        <v>0</v>
      </c>
    </row>
    <row r="14">
      <c r="A14" s="3" t="s">
        <v>348</v>
      </c>
      <c r="B14" s="19">
        <f>IFERROR(B8/B13,0)</f>
        <v>0</v>
      </c>
    </row>
    <row r="15">
      <c r="A15" s="3" t="s">
        <v>349</v>
      </c>
      <c r="B15" s="19">
        <f>IFERROR(B13/(B13+B10),0)</f>
        <v>0</v>
      </c>
    </row>
    <row r="16">
      <c r="A16" s="7" t="s">
        <v>359</v>
      </c>
      <c r="B16" s="3">
        <f>SUM(B8+B9)</f>
        <v>0</v>
      </c>
    </row>
    <row r="18">
      <c r="A18" s="24" t="s">
        <v>350</v>
      </c>
      <c r="B18" s="21" t="s">
        <v>351</v>
      </c>
    </row>
    <row r="19">
      <c r="A19" s="3" t="s">
        <v>352</v>
      </c>
      <c r="B19" s="3">
        <f t="shared" ref="B19:B20" si="1">B8</f>
        <v>0</v>
      </c>
    </row>
    <row r="20">
      <c r="A20" s="3" t="s">
        <v>353</v>
      </c>
      <c r="B20" s="3">
        <f t="shared" si="1"/>
        <v>0</v>
      </c>
    </row>
    <row r="22" ht="15.75" customHeight="1"/>
    <row r="23" ht="15.75" customHeight="1">
      <c r="A23" s="22" t="s">
        <v>354</v>
      </c>
      <c r="B23" s="25" t="s">
        <v>355</v>
      </c>
    </row>
    <row r="24" ht="15.75" customHeight="1">
      <c r="A24" s="3" t="s">
        <v>90</v>
      </c>
      <c r="B24" s="3">
        <f>COUNTIFS('Octubre 2026'!J:J,"Show",'Octubre 2026'!K:K,A24,'Octubre 2026'!A:A,"&gt;="&amp;$B$4,'Octubre 2026'!A:A,"&lt;="&amp;$B$5)</f>
        <v>0</v>
      </c>
    </row>
    <row r="25" ht="15.75" customHeight="1">
      <c r="A25" s="3" t="s">
        <v>125</v>
      </c>
      <c r="B25" s="3">
        <f>COUNTIFS('Octubre 2026'!J:J,"Show",'Octubre 2026'!K:K,A25,'Octubre 2026'!A:A,"&gt;="&amp;$B$4,'Octubre 2026'!A:A,"&lt;="&amp;$B$5)</f>
        <v>0</v>
      </c>
    </row>
    <row r="26" ht="15.75" customHeight="1">
      <c r="A26" s="3" t="s">
        <v>33</v>
      </c>
      <c r="B26" s="3">
        <f>COUNTIFS('Octubre 2026'!J:J,"Show",'Octubre 2026'!K:K,A26,'Octubre 2026'!A:A,"&gt;="&amp;$B$4,'Octubre 2026'!A:A,"&lt;="&amp;$B$5)</f>
        <v>0</v>
      </c>
    </row>
    <row r="27" ht="15.75" customHeight="1">
      <c r="A27" s="3" t="s">
        <v>356</v>
      </c>
      <c r="B27" s="3">
        <f>COUNTIFS('Octubre 2026'!J:J,"Show",'Octubre 2026'!K:K,A27,'Octubre 2026'!A:A,"&gt;="&amp;$B$4,'Octubre 2026'!A:A,"&lt;="&amp;$B$5)</f>
        <v>0</v>
      </c>
    </row>
    <row r="28" ht="15.75" customHeight="1">
      <c r="A28" s="3" t="s">
        <v>357</v>
      </c>
      <c r="B28" s="3">
        <f>COUNTIFS('Octubre 2026'!J:J,"Show",'Octubre 2026'!K:K,A28,'Octubre 2026'!A:A,"&gt;="&amp;$B$4,'Octubre 2026'!A:A,"&lt;="&amp;$B$5)</f>
        <v>0</v>
      </c>
    </row>
    <row r="29" ht="15.75" customHeight="1">
      <c r="A29" s="3" t="s">
        <v>358</v>
      </c>
      <c r="B29" s="3">
        <f>COUNTIFS('Octubre 2026'!J:J,"Show",'Octubre 2026'!K:K,A29,'Octubre 2026'!A:A,"&gt;="&amp;$B$4,'Octubre 2026'!A:A,"&lt;="&amp;$B$5)</f>
        <v>0</v>
      </c>
    </row>
    <row r="30" ht="15.75" customHeight="1">
      <c r="A30" s="3" t="s">
        <v>100</v>
      </c>
      <c r="B30" s="3">
        <f>COUNTIFS('Octubre 2026'!J:J,"Show",'Octubre 2026'!K:K,A30,'Octubre 2026'!A:A,"&gt;="&amp;$B$4,'Octubre 2026'!A:A,"&lt;="&amp;$B$5)</f>
        <v>0</v>
      </c>
    </row>
    <row r="31" ht="15.75" customHeight="1">
      <c r="A31" s="3" t="s">
        <v>37</v>
      </c>
      <c r="B31" s="3">
        <f>COUNTIFS('Octubre 2026'!J:J,"Show",'Octubre 2026'!K:K,A31,'Octubre 2026'!A:A,"&gt;="&amp;$B$4,'Octubre 2026'!A:A,"&lt;="&amp;$B$5)</f>
        <v>0</v>
      </c>
    </row>
    <row r="32" ht="15.75" customHeight="1">
      <c r="A32" s="7" t="s">
        <v>38</v>
      </c>
      <c r="B32" s="3">
        <f>COUNTIFS('Octubre 2026'!J:J,"Show",'Octubre 2026'!K:K,A32,'Octubre 2026'!A:A,"&gt;="&amp;$B$4,'Octubre 2026'!A:A,"&lt;="&amp;$B$5)</f>
        <v>0</v>
      </c>
    </row>
    <row r="33" ht="15.75" customHeight="1">
      <c r="A33" s="7" t="s">
        <v>88</v>
      </c>
      <c r="B33" s="3">
        <f>COUNTIFS('Octubre 2026'!J:J,"Show",'Octubre 2026'!K:K,A33,'Octubre 2026'!A:A,"&gt;="&amp;$B$4,'Octubre 2026'!A:A,"&lt;="&amp;$B$5)</f>
        <v>0</v>
      </c>
    </row>
    <row r="34" ht="15.75" customHeight="1"/>
    <row r="35" ht="15.75" customHeight="1"/>
    <row r="36" ht="15.75" customHeight="1">
      <c r="A36" s="26"/>
    </row>
    <row r="37" ht="15.75" customHeight="1"/>
    <row r="38" ht="15.75" customHeight="1"/>
    <row r="39" ht="15.75" customHeight="1">
      <c r="A39" s="27" t="s">
        <v>5</v>
      </c>
      <c r="B39" s="28" t="s">
        <v>360</v>
      </c>
    </row>
    <row r="40" ht="15.75" customHeight="1">
      <c r="A40" s="7" t="s">
        <v>59</v>
      </c>
    </row>
    <row r="41" ht="15.75" customHeight="1">
      <c r="A41" s="7" t="s">
        <v>16</v>
      </c>
    </row>
    <row r="42" ht="15.75" customHeight="1">
      <c r="A42" s="7" t="s">
        <v>43</v>
      </c>
    </row>
    <row r="43" ht="15.75" customHeight="1">
      <c r="A43" s="7" t="s">
        <v>27</v>
      </c>
    </row>
    <row r="44" ht="15.75" customHeight="1">
      <c r="A44" s="7" t="s">
        <v>361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J2"/>
    <mergeCell ref="A3:J3"/>
    <mergeCell ref="A36:J38"/>
  </mergeCells>
  <printOptions/>
  <pageMargins bottom="0.75" footer="0.0" header="0.0" left="0.7" right="0.7" top="0.75"/>
  <pageSetup orientation="landscape"/>
  <drawing r:id="rId1"/>
</worksheet>
</file>